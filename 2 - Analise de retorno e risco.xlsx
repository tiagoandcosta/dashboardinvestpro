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ogle Drive\Investimentos\"/>
    </mc:Choice>
  </mc:AlternateContent>
  <bookViews>
    <workbookView xWindow="-108" yWindow="-108" windowWidth="23256" windowHeight="12576" activeTab="2"/>
  </bookViews>
  <sheets>
    <sheet name="Cotacao" sheetId="5" r:id="rId1"/>
    <sheet name="Profit" sheetId="8" r:id="rId2"/>
    <sheet name="Valorização" sheetId="3" r:id="rId3"/>
    <sheet name="Covariancia" sheetId="7" r:id="rId4"/>
    <sheet name="Correlação" sheetId="9" r:id="rId5"/>
  </sheets>
  <definedNames>
    <definedName name="DadosExternos_1" localSheetId="0" hidden="1">Cotacao!$A$1:$BX$251</definedName>
    <definedName name="solver_adj" localSheetId="2" hidden="1">Valorização!#REF!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Valorização!#REF!</definedName>
    <definedName name="solver_lhs10" localSheetId="2" hidden="1">Valorização!#REF!</definedName>
    <definedName name="solver_lhs2" localSheetId="2" hidden="1">Valorização!#REF!</definedName>
    <definedName name="solver_lhs3" localSheetId="2" hidden="1">Valorização!$AO$30</definedName>
    <definedName name="solver_lhs4" localSheetId="2" hidden="1">Valorização!$AO$43</definedName>
    <definedName name="solver_lhs5" localSheetId="2" hidden="1">Valorização!#REF!</definedName>
    <definedName name="solver_lhs6" localSheetId="2" hidden="1">Valorização!#REF!</definedName>
    <definedName name="solver_lhs7" localSheetId="2" hidden="1">Valorização!#REF!</definedName>
    <definedName name="solver_lhs8" localSheetId="2" hidden="1">Valorização!#REF!</definedName>
    <definedName name="solver_lhs9" localSheetId="2" hidden="1">Valorização!#REF!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8</definedName>
    <definedName name="solver_nwt" localSheetId="2" hidden="1">1</definedName>
    <definedName name="solver_opt" localSheetId="2" hidden="1">Valorização!$AO$43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10" localSheetId="2" hidden="1">2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2</definedName>
    <definedName name="solver_rel6" localSheetId="2" hidden="1">2</definedName>
    <definedName name="solver_rel7" localSheetId="2" hidden="1">1</definedName>
    <definedName name="solver_rel8" localSheetId="2" hidden="1">2</definedName>
    <definedName name="solver_rel9" localSheetId="2" hidden="1">2</definedName>
    <definedName name="solver_rhs1" localSheetId="2" hidden="1">10%</definedName>
    <definedName name="solver_rhs10" localSheetId="2" hidden="1">0</definedName>
    <definedName name="solver_rhs2" localSheetId="2" hidden="1">0</definedName>
    <definedName name="solver_rhs3" localSheetId="2" hidden="1">1</definedName>
    <definedName name="solver_rhs4" localSheetId="2" hidden="1">0</definedName>
    <definedName name="solver_rhs5" localSheetId="2" hidden="1">10%</definedName>
    <definedName name="solver_rhs6" localSheetId="2" hidden="1">10%</definedName>
    <definedName name="solver_rhs7" localSheetId="2" hidden="1">5%</definedName>
    <definedName name="solver_rhs8" localSheetId="2" hidden="1">0</definedName>
    <definedName name="solver_rhs9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30" i="3" l="1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3" i="3"/>
  <c r="BW137" i="3" s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3" i="3"/>
  <c r="AZ114" i="3" s="1"/>
  <c r="B3" i="3" l="1"/>
  <c r="C3" i="3"/>
  <c r="BW27" i="3" l="1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BV98" i="3"/>
  <c r="BU97" i="3"/>
  <c r="BU98" i="3"/>
  <c r="BT96" i="3"/>
  <c r="BT97" i="3"/>
  <c r="BT98" i="3"/>
  <c r="BS95" i="3"/>
  <c r="BS96" i="3"/>
  <c r="BS97" i="3"/>
  <c r="BS98" i="3"/>
  <c r="BR94" i="3"/>
  <c r="BR95" i="3"/>
  <c r="BR96" i="3"/>
  <c r="BR97" i="3"/>
  <c r="BR98" i="3"/>
  <c r="BQ93" i="3"/>
  <c r="BQ94" i="3"/>
  <c r="BQ95" i="3"/>
  <c r="BQ96" i="3"/>
  <c r="BQ97" i="3"/>
  <c r="BQ98" i="3"/>
  <c r="BP92" i="3"/>
  <c r="BP93" i="3"/>
  <c r="BP94" i="3"/>
  <c r="BP95" i="3"/>
  <c r="BP96" i="3"/>
  <c r="BP97" i="3"/>
  <c r="BP98" i="3"/>
  <c r="BO91" i="3"/>
  <c r="BO92" i="3"/>
  <c r="BO93" i="3"/>
  <c r="BO94" i="3"/>
  <c r="BO95" i="3"/>
  <c r="BO96" i="3"/>
  <c r="BO97" i="3"/>
  <c r="BO98" i="3"/>
  <c r="BN90" i="3"/>
  <c r="BN91" i="3"/>
  <c r="BN92" i="3"/>
  <c r="BN93" i="3"/>
  <c r="BN94" i="3"/>
  <c r="BN95" i="3"/>
  <c r="BN96" i="3"/>
  <c r="BN97" i="3"/>
  <c r="BN98" i="3"/>
  <c r="BM89" i="3"/>
  <c r="BM90" i="3"/>
  <c r="BM91" i="3"/>
  <c r="BM92" i="3"/>
  <c r="BM93" i="3"/>
  <c r="BM94" i="3"/>
  <c r="BM95" i="3"/>
  <c r="BM96" i="3"/>
  <c r="BM97" i="3"/>
  <c r="BM98" i="3"/>
  <c r="BL88" i="3"/>
  <c r="BL89" i="3"/>
  <c r="BL90" i="3"/>
  <c r="BL91" i="3"/>
  <c r="BL92" i="3"/>
  <c r="BL93" i="3"/>
  <c r="BL94" i="3"/>
  <c r="BL95" i="3"/>
  <c r="BL96" i="3"/>
  <c r="BL97" i="3"/>
  <c r="BL98" i="3"/>
  <c r="BK87" i="3"/>
  <c r="BK88" i="3"/>
  <c r="BK89" i="3"/>
  <c r="BK90" i="3"/>
  <c r="BK91" i="3"/>
  <c r="BK92" i="3"/>
  <c r="BK93" i="3"/>
  <c r="BK94" i="3"/>
  <c r="BK95" i="3"/>
  <c r="BK96" i="3"/>
  <c r="BK97" i="3"/>
  <c r="BK98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G83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96" i="3"/>
  <c r="BG97" i="3"/>
  <c r="BG98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B78" i="3"/>
  <c r="BB79" i="3"/>
  <c r="BB80" i="3"/>
  <c r="BB81" i="3"/>
  <c r="BB82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247" i="3" l="1"/>
  <c r="A246" i="3"/>
  <c r="BY58" i="3" l="1"/>
  <c r="AT20" i="3" l="1"/>
  <c r="AT21" i="3" s="1"/>
  <c r="BW97" i="3" l="1"/>
  <c r="BV96" i="3" a="1"/>
  <c r="BW96" i="3" s="1"/>
  <c r="BU95" i="3" a="1"/>
  <c r="BV95" i="3" s="1"/>
  <c r="BT94" i="3" a="1"/>
  <c r="BU94" i="3" s="1"/>
  <c r="BS93" i="3" a="1"/>
  <c r="BS93" i="3" s="1"/>
  <c r="BR92" i="3" a="1"/>
  <c r="BS92" i="3" s="1"/>
  <c r="BQ91" i="3" a="1"/>
  <c r="BT91" i="3" s="1"/>
  <c r="BP90" i="3" a="1"/>
  <c r="BP90" i="3" s="1"/>
  <c r="BO89" i="3" a="1"/>
  <c r="BP89" i="3" s="1"/>
  <c r="BN88" i="3" a="1"/>
  <c r="BO88" i="3" s="1"/>
  <c r="BM87" i="3" a="1"/>
  <c r="BN87" i="3" s="1"/>
  <c r="BL86" i="3" a="1"/>
  <c r="BM86" i="3" s="1"/>
  <c r="BK85" i="3" a="1"/>
  <c r="BL85" i="3" s="1"/>
  <c r="BJ84" i="3" a="1"/>
  <c r="BK84" i="3" s="1"/>
  <c r="BI83" i="3" a="1"/>
  <c r="BJ83" i="3" s="1"/>
  <c r="BH82" i="3" a="1"/>
  <c r="BI82" i="3" s="1"/>
  <c r="BG81" i="3" a="1"/>
  <c r="BH81" i="3" s="1"/>
  <c r="BF80" i="3" a="1"/>
  <c r="BG80" i="3" s="1"/>
  <c r="BE79" i="3" a="1"/>
  <c r="BF79" i="3" s="1"/>
  <c r="BD78" i="3" a="1"/>
  <c r="BE78" i="3" s="1"/>
  <c r="BC77" i="3" a="1"/>
  <c r="BD77" i="3" s="1"/>
  <c r="BB76" i="3" a="1"/>
  <c r="BC76" i="3" s="1"/>
  <c r="BA75" i="3" a="1"/>
  <c r="BB75" i="3" s="1"/>
  <c r="AZ74" i="3" a="1"/>
  <c r="BA74" i="3" s="1"/>
  <c r="AY73" i="3" a="1"/>
  <c r="AZ73" i="3" s="1"/>
  <c r="AX72" i="3" a="1"/>
  <c r="AY72" i="3" s="1"/>
  <c r="AW71" i="3" a="1"/>
  <c r="AX71" i="3" s="1"/>
  <c r="AV70" i="3" a="1"/>
  <c r="AV70" i="3" s="1"/>
  <c r="AU69" i="3" a="1"/>
  <c r="AV69" i="3" s="1"/>
  <c r="AT68" i="3" a="1"/>
  <c r="AT68" i="3" s="1"/>
  <c r="AS67" i="3" a="1"/>
  <c r="AT67" i="3" s="1"/>
  <c r="AR66" i="3" a="1"/>
  <c r="BT66" i="3" s="1"/>
  <c r="AQ65" i="3" a="1"/>
  <c r="AR65" i="3" s="1"/>
  <c r="AP64" i="3" a="1"/>
  <c r="AQ64" i="3" s="1"/>
  <c r="BT87" i="3" l="1"/>
  <c r="BC77" i="3"/>
  <c r="BF72" i="3"/>
  <c r="AX72" i="3"/>
  <c r="BS86" i="3"/>
  <c r="BS87" i="3"/>
  <c r="BL76" i="3"/>
  <c r="BR87" i="3"/>
  <c r="BW93" i="3"/>
  <c r="BQ76" i="3"/>
  <c r="BJ76" i="3"/>
  <c r="BT86" i="3"/>
  <c r="BM87" i="3"/>
  <c r="BU93" i="3"/>
  <c r="BR76" i="3"/>
  <c r="BI76" i="3"/>
  <c r="BH76" i="3"/>
  <c r="BL86" i="3"/>
  <c r="BW76" i="3"/>
  <c r="BG76" i="3"/>
  <c r="BT76" i="3"/>
  <c r="BF76" i="3"/>
  <c r="BU87" i="3"/>
  <c r="BV96" i="3"/>
  <c r="BU95" i="3"/>
  <c r="BW95" i="3"/>
  <c r="BT94" i="3"/>
  <c r="BW94" i="3"/>
  <c r="BV94" i="3"/>
  <c r="BV93" i="3"/>
  <c r="BT93" i="3"/>
  <c r="BW92" i="3"/>
  <c r="BV92" i="3"/>
  <c r="BR92" i="3"/>
  <c r="BU92" i="3"/>
  <c r="BT92" i="3"/>
  <c r="BU91" i="3"/>
  <c r="BV91" i="3"/>
  <c r="BW91" i="3"/>
  <c r="BQ91" i="3"/>
  <c r="BR91" i="3"/>
  <c r="BS91" i="3"/>
  <c r="BU90" i="3"/>
  <c r="BS90" i="3"/>
  <c r="BR90" i="3"/>
  <c r="BT90" i="3"/>
  <c r="BQ90" i="3"/>
  <c r="BW90" i="3"/>
  <c r="BV90" i="3"/>
  <c r="BW89" i="3"/>
  <c r="BO89" i="3"/>
  <c r="BV89" i="3"/>
  <c r="BU89" i="3"/>
  <c r="BT89" i="3"/>
  <c r="BS89" i="3"/>
  <c r="BR89" i="3"/>
  <c r="BQ89" i="3"/>
  <c r="BS88" i="3"/>
  <c r="BN88" i="3"/>
  <c r="BU88" i="3"/>
  <c r="BT88" i="3"/>
  <c r="BR88" i="3"/>
  <c r="BV88" i="3"/>
  <c r="BQ88" i="3"/>
  <c r="BP88" i="3"/>
  <c r="BW88" i="3"/>
  <c r="BQ87" i="3"/>
  <c r="BP87" i="3"/>
  <c r="BW87" i="3"/>
  <c r="BO87" i="3"/>
  <c r="BV87" i="3"/>
  <c r="BU85" i="3"/>
  <c r="BR85" i="3"/>
  <c r="BT78" i="3"/>
  <c r="BR78" i="3"/>
  <c r="BP76" i="3"/>
  <c r="BD76" i="3"/>
  <c r="BL78" i="3"/>
  <c r="BQ85" i="3"/>
  <c r="BR86" i="3"/>
  <c r="BO76" i="3"/>
  <c r="BB76" i="3"/>
  <c r="BK78" i="3"/>
  <c r="BP85" i="3"/>
  <c r="BQ86" i="3"/>
  <c r="BJ78" i="3"/>
  <c r="BO85" i="3"/>
  <c r="BP86" i="3"/>
  <c r="BI78" i="3"/>
  <c r="BM85" i="3"/>
  <c r="BS78" i="3"/>
  <c r="BS85" i="3"/>
  <c r="BD78" i="3"/>
  <c r="BW85" i="3"/>
  <c r="BK85" i="3"/>
  <c r="BW86" i="3"/>
  <c r="BO86" i="3"/>
  <c r="BV86" i="3"/>
  <c r="BN86" i="3"/>
  <c r="BU86" i="3"/>
  <c r="BV85" i="3"/>
  <c r="BN85" i="3"/>
  <c r="BT85" i="3"/>
  <c r="BP84" i="3"/>
  <c r="BW84" i="3"/>
  <c r="BO84" i="3"/>
  <c r="BJ84" i="3"/>
  <c r="BN84" i="3"/>
  <c r="BU84" i="3"/>
  <c r="BT84" i="3"/>
  <c r="BL84" i="3"/>
  <c r="BR84" i="3"/>
  <c r="BQ84" i="3"/>
  <c r="BV84" i="3"/>
  <c r="BM84" i="3"/>
  <c r="BS84" i="3"/>
  <c r="BW83" i="3"/>
  <c r="BO83" i="3"/>
  <c r="BV83" i="3"/>
  <c r="BN83" i="3"/>
  <c r="BQ83" i="3"/>
  <c r="BP83" i="3"/>
  <c r="BU83" i="3"/>
  <c r="BM83" i="3"/>
  <c r="BI83" i="3"/>
  <c r="BT83" i="3"/>
  <c r="BL83" i="3"/>
  <c r="BS83" i="3"/>
  <c r="BK83" i="3"/>
  <c r="BR83" i="3"/>
  <c r="BV82" i="3"/>
  <c r="BN82" i="3"/>
  <c r="BU82" i="3"/>
  <c r="BM82" i="3"/>
  <c r="BH82" i="3"/>
  <c r="BO82" i="3"/>
  <c r="BT82" i="3"/>
  <c r="BL82" i="3"/>
  <c r="BP82" i="3"/>
  <c r="BW82" i="3"/>
  <c r="BS82" i="3"/>
  <c r="BK82" i="3"/>
  <c r="BR82" i="3"/>
  <c r="BJ82" i="3"/>
  <c r="BQ82" i="3"/>
  <c r="BU81" i="3"/>
  <c r="BM81" i="3"/>
  <c r="BT81" i="3"/>
  <c r="BL81" i="3"/>
  <c r="BW81" i="3"/>
  <c r="BG81" i="3"/>
  <c r="BV81" i="3"/>
  <c r="BS81" i="3"/>
  <c r="BK81" i="3"/>
  <c r="BO81" i="3"/>
  <c r="BN81" i="3"/>
  <c r="BR81" i="3"/>
  <c r="BJ81" i="3"/>
  <c r="BQ81" i="3"/>
  <c r="BI81" i="3"/>
  <c r="BP81" i="3"/>
  <c r="BL80" i="3"/>
  <c r="BS80" i="3"/>
  <c r="BK80" i="3"/>
  <c r="BV80" i="3"/>
  <c r="BF80" i="3"/>
  <c r="BU80" i="3"/>
  <c r="BM80" i="3"/>
  <c r="BT80" i="3"/>
  <c r="BR80" i="3"/>
  <c r="BJ80" i="3"/>
  <c r="BN80" i="3"/>
  <c r="BQ80" i="3"/>
  <c r="BI80" i="3"/>
  <c r="BP80" i="3"/>
  <c r="BH80" i="3"/>
  <c r="BW80" i="3"/>
  <c r="BO80" i="3"/>
  <c r="BS79" i="3"/>
  <c r="BK79" i="3"/>
  <c r="BR79" i="3"/>
  <c r="BJ79" i="3"/>
  <c r="BT79" i="3"/>
  <c r="BL79" i="3"/>
  <c r="BQ79" i="3"/>
  <c r="BI79" i="3"/>
  <c r="BU79" i="3"/>
  <c r="BM79" i="3"/>
  <c r="BE79" i="3"/>
  <c r="BP79" i="3"/>
  <c r="BH79" i="3"/>
  <c r="BW79" i="3"/>
  <c r="BO79" i="3"/>
  <c r="BG79" i="3"/>
  <c r="BV79" i="3"/>
  <c r="BN79" i="3"/>
  <c r="BP78" i="3"/>
  <c r="BH78" i="3"/>
  <c r="BW78" i="3"/>
  <c r="BO78" i="3"/>
  <c r="BG78" i="3"/>
  <c r="BQ78" i="3"/>
  <c r="BV78" i="3"/>
  <c r="BN78" i="3"/>
  <c r="BF78" i="3"/>
  <c r="BU78" i="3"/>
  <c r="BM78" i="3"/>
  <c r="BK77" i="3"/>
  <c r="BH77" i="3"/>
  <c r="BG77" i="3"/>
  <c r="BV77" i="3"/>
  <c r="BN77" i="3"/>
  <c r="BF77" i="3"/>
  <c r="BR77" i="3"/>
  <c r="BQ77" i="3"/>
  <c r="BP77" i="3"/>
  <c r="BO77" i="3"/>
  <c r="BU77" i="3"/>
  <c r="BM77" i="3"/>
  <c r="BE77" i="3"/>
  <c r="BS77" i="3"/>
  <c r="BJ77" i="3"/>
  <c r="BI77" i="3"/>
  <c r="BW77" i="3"/>
  <c r="BT77" i="3"/>
  <c r="BL77" i="3"/>
  <c r="BV76" i="3"/>
  <c r="BN76" i="3"/>
  <c r="BU76" i="3"/>
  <c r="BM76" i="3"/>
  <c r="BE76" i="3"/>
  <c r="BS76" i="3"/>
  <c r="BK76" i="3"/>
  <c r="BW75" i="3"/>
  <c r="BV75" i="3"/>
  <c r="BN75" i="3"/>
  <c r="BF75" i="3"/>
  <c r="BI75" i="3"/>
  <c r="BH75" i="3"/>
  <c r="BO75" i="3"/>
  <c r="BU75" i="3"/>
  <c r="BE75" i="3"/>
  <c r="BT75" i="3"/>
  <c r="BD75" i="3"/>
  <c r="BS75" i="3"/>
  <c r="BK75" i="3"/>
  <c r="BC75" i="3"/>
  <c r="BQ75" i="3"/>
  <c r="BA75" i="3"/>
  <c r="BP75" i="3"/>
  <c r="BG75" i="3"/>
  <c r="BM75" i="3"/>
  <c r="BL75" i="3"/>
  <c r="BR75" i="3"/>
  <c r="BJ75" i="3"/>
  <c r="BP74" i="3"/>
  <c r="AZ74" i="3"/>
  <c r="BW74" i="3"/>
  <c r="BG74" i="3"/>
  <c r="BN74" i="3"/>
  <c r="BU74" i="3"/>
  <c r="BM74" i="3"/>
  <c r="BE74" i="3"/>
  <c r="BH74" i="3"/>
  <c r="BO74" i="3"/>
  <c r="BT74" i="3"/>
  <c r="BL74" i="3"/>
  <c r="BD74" i="3"/>
  <c r="BV74" i="3"/>
  <c r="BF74" i="3"/>
  <c r="BS74" i="3"/>
  <c r="BK74" i="3"/>
  <c r="BC74" i="3"/>
  <c r="BR74" i="3"/>
  <c r="BJ74" i="3"/>
  <c r="BB74" i="3"/>
  <c r="BQ74" i="3"/>
  <c r="BI74" i="3"/>
  <c r="BO73" i="3"/>
  <c r="AY73" i="3"/>
  <c r="BV73" i="3"/>
  <c r="BF73" i="3"/>
  <c r="BT73" i="3"/>
  <c r="BL73" i="3"/>
  <c r="BD73" i="3"/>
  <c r="BW73" i="3"/>
  <c r="BG73" i="3"/>
  <c r="BN73" i="3"/>
  <c r="BM73" i="3"/>
  <c r="BS73" i="3"/>
  <c r="BK73" i="3"/>
  <c r="BC73" i="3"/>
  <c r="BU73" i="3"/>
  <c r="BE73" i="3"/>
  <c r="BR73" i="3"/>
  <c r="BJ73" i="3"/>
  <c r="BB73" i="3"/>
  <c r="BQ73" i="3"/>
  <c r="BI73" i="3"/>
  <c r="BA73" i="3"/>
  <c r="BP73" i="3"/>
  <c r="BH73" i="3"/>
  <c r="BT72" i="3"/>
  <c r="BL72" i="3"/>
  <c r="BK72" i="3"/>
  <c r="BJ72" i="3"/>
  <c r="BA72" i="3"/>
  <c r="BP72" i="3"/>
  <c r="BH72" i="3"/>
  <c r="AZ72" i="3"/>
  <c r="BV72" i="3"/>
  <c r="BN72" i="3"/>
  <c r="BU72" i="3"/>
  <c r="BM72" i="3"/>
  <c r="BE72" i="3"/>
  <c r="BD72" i="3"/>
  <c r="BS72" i="3"/>
  <c r="BC72" i="3"/>
  <c r="BR72" i="3"/>
  <c r="BB72" i="3"/>
  <c r="BQ72" i="3"/>
  <c r="BI72" i="3"/>
  <c r="BW72" i="3"/>
  <c r="BO72" i="3"/>
  <c r="BG72" i="3"/>
  <c r="BS71" i="3"/>
  <c r="BK71" i="3"/>
  <c r="BC71" i="3"/>
  <c r="BR71" i="3"/>
  <c r="BJ71" i="3"/>
  <c r="BB71" i="3"/>
  <c r="BE71" i="3"/>
  <c r="BQ71" i="3"/>
  <c r="BI71" i="3"/>
  <c r="BA71" i="3"/>
  <c r="BU71" i="3"/>
  <c r="BM71" i="3"/>
  <c r="AW71" i="3"/>
  <c r="BT71" i="3"/>
  <c r="BL71" i="3"/>
  <c r="BD71" i="3"/>
  <c r="BP71" i="3"/>
  <c r="BH71" i="3"/>
  <c r="AZ71" i="3"/>
  <c r="BW71" i="3"/>
  <c r="BO71" i="3"/>
  <c r="BG71" i="3"/>
  <c r="AY71" i="3"/>
  <c r="BV71" i="3"/>
  <c r="BN71" i="3"/>
  <c r="BF71" i="3"/>
  <c r="BK70" i="3"/>
  <c r="BJ70" i="3"/>
  <c r="BS70" i="3"/>
  <c r="BC70" i="3"/>
  <c r="BR70" i="3"/>
  <c r="BQ70" i="3"/>
  <c r="BA70" i="3"/>
  <c r="BP70" i="3"/>
  <c r="BH70" i="3"/>
  <c r="BW70" i="3"/>
  <c r="BO70" i="3"/>
  <c r="BG70" i="3"/>
  <c r="BV70" i="3"/>
  <c r="AX70" i="3"/>
  <c r="BU70" i="3"/>
  <c r="BM70" i="3"/>
  <c r="BE70" i="3"/>
  <c r="AW70" i="3"/>
  <c r="BB70" i="3"/>
  <c r="BI70" i="3"/>
  <c r="AZ70" i="3"/>
  <c r="AY70" i="3"/>
  <c r="BN70" i="3"/>
  <c r="BF70" i="3"/>
  <c r="BT70" i="3"/>
  <c r="BL70" i="3"/>
  <c r="BD70" i="3"/>
  <c r="BQ69" i="3"/>
  <c r="BI69" i="3"/>
  <c r="BA69" i="3"/>
  <c r="BP69" i="3"/>
  <c r="BH69" i="3"/>
  <c r="AZ69" i="3"/>
  <c r="BS69" i="3"/>
  <c r="BK69" i="3"/>
  <c r="AU69" i="3"/>
  <c r="BR69" i="3"/>
  <c r="BJ69" i="3"/>
  <c r="BB69" i="3"/>
  <c r="BW69" i="3"/>
  <c r="BO69" i="3"/>
  <c r="BG69" i="3"/>
  <c r="AY69" i="3"/>
  <c r="BV69" i="3"/>
  <c r="BF69" i="3"/>
  <c r="AX69" i="3"/>
  <c r="BU69" i="3"/>
  <c r="BM69" i="3"/>
  <c r="BE69" i="3"/>
  <c r="AW69" i="3"/>
  <c r="BC69" i="3"/>
  <c r="BN69" i="3"/>
  <c r="BT69" i="3"/>
  <c r="BL69" i="3"/>
  <c r="BD69" i="3"/>
  <c r="BI68" i="3"/>
  <c r="AZ68" i="3"/>
  <c r="BG68" i="3"/>
  <c r="BF68" i="3"/>
  <c r="AX68" i="3"/>
  <c r="BQ68" i="3"/>
  <c r="BP68" i="3"/>
  <c r="BU68" i="3"/>
  <c r="BM68" i="3"/>
  <c r="BE68" i="3"/>
  <c r="AW68" i="3"/>
  <c r="BW68" i="3"/>
  <c r="AY68" i="3"/>
  <c r="BV68" i="3"/>
  <c r="BT68" i="3"/>
  <c r="AV68" i="3"/>
  <c r="BS68" i="3"/>
  <c r="BK68" i="3"/>
  <c r="BC68" i="3"/>
  <c r="AU68" i="3"/>
  <c r="BA68" i="3"/>
  <c r="BH68" i="3"/>
  <c r="BO68" i="3"/>
  <c r="BN68" i="3"/>
  <c r="BL68" i="3"/>
  <c r="BD68" i="3"/>
  <c r="BR68" i="3"/>
  <c r="BJ68" i="3"/>
  <c r="BB68" i="3"/>
  <c r="BW67" i="3"/>
  <c r="BO67" i="3"/>
  <c r="BG67" i="3"/>
  <c r="AY67" i="3"/>
  <c r="BV67" i="3"/>
  <c r="BN67" i="3"/>
  <c r="BF67" i="3"/>
  <c r="AX67" i="3"/>
  <c r="AW67" i="3"/>
  <c r="BQ67" i="3"/>
  <c r="BI67" i="3"/>
  <c r="BA67" i="3"/>
  <c r="AS67" i="3"/>
  <c r="BP67" i="3"/>
  <c r="BH67" i="3"/>
  <c r="AZ67" i="3"/>
  <c r="BU67" i="3"/>
  <c r="BM67" i="3"/>
  <c r="BE67" i="3"/>
  <c r="BT67" i="3"/>
  <c r="BL67" i="3"/>
  <c r="BD67" i="3"/>
  <c r="AV67" i="3"/>
  <c r="BS67" i="3"/>
  <c r="BK67" i="3"/>
  <c r="BC67" i="3"/>
  <c r="AU67" i="3"/>
  <c r="BR67" i="3"/>
  <c r="BJ67" i="3"/>
  <c r="BB67" i="3"/>
  <c r="BP66" i="3"/>
  <c r="AW66" i="3"/>
  <c r="BE66" i="3"/>
  <c r="BM66" i="3"/>
  <c r="BU66" i="3"/>
  <c r="AX66" i="3"/>
  <c r="BF66" i="3"/>
  <c r="BN66" i="3"/>
  <c r="BV66" i="3"/>
  <c r="AR66" i="3"/>
  <c r="AY66" i="3"/>
  <c r="BG66" i="3"/>
  <c r="BO66" i="3"/>
  <c r="BW66" i="3"/>
  <c r="AZ66" i="3"/>
  <c r="BH66" i="3"/>
  <c r="AS66" i="3"/>
  <c r="BA66" i="3"/>
  <c r="BI66" i="3"/>
  <c r="BQ66" i="3"/>
  <c r="AT66" i="3"/>
  <c r="BB66" i="3"/>
  <c r="BJ66" i="3"/>
  <c r="BR66" i="3"/>
  <c r="AU66" i="3"/>
  <c r="BC66" i="3"/>
  <c r="BK66" i="3"/>
  <c r="BS66" i="3"/>
  <c r="AV66" i="3"/>
  <c r="BD66" i="3"/>
  <c r="BL66" i="3"/>
  <c r="BO65" i="3"/>
  <c r="BF65" i="3"/>
  <c r="BW65" i="3"/>
  <c r="BG65" i="3"/>
  <c r="AY65" i="3"/>
  <c r="AQ65" i="3"/>
  <c r="BV65" i="3"/>
  <c r="BN65" i="3"/>
  <c r="AX65" i="3"/>
  <c r="BU65" i="3"/>
  <c r="BE65" i="3"/>
  <c r="BT65" i="3"/>
  <c r="BD65" i="3"/>
  <c r="BC65" i="3"/>
  <c r="BR65" i="3"/>
  <c r="BJ65" i="3"/>
  <c r="BB65" i="3"/>
  <c r="AT65" i="3"/>
  <c r="BM65" i="3"/>
  <c r="AW65" i="3"/>
  <c r="BL65" i="3"/>
  <c r="AV65" i="3"/>
  <c r="BS65" i="3"/>
  <c r="BK65" i="3"/>
  <c r="AU65" i="3"/>
  <c r="BQ65" i="3"/>
  <c r="BI65" i="3"/>
  <c r="BA65" i="3"/>
  <c r="AS65" i="3"/>
  <c r="BP65" i="3"/>
  <c r="BH65" i="3"/>
  <c r="AZ65" i="3"/>
  <c r="BN64" i="3"/>
  <c r="AX64" i="3"/>
  <c r="BU64" i="3"/>
  <c r="BE64" i="3"/>
  <c r="AW64" i="3"/>
  <c r="BL64" i="3"/>
  <c r="BD64" i="3"/>
  <c r="AV64" i="3"/>
  <c r="BS64" i="3"/>
  <c r="BK64" i="3"/>
  <c r="BC64" i="3"/>
  <c r="AU64" i="3"/>
  <c r="BV64" i="3"/>
  <c r="BF64" i="3"/>
  <c r="AP64" i="3"/>
  <c r="BM64" i="3"/>
  <c r="BT64" i="3"/>
  <c r="BQ64" i="3"/>
  <c r="BI64" i="3"/>
  <c r="BA64" i="3"/>
  <c r="AS64" i="3"/>
  <c r="BR64" i="3"/>
  <c r="BJ64" i="3"/>
  <c r="BB64" i="3"/>
  <c r="AT64" i="3"/>
  <c r="BP64" i="3"/>
  <c r="BH64" i="3"/>
  <c r="AZ64" i="3"/>
  <c r="AR64" i="3"/>
  <c r="BW64" i="3"/>
  <c r="BO64" i="3"/>
  <c r="BG64" i="3"/>
  <c r="AY64" i="3"/>
  <c r="AL3" i="3" l="1"/>
  <c r="AL4" i="3" s="1"/>
  <c r="AL5" i="3" s="1"/>
  <c r="AL6" i="3" s="1"/>
  <c r="AL7" i="3" s="1"/>
  <c r="AL8" i="3" s="1"/>
  <c r="AL9" i="3" s="1"/>
  <c r="AL10" i="3" s="1"/>
  <c r="AL11" i="3" s="1"/>
  <c r="AL12" i="3" s="1"/>
  <c r="AL13" i="3" s="1"/>
  <c r="AL14" i="3" s="1"/>
  <c r="AL15" i="3" s="1"/>
  <c r="AL16" i="3" s="1"/>
  <c r="AL17" i="3" s="1"/>
  <c r="AL18" i="3" s="1"/>
  <c r="AL19" i="3" s="1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L65" i="3" s="1"/>
  <c r="AL66" i="3" s="1"/>
  <c r="AL67" i="3" s="1"/>
  <c r="AL68" i="3" s="1"/>
  <c r="AL69" i="3" s="1"/>
  <c r="AL70" i="3" s="1"/>
  <c r="AL71" i="3" s="1"/>
  <c r="AL72" i="3" s="1"/>
  <c r="AL73" i="3" s="1"/>
  <c r="AL74" i="3" s="1"/>
  <c r="AL75" i="3" s="1"/>
  <c r="AL76" i="3" s="1"/>
  <c r="AL77" i="3" s="1"/>
  <c r="AL78" i="3" s="1"/>
  <c r="AL79" i="3" s="1"/>
  <c r="AL80" i="3" s="1"/>
  <c r="AL81" i="3" s="1"/>
  <c r="AL82" i="3" s="1"/>
  <c r="AL83" i="3" s="1"/>
  <c r="AL84" i="3" s="1"/>
  <c r="AL85" i="3" s="1"/>
  <c r="AL86" i="3" s="1"/>
  <c r="AL87" i="3" s="1"/>
  <c r="AL88" i="3" s="1"/>
  <c r="AL89" i="3" s="1"/>
  <c r="AL90" i="3" s="1"/>
  <c r="AL91" i="3" s="1"/>
  <c r="AL92" i="3" s="1"/>
  <c r="AL93" i="3" s="1"/>
  <c r="AL94" i="3" s="1"/>
  <c r="AL95" i="3" s="1"/>
  <c r="AL96" i="3" s="1"/>
  <c r="AL97" i="3" s="1"/>
  <c r="AL98" i="3" s="1"/>
  <c r="AL99" i="3" s="1"/>
  <c r="AL100" i="3" s="1"/>
  <c r="AL101" i="3" s="1"/>
  <c r="AL102" i="3" s="1"/>
  <c r="AL103" i="3" s="1"/>
  <c r="AL104" i="3" s="1"/>
  <c r="AL105" i="3" s="1"/>
  <c r="AL106" i="3" s="1"/>
  <c r="AL107" i="3" s="1"/>
  <c r="AL108" i="3" s="1"/>
  <c r="AL109" i="3" s="1"/>
  <c r="AL110" i="3" s="1"/>
  <c r="AL111" i="3" s="1"/>
  <c r="AL112" i="3" s="1"/>
  <c r="AL113" i="3" s="1"/>
  <c r="AL114" i="3" s="1"/>
  <c r="AL115" i="3" s="1"/>
  <c r="AL116" i="3" s="1"/>
  <c r="AL117" i="3" s="1"/>
  <c r="AL118" i="3" s="1"/>
  <c r="AL119" i="3" s="1"/>
  <c r="AL120" i="3" s="1"/>
  <c r="AL121" i="3" s="1"/>
  <c r="AL122" i="3" s="1"/>
  <c r="AL123" i="3" s="1"/>
  <c r="AL124" i="3" s="1"/>
  <c r="AL125" i="3" s="1"/>
  <c r="AL126" i="3" s="1"/>
  <c r="AL127" i="3" s="1"/>
  <c r="AL128" i="3" s="1"/>
  <c r="AL129" i="3" s="1"/>
  <c r="AL130" i="3" s="1"/>
  <c r="AL131" i="3" s="1"/>
  <c r="AL132" i="3" s="1"/>
  <c r="AL133" i="3" s="1"/>
  <c r="AL134" i="3" s="1"/>
  <c r="AL135" i="3" s="1"/>
  <c r="AL136" i="3" s="1"/>
  <c r="AL137" i="3" s="1"/>
  <c r="AL138" i="3" s="1"/>
  <c r="AL139" i="3" s="1"/>
  <c r="AL140" i="3" s="1"/>
  <c r="AL141" i="3" s="1"/>
  <c r="AL142" i="3" s="1"/>
  <c r="AL143" i="3" s="1"/>
  <c r="AL144" i="3" s="1"/>
  <c r="AL145" i="3" s="1"/>
  <c r="AL146" i="3" s="1"/>
  <c r="AL147" i="3" s="1"/>
  <c r="AL148" i="3" s="1"/>
  <c r="AL149" i="3" s="1"/>
  <c r="AL150" i="3" s="1"/>
  <c r="AL151" i="3" s="1"/>
  <c r="AL152" i="3" s="1"/>
  <c r="AL153" i="3" s="1"/>
  <c r="AL154" i="3" s="1"/>
  <c r="AL155" i="3" s="1"/>
  <c r="AL156" i="3" s="1"/>
  <c r="AL157" i="3" s="1"/>
  <c r="AL158" i="3" s="1"/>
  <c r="AL159" i="3" s="1"/>
  <c r="AL160" i="3" s="1"/>
  <c r="AL161" i="3" s="1"/>
  <c r="AL162" i="3" s="1"/>
  <c r="AL163" i="3" s="1"/>
  <c r="AL164" i="3" s="1"/>
  <c r="AL165" i="3" s="1"/>
  <c r="AL166" i="3" s="1"/>
  <c r="AL167" i="3" s="1"/>
  <c r="AL168" i="3" s="1"/>
  <c r="AL169" i="3" s="1"/>
  <c r="AL170" i="3" s="1"/>
  <c r="AL171" i="3" s="1"/>
  <c r="AL172" i="3" s="1"/>
  <c r="AL173" i="3" s="1"/>
  <c r="AL174" i="3" s="1"/>
  <c r="AL175" i="3" s="1"/>
  <c r="AL176" i="3" s="1"/>
  <c r="AL177" i="3" s="1"/>
  <c r="AL178" i="3" s="1"/>
  <c r="AL179" i="3" s="1"/>
  <c r="AL180" i="3" s="1"/>
  <c r="AL181" i="3" s="1"/>
  <c r="AL182" i="3" s="1"/>
  <c r="AL183" i="3" s="1"/>
  <c r="AL184" i="3" s="1"/>
  <c r="AL185" i="3" s="1"/>
  <c r="AL186" i="3" s="1"/>
  <c r="AL187" i="3" s="1"/>
  <c r="AL188" i="3" s="1"/>
  <c r="AL189" i="3" s="1"/>
  <c r="AL190" i="3" s="1"/>
  <c r="AL191" i="3" s="1"/>
  <c r="AL192" i="3" s="1"/>
  <c r="AL193" i="3" s="1"/>
  <c r="AL194" i="3" s="1"/>
  <c r="AL195" i="3" s="1"/>
  <c r="AL196" i="3" s="1"/>
  <c r="AL197" i="3" s="1"/>
  <c r="AL198" i="3" s="1"/>
  <c r="AL199" i="3" s="1"/>
  <c r="AL200" i="3" s="1"/>
  <c r="AL201" i="3" s="1"/>
  <c r="AL202" i="3" s="1"/>
  <c r="AL203" i="3" s="1"/>
  <c r="AL204" i="3" s="1"/>
  <c r="AL205" i="3" s="1"/>
  <c r="AL206" i="3" s="1"/>
  <c r="AL207" i="3" s="1"/>
  <c r="AL208" i="3" s="1"/>
  <c r="AL209" i="3" s="1"/>
  <c r="AL210" i="3" s="1"/>
  <c r="AL211" i="3" s="1"/>
  <c r="AL212" i="3" s="1"/>
  <c r="AL213" i="3" s="1"/>
  <c r="AL214" i="3" s="1"/>
  <c r="AL215" i="3" s="1"/>
  <c r="AL216" i="3" s="1"/>
  <c r="AL217" i="3" s="1"/>
  <c r="AL218" i="3" s="1"/>
  <c r="AL219" i="3" s="1"/>
  <c r="AL220" i="3" s="1"/>
  <c r="AL221" i="3" s="1"/>
  <c r="AL222" i="3" s="1"/>
  <c r="AL223" i="3" s="1"/>
  <c r="AL224" i="3" s="1"/>
  <c r="AL225" i="3" s="1"/>
  <c r="AL226" i="3" s="1"/>
  <c r="AL227" i="3" s="1"/>
  <c r="AL228" i="3" s="1"/>
  <c r="AL229" i="3" s="1"/>
  <c r="AL230" i="3" s="1"/>
  <c r="AL231" i="3" s="1"/>
  <c r="AL232" i="3" s="1"/>
  <c r="AL233" i="3" s="1"/>
  <c r="AL234" i="3" s="1"/>
  <c r="AL235" i="3" s="1"/>
  <c r="AL236" i="3" s="1"/>
  <c r="AL237" i="3" s="1"/>
  <c r="AL238" i="3" s="1"/>
  <c r="AL239" i="3" s="1"/>
  <c r="AL240" i="3" s="1"/>
  <c r="AL241" i="3" s="1"/>
  <c r="AL242" i="3" s="1"/>
  <c r="AL243" i="3" s="1"/>
  <c r="AL244" i="3" s="1"/>
  <c r="AL245" i="3" s="1"/>
  <c r="AL246" i="3" s="1"/>
  <c r="AL247" i="3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K3" i="3"/>
  <c r="AK4" i="3" s="1"/>
  <c r="AK5" i="3" s="1"/>
  <c r="AK6" i="3" s="1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K77" i="3" s="1"/>
  <c r="AK78" i="3" s="1"/>
  <c r="AK79" i="3" s="1"/>
  <c r="AK80" i="3" s="1"/>
  <c r="AK81" i="3" s="1"/>
  <c r="AK82" i="3" s="1"/>
  <c r="AK83" i="3" s="1"/>
  <c r="AK84" i="3" s="1"/>
  <c r="AK85" i="3" s="1"/>
  <c r="AK86" i="3" s="1"/>
  <c r="AK87" i="3" s="1"/>
  <c r="AK88" i="3" s="1"/>
  <c r="AK89" i="3" s="1"/>
  <c r="AK90" i="3" s="1"/>
  <c r="AK91" i="3" s="1"/>
  <c r="AK92" i="3" s="1"/>
  <c r="AK93" i="3" s="1"/>
  <c r="AK94" i="3" s="1"/>
  <c r="AK95" i="3" s="1"/>
  <c r="AK96" i="3" s="1"/>
  <c r="AK97" i="3" s="1"/>
  <c r="AK98" i="3" s="1"/>
  <c r="AK99" i="3" s="1"/>
  <c r="AK100" i="3" s="1"/>
  <c r="AK101" i="3" s="1"/>
  <c r="AK102" i="3" s="1"/>
  <c r="AK103" i="3" s="1"/>
  <c r="AK104" i="3" s="1"/>
  <c r="AK105" i="3" s="1"/>
  <c r="AK106" i="3" s="1"/>
  <c r="AK107" i="3" s="1"/>
  <c r="AK108" i="3" s="1"/>
  <c r="AK109" i="3" s="1"/>
  <c r="AK110" i="3" s="1"/>
  <c r="AK111" i="3" s="1"/>
  <c r="AK112" i="3" s="1"/>
  <c r="AK113" i="3" s="1"/>
  <c r="AK114" i="3" s="1"/>
  <c r="AK115" i="3" s="1"/>
  <c r="AK116" i="3" s="1"/>
  <c r="AK117" i="3" s="1"/>
  <c r="AK118" i="3" s="1"/>
  <c r="AK119" i="3" s="1"/>
  <c r="AK120" i="3" s="1"/>
  <c r="AK121" i="3" s="1"/>
  <c r="AK122" i="3" s="1"/>
  <c r="AK123" i="3" s="1"/>
  <c r="AK124" i="3" s="1"/>
  <c r="AK125" i="3" s="1"/>
  <c r="AK126" i="3" s="1"/>
  <c r="AK127" i="3" s="1"/>
  <c r="AK128" i="3" s="1"/>
  <c r="AK129" i="3" s="1"/>
  <c r="AK130" i="3" s="1"/>
  <c r="AK131" i="3" s="1"/>
  <c r="AK132" i="3" s="1"/>
  <c r="AK133" i="3" s="1"/>
  <c r="AK134" i="3" s="1"/>
  <c r="AK135" i="3" s="1"/>
  <c r="AK136" i="3" s="1"/>
  <c r="AK137" i="3" s="1"/>
  <c r="AK138" i="3" s="1"/>
  <c r="AK139" i="3" s="1"/>
  <c r="AK140" i="3" s="1"/>
  <c r="AK141" i="3" s="1"/>
  <c r="AK142" i="3" s="1"/>
  <c r="AK143" i="3" s="1"/>
  <c r="AK144" i="3" s="1"/>
  <c r="AK145" i="3" s="1"/>
  <c r="AK146" i="3" s="1"/>
  <c r="AK147" i="3" s="1"/>
  <c r="AK148" i="3" s="1"/>
  <c r="AK149" i="3" s="1"/>
  <c r="AK150" i="3" s="1"/>
  <c r="AK151" i="3" s="1"/>
  <c r="AK152" i="3" s="1"/>
  <c r="AK153" i="3" s="1"/>
  <c r="AK154" i="3" s="1"/>
  <c r="AK155" i="3" s="1"/>
  <c r="AK156" i="3" s="1"/>
  <c r="AK157" i="3" s="1"/>
  <c r="AK158" i="3" s="1"/>
  <c r="AK159" i="3" s="1"/>
  <c r="AK160" i="3" s="1"/>
  <c r="AK161" i="3" s="1"/>
  <c r="AK162" i="3" s="1"/>
  <c r="AK163" i="3" s="1"/>
  <c r="AK164" i="3" s="1"/>
  <c r="AK165" i="3" s="1"/>
  <c r="AK166" i="3" s="1"/>
  <c r="AK167" i="3" s="1"/>
  <c r="AK168" i="3" s="1"/>
  <c r="AK169" i="3" s="1"/>
  <c r="AK170" i="3" s="1"/>
  <c r="AK171" i="3" s="1"/>
  <c r="AK172" i="3" s="1"/>
  <c r="AK173" i="3" s="1"/>
  <c r="AK174" i="3" s="1"/>
  <c r="AK175" i="3" s="1"/>
  <c r="AK176" i="3" s="1"/>
  <c r="AK177" i="3" s="1"/>
  <c r="AK178" i="3" s="1"/>
  <c r="AK179" i="3" s="1"/>
  <c r="AK180" i="3" s="1"/>
  <c r="AK181" i="3" s="1"/>
  <c r="AK182" i="3" s="1"/>
  <c r="AK183" i="3" s="1"/>
  <c r="AK184" i="3" s="1"/>
  <c r="AK185" i="3" s="1"/>
  <c r="AK186" i="3" s="1"/>
  <c r="AK187" i="3" s="1"/>
  <c r="AK188" i="3" s="1"/>
  <c r="AK189" i="3" s="1"/>
  <c r="AK190" i="3" s="1"/>
  <c r="AK191" i="3" s="1"/>
  <c r="AK192" i="3" s="1"/>
  <c r="AK193" i="3" s="1"/>
  <c r="AK194" i="3" s="1"/>
  <c r="AK195" i="3" s="1"/>
  <c r="AK196" i="3" s="1"/>
  <c r="AK197" i="3" s="1"/>
  <c r="AK198" i="3" s="1"/>
  <c r="AK199" i="3" s="1"/>
  <c r="AK200" i="3" s="1"/>
  <c r="AK201" i="3" s="1"/>
  <c r="AK202" i="3" s="1"/>
  <c r="AK203" i="3" s="1"/>
  <c r="AK204" i="3" s="1"/>
  <c r="AK205" i="3" s="1"/>
  <c r="AK206" i="3" s="1"/>
  <c r="AK207" i="3" s="1"/>
  <c r="AK208" i="3" s="1"/>
  <c r="AK209" i="3" s="1"/>
  <c r="AK210" i="3" s="1"/>
  <c r="AK211" i="3" s="1"/>
  <c r="AK212" i="3" s="1"/>
  <c r="AK213" i="3" s="1"/>
  <c r="AK214" i="3" s="1"/>
  <c r="AK215" i="3" s="1"/>
  <c r="AK216" i="3" s="1"/>
  <c r="AK217" i="3" s="1"/>
  <c r="AK218" i="3" s="1"/>
  <c r="AK219" i="3" s="1"/>
  <c r="AK220" i="3" s="1"/>
  <c r="AK221" i="3" s="1"/>
  <c r="AK222" i="3" s="1"/>
  <c r="AK223" i="3" s="1"/>
  <c r="AK224" i="3" s="1"/>
  <c r="AK225" i="3" s="1"/>
  <c r="AK226" i="3" s="1"/>
  <c r="AK227" i="3" s="1"/>
  <c r="AK228" i="3" s="1"/>
  <c r="AK229" i="3" s="1"/>
  <c r="AK230" i="3" s="1"/>
  <c r="AK231" i="3" s="1"/>
  <c r="AK232" i="3" s="1"/>
  <c r="AK233" i="3" s="1"/>
  <c r="AK234" i="3" s="1"/>
  <c r="AK235" i="3" s="1"/>
  <c r="AK236" i="3" s="1"/>
  <c r="AK237" i="3" s="1"/>
  <c r="AK238" i="3" s="1"/>
  <c r="AK239" i="3" s="1"/>
  <c r="AK240" i="3" s="1"/>
  <c r="AK241" i="3" s="1"/>
  <c r="AK242" i="3" s="1"/>
  <c r="AK243" i="3" s="1"/>
  <c r="AK244" i="3" s="1"/>
  <c r="AK245" i="3" s="1"/>
  <c r="AK246" i="3" s="1"/>
  <c r="AK247" i="3" s="1"/>
  <c r="D3" i="3"/>
  <c r="E3" i="3"/>
  <c r="F3" i="3"/>
  <c r="G3" i="3"/>
  <c r="H3" i="3"/>
  <c r="I3" i="3"/>
  <c r="J3" i="3"/>
  <c r="K3" i="3"/>
  <c r="L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3" i="3"/>
  <c r="AO9" i="3"/>
  <c r="AG4" i="3" l="1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G64" i="3" s="1"/>
  <c r="AG65" i="3" s="1"/>
  <c r="AG66" i="3" s="1"/>
  <c r="AG67" i="3" s="1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AG79" i="3" s="1"/>
  <c r="AG80" i="3" s="1"/>
  <c r="AG81" i="3" s="1"/>
  <c r="AG82" i="3" s="1"/>
  <c r="AG83" i="3" s="1"/>
  <c r="AG84" i="3" s="1"/>
  <c r="AG85" i="3" s="1"/>
  <c r="AG86" i="3" s="1"/>
  <c r="AG87" i="3" s="1"/>
  <c r="AG88" i="3" s="1"/>
  <c r="AG89" i="3" s="1"/>
  <c r="AG90" i="3" s="1"/>
  <c r="AG91" i="3" s="1"/>
  <c r="AG92" i="3" s="1"/>
  <c r="AG93" i="3" s="1"/>
  <c r="AG94" i="3" s="1"/>
  <c r="AG95" i="3" s="1"/>
  <c r="AG96" i="3" s="1"/>
  <c r="AG97" i="3" s="1"/>
  <c r="AG98" i="3" s="1"/>
  <c r="AG99" i="3" s="1"/>
  <c r="AG100" i="3" s="1"/>
  <c r="AG101" i="3" s="1"/>
  <c r="AG102" i="3" s="1"/>
  <c r="AG103" i="3" s="1"/>
  <c r="AG104" i="3" s="1"/>
  <c r="AG105" i="3" s="1"/>
  <c r="AG106" i="3" s="1"/>
  <c r="AG107" i="3" s="1"/>
  <c r="AG108" i="3" s="1"/>
  <c r="AG109" i="3" s="1"/>
  <c r="AG110" i="3" s="1"/>
  <c r="AG111" i="3" s="1"/>
  <c r="AG112" i="3" s="1"/>
  <c r="AG113" i="3" s="1"/>
  <c r="AG114" i="3" s="1"/>
  <c r="AG115" i="3" s="1"/>
  <c r="AG116" i="3" s="1"/>
  <c r="AG117" i="3" s="1"/>
  <c r="AG118" i="3" s="1"/>
  <c r="AG119" i="3" s="1"/>
  <c r="AG120" i="3" s="1"/>
  <c r="AG121" i="3" s="1"/>
  <c r="AG122" i="3" s="1"/>
  <c r="AG123" i="3" s="1"/>
  <c r="AG124" i="3" s="1"/>
  <c r="AG125" i="3" s="1"/>
  <c r="AG126" i="3" s="1"/>
  <c r="AG127" i="3" s="1"/>
  <c r="AG128" i="3" s="1"/>
  <c r="AG129" i="3" s="1"/>
  <c r="AG130" i="3" s="1"/>
  <c r="AG131" i="3" s="1"/>
  <c r="AG132" i="3" s="1"/>
  <c r="AG133" i="3" s="1"/>
  <c r="AG134" i="3" s="1"/>
  <c r="AG135" i="3" s="1"/>
  <c r="AG136" i="3" s="1"/>
  <c r="AG137" i="3" s="1"/>
  <c r="AG138" i="3" s="1"/>
  <c r="AG139" i="3" s="1"/>
  <c r="AG140" i="3" s="1"/>
  <c r="AG141" i="3" s="1"/>
  <c r="AG142" i="3" s="1"/>
  <c r="AG143" i="3" s="1"/>
  <c r="AG144" i="3" s="1"/>
  <c r="AG145" i="3" s="1"/>
  <c r="AG146" i="3" s="1"/>
  <c r="AG147" i="3" s="1"/>
  <c r="AG148" i="3" s="1"/>
  <c r="AG149" i="3" s="1"/>
  <c r="AG150" i="3" s="1"/>
  <c r="AG151" i="3" s="1"/>
  <c r="AG152" i="3" s="1"/>
  <c r="AG153" i="3" s="1"/>
  <c r="AG154" i="3" s="1"/>
  <c r="AG155" i="3" s="1"/>
  <c r="AG156" i="3" s="1"/>
  <c r="AG157" i="3" s="1"/>
  <c r="AG158" i="3" s="1"/>
  <c r="AG159" i="3" s="1"/>
  <c r="AG160" i="3" s="1"/>
  <c r="AG161" i="3" s="1"/>
  <c r="AG162" i="3" s="1"/>
  <c r="AG163" i="3" s="1"/>
  <c r="AG164" i="3" s="1"/>
  <c r="AG165" i="3" s="1"/>
  <c r="AG166" i="3" s="1"/>
  <c r="AG167" i="3" s="1"/>
  <c r="AG168" i="3" s="1"/>
  <c r="AG169" i="3" s="1"/>
  <c r="AG170" i="3" s="1"/>
  <c r="AG171" i="3" s="1"/>
  <c r="AG172" i="3" s="1"/>
  <c r="AG173" i="3" s="1"/>
  <c r="AG174" i="3" s="1"/>
  <c r="AG175" i="3" s="1"/>
  <c r="AG176" i="3" s="1"/>
  <c r="AG177" i="3" s="1"/>
  <c r="AG178" i="3" s="1"/>
  <c r="AG179" i="3" s="1"/>
  <c r="AG180" i="3" s="1"/>
  <c r="AG181" i="3" s="1"/>
  <c r="AG182" i="3" s="1"/>
  <c r="AG183" i="3" s="1"/>
  <c r="AG184" i="3" s="1"/>
  <c r="AG185" i="3" s="1"/>
  <c r="AG186" i="3" s="1"/>
  <c r="AG187" i="3" s="1"/>
  <c r="AG188" i="3" s="1"/>
  <c r="AG189" i="3" s="1"/>
  <c r="AG190" i="3" s="1"/>
  <c r="AG191" i="3" s="1"/>
  <c r="AG192" i="3" s="1"/>
  <c r="AG193" i="3" s="1"/>
  <c r="AG194" i="3" s="1"/>
  <c r="AG195" i="3" s="1"/>
  <c r="AG196" i="3" s="1"/>
  <c r="AG197" i="3" s="1"/>
  <c r="AG198" i="3" s="1"/>
  <c r="AG199" i="3" s="1"/>
  <c r="AG200" i="3" s="1"/>
  <c r="AG201" i="3" s="1"/>
  <c r="AG202" i="3" s="1"/>
  <c r="AG203" i="3" s="1"/>
  <c r="AG204" i="3" s="1"/>
  <c r="AG205" i="3" s="1"/>
  <c r="AG206" i="3" s="1"/>
  <c r="AG207" i="3" s="1"/>
  <c r="AG208" i="3" s="1"/>
  <c r="AG209" i="3" s="1"/>
  <c r="AG210" i="3" s="1"/>
  <c r="AG211" i="3" s="1"/>
  <c r="AG212" i="3" s="1"/>
  <c r="AG213" i="3" s="1"/>
  <c r="AG214" i="3" s="1"/>
  <c r="AG215" i="3" s="1"/>
  <c r="AG216" i="3" s="1"/>
  <c r="AG217" i="3" s="1"/>
  <c r="AG218" i="3" s="1"/>
  <c r="AG219" i="3" s="1"/>
  <c r="AG220" i="3" s="1"/>
  <c r="AG221" i="3" s="1"/>
  <c r="AG222" i="3" s="1"/>
  <c r="AG223" i="3" s="1"/>
  <c r="AG224" i="3" s="1"/>
  <c r="AG225" i="3" s="1"/>
  <c r="AG226" i="3" s="1"/>
  <c r="AG227" i="3" s="1"/>
  <c r="AG228" i="3" s="1"/>
  <c r="AG229" i="3" s="1"/>
  <c r="AG230" i="3" s="1"/>
  <c r="AG231" i="3" s="1"/>
  <c r="AG232" i="3" s="1"/>
  <c r="AG233" i="3" s="1"/>
  <c r="AG234" i="3" s="1"/>
  <c r="AG235" i="3" s="1"/>
  <c r="AG236" i="3" s="1"/>
  <c r="AG237" i="3" s="1"/>
  <c r="AG238" i="3" s="1"/>
  <c r="AG239" i="3" s="1"/>
  <c r="AG240" i="3" s="1"/>
  <c r="AG241" i="3" s="1"/>
  <c r="AG242" i="3" s="1"/>
  <c r="AG243" i="3" s="1"/>
  <c r="AG244" i="3" s="1"/>
  <c r="AG245" i="3" s="1"/>
  <c r="AG246" i="3" s="1"/>
  <c r="AG247" i="3" s="1"/>
  <c r="Y4" i="3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N4" i="3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H4" i="3"/>
  <c r="AH5" i="3" s="1"/>
  <c r="AH6" i="3" s="1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AH77" i="3" s="1"/>
  <c r="AH78" i="3" s="1"/>
  <c r="AH79" i="3" s="1"/>
  <c r="AH80" i="3" s="1"/>
  <c r="AH81" i="3" s="1"/>
  <c r="AH82" i="3" s="1"/>
  <c r="AH83" i="3" s="1"/>
  <c r="AH84" i="3" s="1"/>
  <c r="AH85" i="3" s="1"/>
  <c r="AH86" i="3" s="1"/>
  <c r="AH87" i="3" s="1"/>
  <c r="AH88" i="3" s="1"/>
  <c r="AH89" i="3" s="1"/>
  <c r="AH90" i="3" s="1"/>
  <c r="AH91" i="3" s="1"/>
  <c r="AH92" i="3" s="1"/>
  <c r="AH93" i="3" s="1"/>
  <c r="AH94" i="3" s="1"/>
  <c r="AH95" i="3" s="1"/>
  <c r="AH96" i="3" s="1"/>
  <c r="AH97" i="3" s="1"/>
  <c r="AH98" i="3" s="1"/>
  <c r="AH99" i="3" s="1"/>
  <c r="AH100" i="3" s="1"/>
  <c r="AH101" i="3" s="1"/>
  <c r="AH102" i="3" s="1"/>
  <c r="AH103" i="3" s="1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18" i="3" s="1"/>
  <c r="AH119" i="3" s="1"/>
  <c r="AH120" i="3" s="1"/>
  <c r="AH121" i="3" s="1"/>
  <c r="AH122" i="3" s="1"/>
  <c r="AH123" i="3" s="1"/>
  <c r="AH124" i="3" s="1"/>
  <c r="AH125" i="3" s="1"/>
  <c r="AH126" i="3" s="1"/>
  <c r="AH127" i="3" s="1"/>
  <c r="AH128" i="3" s="1"/>
  <c r="AH129" i="3" s="1"/>
  <c r="AH130" i="3" s="1"/>
  <c r="AH131" i="3" s="1"/>
  <c r="AH132" i="3" s="1"/>
  <c r="AH133" i="3" s="1"/>
  <c r="AH134" i="3" s="1"/>
  <c r="AH135" i="3" s="1"/>
  <c r="AH136" i="3" s="1"/>
  <c r="AH137" i="3" s="1"/>
  <c r="AH138" i="3" s="1"/>
  <c r="AH139" i="3" s="1"/>
  <c r="AH140" i="3" s="1"/>
  <c r="AH141" i="3" s="1"/>
  <c r="AH142" i="3" s="1"/>
  <c r="AH143" i="3" s="1"/>
  <c r="AH144" i="3" s="1"/>
  <c r="AH145" i="3" s="1"/>
  <c r="AH146" i="3" s="1"/>
  <c r="AH147" i="3" s="1"/>
  <c r="AH148" i="3" s="1"/>
  <c r="AH149" i="3" s="1"/>
  <c r="AH150" i="3" s="1"/>
  <c r="AH151" i="3" s="1"/>
  <c r="AH152" i="3" s="1"/>
  <c r="AH153" i="3" s="1"/>
  <c r="AH154" i="3" s="1"/>
  <c r="AH155" i="3" s="1"/>
  <c r="AH156" i="3" s="1"/>
  <c r="AH157" i="3" s="1"/>
  <c r="AH158" i="3" s="1"/>
  <c r="AH159" i="3" s="1"/>
  <c r="AH160" i="3" s="1"/>
  <c r="AH161" i="3" s="1"/>
  <c r="AH162" i="3" s="1"/>
  <c r="AH163" i="3" s="1"/>
  <c r="AH164" i="3" s="1"/>
  <c r="AH165" i="3" s="1"/>
  <c r="AH166" i="3" s="1"/>
  <c r="AH167" i="3" s="1"/>
  <c r="AH168" i="3" s="1"/>
  <c r="AH169" i="3" s="1"/>
  <c r="AH170" i="3" s="1"/>
  <c r="AH171" i="3" s="1"/>
  <c r="AH172" i="3" s="1"/>
  <c r="AH173" i="3" s="1"/>
  <c r="AH174" i="3" s="1"/>
  <c r="AH175" i="3" s="1"/>
  <c r="AH176" i="3" s="1"/>
  <c r="AH177" i="3" s="1"/>
  <c r="AH178" i="3" s="1"/>
  <c r="AH179" i="3" s="1"/>
  <c r="AH180" i="3" s="1"/>
  <c r="AH181" i="3" s="1"/>
  <c r="AH182" i="3" s="1"/>
  <c r="AH183" i="3" s="1"/>
  <c r="AH184" i="3" s="1"/>
  <c r="AH185" i="3" s="1"/>
  <c r="AH186" i="3" s="1"/>
  <c r="AH187" i="3" s="1"/>
  <c r="AH188" i="3" s="1"/>
  <c r="AH189" i="3" s="1"/>
  <c r="AH190" i="3" s="1"/>
  <c r="AH191" i="3" s="1"/>
  <c r="AH192" i="3" s="1"/>
  <c r="AH193" i="3" s="1"/>
  <c r="AH194" i="3" s="1"/>
  <c r="AH195" i="3" s="1"/>
  <c r="AH196" i="3" s="1"/>
  <c r="AH197" i="3" s="1"/>
  <c r="AH198" i="3" s="1"/>
  <c r="AH199" i="3" s="1"/>
  <c r="AH200" i="3" s="1"/>
  <c r="AH201" i="3" s="1"/>
  <c r="AH202" i="3" s="1"/>
  <c r="AH203" i="3" s="1"/>
  <c r="AH204" i="3" s="1"/>
  <c r="AH205" i="3" s="1"/>
  <c r="AH206" i="3" s="1"/>
  <c r="AH207" i="3" s="1"/>
  <c r="AH208" i="3" s="1"/>
  <c r="AH209" i="3" s="1"/>
  <c r="AH210" i="3" s="1"/>
  <c r="AH211" i="3" s="1"/>
  <c r="AH212" i="3" s="1"/>
  <c r="AH213" i="3" s="1"/>
  <c r="AH214" i="3" s="1"/>
  <c r="AH215" i="3" s="1"/>
  <c r="AH216" i="3" s="1"/>
  <c r="AH217" i="3" s="1"/>
  <c r="AH218" i="3" s="1"/>
  <c r="AH219" i="3" s="1"/>
  <c r="AH220" i="3" s="1"/>
  <c r="AH221" i="3" s="1"/>
  <c r="AH222" i="3" s="1"/>
  <c r="AH223" i="3" s="1"/>
  <c r="AH224" i="3" s="1"/>
  <c r="AH225" i="3" s="1"/>
  <c r="AH226" i="3" s="1"/>
  <c r="AH227" i="3" s="1"/>
  <c r="AH228" i="3" s="1"/>
  <c r="AH229" i="3" s="1"/>
  <c r="AH230" i="3" s="1"/>
  <c r="AH231" i="3" s="1"/>
  <c r="AH232" i="3" s="1"/>
  <c r="AH233" i="3" s="1"/>
  <c r="AH234" i="3" s="1"/>
  <c r="AH235" i="3" s="1"/>
  <c r="AH236" i="3" s="1"/>
  <c r="AH237" i="3" s="1"/>
  <c r="AH238" i="3" s="1"/>
  <c r="AH239" i="3" s="1"/>
  <c r="AH240" i="3" s="1"/>
  <c r="AH241" i="3" s="1"/>
  <c r="AH242" i="3" s="1"/>
  <c r="AH243" i="3" s="1"/>
  <c r="AH244" i="3" s="1"/>
  <c r="AH245" i="3" s="1"/>
  <c r="AH246" i="3" s="1"/>
  <c r="AH247" i="3" s="1"/>
  <c r="Z4" i="3"/>
  <c r="Z5" i="3" s="1"/>
  <c r="Z6" i="3" s="1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R4" i="3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AF4" i="3"/>
  <c r="AF5" i="3" s="1"/>
  <c r="AF6" i="3" s="1"/>
  <c r="AF7" i="3" s="1"/>
  <c r="AF8" i="3" s="1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F65" i="3" s="1"/>
  <c r="AF66" i="3" s="1"/>
  <c r="AF67" i="3" s="1"/>
  <c r="AF68" i="3" s="1"/>
  <c r="AF69" i="3" s="1"/>
  <c r="AF70" i="3" s="1"/>
  <c r="AF71" i="3" s="1"/>
  <c r="AF72" i="3" s="1"/>
  <c r="AF73" i="3" s="1"/>
  <c r="AF74" i="3" s="1"/>
  <c r="AF75" i="3" s="1"/>
  <c r="AF76" i="3" s="1"/>
  <c r="AF77" i="3" s="1"/>
  <c r="AF78" i="3" s="1"/>
  <c r="AF79" i="3" s="1"/>
  <c r="AF80" i="3" s="1"/>
  <c r="AF81" i="3" s="1"/>
  <c r="AF82" i="3" s="1"/>
  <c r="AF83" i="3" s="1"/>
  <c r="AF84" i="3" s="1"/>
  <c r="AF85" i="3" s="1"/>
  <c r="AF86" i="3" s="1"/>
  <c r="AF87" i="3" s="1"/>
  <c r="AF88" i="3" s="1"/>
  <c r="AF89" i="3" s="1"/>
  <c r="AF90" i="3" s="1"/>
  <c r="AF91" i="3" s="1"/>
  <c r="AF92" i="3" s="1"/>
  <c r="AF93" i="3" s="1"/>
  <c r="AF94" i="3" s="1"/>
  <c r="AF95" i="3" s="1"/>
  <c r="AF96" i="3" s="1"/>
  <c r="AF97" i="3" s="1"/>
  <c r="AF98" i="3" s="1"/>
  <c r="AF99" i="3" s="1"/>
  <c r="AF100" i="3" s="1"/>
  <c r="AF101" i="3" s="1"/>
  <c r="AF102" i="3" s="1"/>
  <c r="AF103" i="3" s="1"/>
  <c r="AF104" i="3" s="1"/>
  <c r="AF105" i="3" s="1"/>
  <c r="AF106" i="3" s="1"/>
  <c r="AF107" i="3" s="1"/>
  <c r="AF108" i="3" s="1"/>
  <c r="AF109" i="3" s="1"/>
  <c r="AF110" i="3" s="1"/>
  <c r="AF111" i="3" s="1"/>
  <c r="AF112" i="3" s="1"/>
  <c r="AF113" i="3" s="1"/>
  <c r="AF114" i="3" s="1"/>
  <c r="AF115" i="3" s="1"/>
  <c r="AF116" i="3" s="1"/>
  <c r="AF117" i="3" s="1"/>
  <c r="AF118" i="3" s="1"/>
  <c r="AF119" i="3" s="1"/>
  <c r="AF120" i="3" s="1"/>
  <c r="AF121" i="3" s="1"/>
  <c r="AF122" i="3" s="1"/>
  <c r="AF123" i="3" s="1"/>
  <c r="AF124" i="3" s="1"/>
  <c r="AF125" i="3" s="1"/>
  <c r="AF126" i="3" s="1"/>
  <c r="AF127" i="3" s="1"/>
  <c r="AF128" i="3" s="1"/>
  <c r="AF129" i="3" s="1"/>
  <c r="AF130" i="3" s="1"/>
  <c r="AF131" i="3" s="1"/>
  <c r="AF132" i="3" s="1"/>
  <c r="AF133" i="3" s="1"/>
  <c r="AF134" i="3" s="1"/>
  <c r="AF135" i="3" s="1"/>
  <c r="AF136" i="3" s="1"/>
  <c r="AF137" i="3" s="1"/>
  <c r="AF138" i="3" s="1"/>
  <c r="AF139" i="3" s="1"/>
  <c r="AF140" i="3" s="1"/>
  <c r="AF141" i="3" s="1"/>
  <c r="AF142" i="3" s="1"/>
  <c r="AF143" i="3" s="1"/>
  <c r="AF144" i="3" s="1"/>
  <c r="AF145" i="3" s="1"/>
  <c r="AF146" i="3" s="1"/>
  <c r="AF147" i="3" s="1"/>
  <c r="AF148" i="3" s="1"/>
  <c r="AF149" i="3" s="1"/>
  <c r="AF150" i="3" s="1"/>
  <c r="AF151" i="3" s="1"/>
  <c r="AF152" i="3" s="1"/>
  <c r="AF153" i="3" s="1"/>
  <c r="AF154" i="3" s="1"/>
  <c r="AF155" i="3" s="1"/>
  <c r="AF156" i="3" s="1"/>
  <c r="AF157" i="3" s="1"/>
  <c r="AF158" i="3" s="1"/>
  <c r="AF159" i="3" s="1"/>
  <c r="AF160" i="3" s="1"/>
  <c r="AF161" i="3" s="1"/>
  <c r="AF162" i="3" s="1"/>
  <c r="AF163" i="3" s="1"/>
  <c r="AF164" i="3" s="1"/>
  <c r="AF165" i="3" s="1"/>
  <c r="AF166" i="3" s="1"/>
  <c r="AF167" i="3" s="1"/>
  <c r="AF168" i="3" s="1"/>
  <c r="AF169" i="3" s="1"/>
  <c r="AF170" i="3" s="1"/>
  <c r="AF171" i="3" s="1"/>
  <c r="AF172" i="3" s="1"/>
  <c r="AF173" i="3" s="1"/>
  <c r="AF174" i="3" s="1"/>
  <c r="AF175" i="3" s="1"/>
  <c r="AF176" i="3" s="1"/>
  <c r="AF177" i="3" s="1"/>
  <c r="AF178" i="3" s="1"/>
  <c r="AF179" i="3" s="1"/>
  <c r="AF180" i="3" s="1"/>
  <c r="AF181" i="3" s="1"/>
  <c r="AF182" i="3" s="1"/>
  <c r="AF183" i="3" s="1"/>
  <c r="AF184" i="3" s="1"/>
  <c r="AF185" i="3" s="1"/>
  <c r="AF186" i="3" s="1"/>
  <c r="AF187" i="3" s="1"/>
  <c r="AF188" i="3" s="1"/>
  <c r="AF189" i="3" s="1"/>
  <c r="AF190" i="3" s="1"/>
  <c r="AF191" i="3" s="1"/>
  <c r="AF192" i="3" s="1"/>
  <c r="AF193" i="3" s="1"/>
  <c r="AF194" i="3" s="1"/>
  <c r="AF195" i="3" s="1"/>
  <c r="AF196" i="3" s="1"/>
  <c r="AF197" i="3" s="1"/>
  <c r="AF198" i="3" s="1"/>
  <c r="AF199" i="3" s="1"/>
  <c r="AF200" i="3" s="1"/>
  <c r="AF201" i="3" s="1"/>
  <c r="AF202" i="3" s="1"/>
  <c r="AF203" i="3" s="1"/>
  <c r="AF204" i="3" s="1"/>
  <c r="AF205" i="3" s="1"/>
  <c r="AF206" i="3" s="1"/>
  <c r="AF207" i="3" s="1"/>
  <c r="AF208" i="3" s="1"/>
  <c r="AF209" i="3" s="1"/>
  <c r="AF210" i="3" s="1"/>
  <c r="AF211" i="3" s="1"/>
  <c r="AF212" i="3" s="1"/>
  <c r="AF213" i="3" s="1"/>
  <c r="AF214" i="3" s="1"/>
  <c r="AF215" i="3" s="1"/>
  <c r="AF216" i="3" s="1"/>
  <c r="AF217" i="3" s="1"/>
  <c r="AF218" i="3" s="1"/>
  <c r="AF219" i="3" s="1"/>
  <c r="AF220" i="3" s="1"/>
  <c r="AF221" i="3" s="1"/>
  <c r="AF222" i="3" s="1"/>
  <c r="AF223" i="3" s="1"/>
  <c r="AF224" i="3" s="1"/>
  <c r="AF225" i="3" s="1"/>
  <c r="AF226" i="3" s="1"/>
  <c r="AF227" i="3" s="1"/>
  <c r="AF228" i="3" s="1"/>
  <c r="AF229" i="3" s="1"/>
  <c r="AF230" i="3" s="1"/>
  <c r="AF231" i="3" s="1"/>
  <c r="AF232" i="3" s="1"/>
  <c r="AF233" i="3" s="1"/>
  <c r="AF234" i="3" s="1"/>
  <c r="AF235" i="3" s="1"/>
  <c r="AF236" i="3" s="1"/>
  <c r="AF237" i="3" s="1"/>
  <c r="AF238" i="3" s="1"/>
  <c r="AF239" i="3" s="1"/>
  <c r="AF240" i="3" s="1"/>
  <c r="AF241" i="3" s="1"/>
  <c r="AF242" i="3" s="1"/>
  <c r="AF243" i="3" s="1"/>
  <c r="AF244" i="3" s="1"/>
  <c r="AF245" i="3" s="1"/>
  <c r="AF246" i="3" s="1"/>
  <c r="AF247" i="3" s="1"/>
  <c r="X4" i="3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P4" i="3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P203" i="3" s="1"/>
  <c r="P204" i="3" s="1"/>
  <c r="P205" i="3" s="1"/>
  <c r="P206" i="3" s="1"/>
  <c r="P207" i="3" s="1"/>
  <c r="P208" i="3" s="1"/>
  <c r="P209" i="3" s="1"/>
  <c r="P210" i="3" s="1"/>
  <c r="P211" i="3" s="1"/>
  <c r="P212" i="3" s="1"/>
  <c r="P213" i="3" s="1"/>
  <c r="P214" i="3" s="1"/>
  <c r="P215" i="3" s="1"/>
  <c r="P216" i="3" s="1"/>
  <c r="P217" i="3" s="1"/>
  <c r="P218" i="3" s="1"/>
  <c r="P219" i="3" s="1"/>
  <c r="P220" i="3" s="1"/>
  <c r="P221" i="3" s="1"/>
  <c r="P222" i="3" s="1"/>
  <c r="P223" i="3" s="1"/>
  <c r="P224" i="3" s="1"/>
  <c r="P225" i="3" s="1"/>
  <c r="P226" i="3" s="1"/>
  <c r="P227" i="3" s="1"/>
  <c r="P228" i="3" s="1"/>
  <c r="P229" i="3" s="1"/>
  <c r="P230" i="3" s="1"/>
  <c r="P231" i="3" s="1"/>
  <c r="P232" i="3" s="1"/>
  <c r="P233" i="3" s="1"/>
  <c r="P234" i="3" s="1"/>
  <c r="P235" i="3" s="1"/>
  <c r="P236" i="3" s="1"/>
  <c r="P237" i="3" s="1"/>
  <c r="P238" i="3" s="1"/>
  <c r="P239" i="3" s="1"/>
  <c r="P240" i="3" s="1"/>
  <c r="P241" i="3" s="1"/>
  <c r="P242" i="3" s="1"/>
  <c r="P243" i="3" s="1"/>
  <c r="P244" i="3" s="1"/>
  <c r="P245" i="3" s="1"/>
  <c r="P246" i="3" s="1"/>
  <c r="P247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U4" i="3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AI4" i="3"/>
  <c r="AI5" i="3" s="1"/>
  <c r="AI6" i="3" s="1"/>
  <c r="AI7" i="3" s="1"/>
  <c r="AI8" i="3" s="1"/>
  <c r="AI9" i="3" s="1"/>
  <c r="AI10" i="3" s="1"/>
  <c r="AI11" i="3" s="1"/>
  <c r="AI12" i="3" s="1"/>
  <c r="AI13" i="3" s="1"/>
  <c r="AI14" i="3" s="1"/>
  <c r="AI15" i="3" s="1"/>
  <c r="AI16" i="3" s="1"/>
  <c r="AI17" i="3" s="1"/>
  <c r="AI18" i="3" s="1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I63" i="3" s="1"/>
  <c r="AI64" i="3" s="1"/>
  <c r="AI65" i="3" s="1"/>
  <c r="AI66" i="3" s="1"/>
  <c r="AI67" i="3" s="1"/>
  <c r="AI68" i="3" s="1"/>
  <c r="AI69" i="3" s="1"/>
  <c r="AI70" i="3" s="1"/>
  <c r="AI71" i="3" s="1"/>
  <c r="AI72" i="3" s="1"/>
  <c r="AI73" i="3" s="1"/>
  <c r="AI74" i="3" s="1"/>
  <c r="AI75" i="3" s="1"/>
  <c r="AI76" i="3" s="1"/>
  <c r="AI77" i="3" s="1"/>
  <c r="AI78" i="3" s="1"/>
  <c r="AI79" i="3" s="1"/>
  <c r="AI80" i="3" s="1"/>
  <c r="AI81" i="3" s="1"/>
  <c r="AI82" i="3" s="1"/>
  <c r="AI83" i="3" s="1"/>
  <c r="AI84" i="3" s="1"/>
  <c r="AI85" i="3" s="1"/>
  <c r="AI86" i="3" s="1"/>
  <c r="AI87" i="3" s="1"/>
  <c r="AI88" i="3" s="1"/>
  <c r="AI89" i="3" s="1"/>
  <c r="AI90" i="3" s="1"/>
  <c r="AI91" i="3" s="1"/>
  <c r="AI92" i="3" s="1"/>
  <c r="AI93" i="3" s="1"/>
  <c r="AI94" i="3" s="1"/>
  <c r="AI95" i="3" s="1"/>
  <c r="AI96" i="3" s="1"/>
  <c r="AI97" i="3" s="1"/>
  <c r="AI98" i="3" s="1"/>
  <c r="AI99" i="3" s="1"/>
  <c r="AI100" i="3" s="1"/>
  <c r="AI101" i="3" s="1"/>
  <c r="AI102" i="3" s="1"/>
  <c r="AI103" i="3" s="1"/>
  <c r="AI104" i="3" s="1"/>
  <c r="AI105" i="3" s="1"/>
  <c r="AI106" i="3" s="1"/>
  <c r="AI107" i="3" s="1"/>
  <c r="AI108" i="3" s="1"/>
  <c r="AI109" i="3" s="1"/>
  <c r="AI110" i="3" s="1"/>
  <c r="AI111" i="3" s="1"/>
  <c r="AI112" i="3" s="1"/>
  <c r="AI113" i="3" s="1"/>
  <c r="AI114" i="3" s="1"/>
  <c r="AI115" i="3" s="1"/>
  <c r="AI116" i="3" s="1"/>
  <c r="AI117" i="3" s="1"/>
  <c r="AI118" i="3" s="1"/>
  <c r="AI119" i="3" s="1"/>
  <c r="AI120" i="3" s="1"/>
  <c r="AI121" i="3" s="1"/>
  <c r="AI122" i="3" s="1"/>
  <c r="AI123" i="3" s="1"/>
  <c r="AI124" i="3" s="1"/>
  <c r="AI125" i="3" s="1"/>
  <c r="AI126" i="3" s="1"/>
  <c r="AI127" i="3" s="1"/>
  <c r="AI128" i="3" s="1"/>
  <c r="AI129" i="3" s="1"/>
  <c r="AI130" i="3" s="1"/>
  <c r="AI131" i="3" s="1"/>
  <c r="AI132" i="3" s="1"/>
  <c r="AI133" i="3" s="1"/>
  <c r="AI134" i="3" s="1"/>
  <c r="AI135" i="3" s="1"/>
  <c r="AI136" i="3" s="1"/>
  <c r="AI137" i="3" s="1"/>
  <c r="AI138" i="3" s="1"/>
  <c r="AI139" i="3" s="1"/>
  <c r="AI140" i="3" s="1"/>
  <c r="AI141" i="3" s="1"/>
  <c r="AI142" i="3" s="1"/>
  <c r="AI143" i="3" s="1"/>
  <c r="AI144" i="3" s="1"/>
  <c r="AI145" i="3" s="1"/>
  <c r="AI146" i="3" s="1"/>
  <c r="AI147" i="3" s="1"/>
  <c r="AI148" i="3" s="1"/>
  <c r="AI149" i="3" s="1"/>
  <c r="AI150" i="3" s="1"/>
  <c r="AI151" i="3" s="1"/>
  <c r="AI152" i="3" s="1"/>
  <c r="AI153" i="3" s="1"/>
  <c r="AI154" i="3" s="1"/>
  <c r="AI155" i="3" s="1"/>
  <c r="AI156" i="3" s="1"/>
  <c r="AI157" i="3" s="1"/>
  <c r="AI158" i="3" s="1"/>
  <c r="AI159" i="3" s="1"/>
  <c r="AI160" i="3" s="1"/>
  <c r="AI161" i="3" s="1"/>
  <c r="AI162" i="3" s="1"/>
  <c r="AI163" i="3" s="1"/>
  <c r="AI164" i="3" s="1"/>
  <c r="AI165" i="3" s="1"/>
  <c r="AI166" i="3" s="1"/>
  <c r="AI167" i="3" s="1"/>
  <c r="AI168" i="3" s="1"/>
  <c r="AI169" i="3" s="1"/>
  <c r="AI170" i="3" s="1"/>
  <c r="AI171" i="3" s="1"/>
  <c r="AI172" i="3" s="1"/>
  <c r="AI173" i="3" s="1"/>
  <c r="AI174" i="3" s="1"/>
  <c r="AI175" i="3" s="1"/>
  <c r="AI176" i="3" s="1"/>
  <c r="AI177" i="3" s="1"/>
  <c r="AI178" i="3" s="1"/>
  <c r="AI179" i="3" s="1"/>
  <c r="AI180" i="3" s="1"/>
  <c r="AI181" i="3" s="1"/>
  <c r="AI182" i="3" s="1"/>
  <c r="AI183" i="3" s="1"/>
  <c r="AI184" i="3" s="1"/>
  <c r="AI185" i="3" s="1"/>
  <c r="AI186" i="3" s="1"/>
  <c r="AI187" i="3" s="1"/>
  <c r="AI188" i="3" s="1"/>
  <c r="AI189" i="3" s="1"/>
  <c r="AI190" i="3" s="1"/>
  <c r="AI191" i="3" s="1"/>
  <c r="AI192" i="3" s="1"/>
  <c r="AI193" i="3" s="1"/>
  <c r="AI194" i="3" s="1"/>
  <c r="AI195" i="3" s="1"/>
  <c r="AI196" i="3" s="1"/>
  <c r="AI197" i="3" s="1"/>
  <c r="AI198" i="3" s="1"/>
  <c r="AI199" i="3" s="1"/>
  <c r="AI200" i="3" s="1"/>
  <c r="AI201" i="3" s="1"/>
  <c r="AI202" i="3" s="1"/>
  <c r="AI203" i="3" s="1"/>
  <c r="AI204" i="3" s="1"/>
  <c r="AI205" i="3" s="1"/>
  <c r="AI206" i="3" s="1"/>
  <c r="AI207" i="3" s="1"/>
  <c r="AI208" i="3" s="1"/>
  <c r="AI209" i="3" s="1"/>
  <c r="AI210" i="3" s="1"/>
  <c r="AI211" i="3" s="1"/>
  <c r="AI212" i="3" s="1"/>
  <c r="AI213" i="3" s="1"/>
  <c r="AI214" i="3" s="1"/>
  <c r="AI215" i="3" s="1"/>
  <c r="AI216" i="3" s="1"/>
  <c r="AI217" i="3" s="1"/>
  <c r="AI218" i="3" s="1"/>
  <c r="AI219" i="3" s="1"/>
  <c r="AI220" i="3" s="1"/>
  <c r="AI221" i="3" s="1"/>
  <c r="AI222" i="3" s="1"/>
  <c r="AI223" i="3" s="1"/>
  <c r="AI224" i="3" s="1"/>
  <c r="AI225" i="3" s="1"/>
  <c r="AI226" i="3" s="1"/>
  <c r="AI227" i="3" s="1"/>
  <c r="AI228" i="3" s="1"/>
  <c r="AI229" i="3" s="1"/>
  <c r="AI230" i="3" s="1"/>
  <c r="AI231" i="3" s="1"/>
  <c r="AI232" i="3" s="1"/>
  <c r="AI233" i="3" s="1"/>
  <c r="AI234" i="3" s="1"/>
  <c r="AI235" i="3" s="1"/>
  <c r="AI236" i="3" s="1"/>
  <c r="AI237" i="3" s="1"/>
  <c r="AI238" i="3" s="1"/>
  <c r="AI239" i="3" s="1"/>
  <c r="AI240" i="3" s="1"/>
  <c r="AI241" i="3" s="1"/>
  <c r="AI242" i="3" s="1"/>
  <c r="AI243" i="3" s="1"/>
  <c r="AI244" i="3" s="1"/>
  <c r="AI245" i="3" s="1"/>
  <c r="AI246" i="3" s="1"/>
  <c r="AI247" i="3" s="1"/>
  <c r="AE4" i="3"/>
  <c r="AE5" i="3" s="1"/>
  <c r="AE6" i="3" s="1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AE63" i="3" s="1"/>
  <c r="AE64" i="3" s="1"/>
  <c r="AE65" i="3" s="1"/>
  <c r="AE66" i="3" s="1"/>
  <c r="AE67" i="3" s="1"/>
  <c r="AE68" i="3" s="1"/>
  <c r="AE69" i="3" s="1"/>
  <c r="AE70" i="3" s="1"/>
  <c r="AE71" i="3" s="1"/>
  <c r="AE72" i="3" s="1"/>
  <c r="AE73" i="3" s="1"/>
  <c r="AE74" i="3" s="1"/>
  <c r="AE75" i="3" s="1"/>
  <c r="AE76" i="3" s="1"/>
  <c r="AE77" i="3" s="1"/>
  <c r="AE78" i="3" s="1"/>
  <c r="AE79" i="3" s="1"/>
  <c r="AE80" i="3" s="1"/>
  <c r="AE81" i="3" s="1"/>
  <c r="AE82" i="3" s="1"/>
  <c r="AE83" i="3" s="1"/>
  <c r="AE84" i="3" s="1"/>
  <c r="AE85" i="3" s="1"/>
  <c r="AE86" i="3" s="1"/>
  <c r="AE87" i="3" s="1"/>
  <c r="AE88" i="3" s="1"/>
  <c r="AE89" i="3" s="1"/>
  <c r="AE90" i="3" s="1"/>
  <c r="AE91" i="3" s="1"/>
  <c r="AE92" i="3" s="1"/>
  <c r="AE93" i="3" s="1"/>
  <c r="AE94" i="3" s="1"/>
  <c r="AE95" i="3" s="1"/>
  <c r="AE96" i="3" s="1"/>
  <c r="AE97" i="3" s="1"/>
  <c r="AE98" i="3" s="1"/>
  <c r="AE99" i="3" s="1"/>
  <c r="AE100" i="3" s="1"/>
  <c r="AE101" i="3" s="1"/>
  <c r="AE102" i="3" s="1"/>
  <c r="AE103" i="3" s="1"/>
  <c r="AE104" i="3" s="1"/>
  <c r="AE105" i="3" s="1"/>
  <c r="AE106" i="3" s="1"/>
  <c r="AE107" i="3" s="1"/>
  <c r="AE108" i="3" s="1"/>
  <c r="AE109" i="3" s="1"/>
  <c r="AE110" i="3" s="1"/>
  <c r="AE111" i="3" s="1"/>
  <c r="AE112" i="3" s="1"/>
  <c r="AE113" i="3" s="1"/>
  <c r="AE114" i="3" s="1"/>
  <c r="AE115" i="3" s="1"/>
  <c r="AE116" i="3" s="1"/>
  <c r="AE117" i="3" s="1"/>
  <c r="AE118" i="3" s="1"/>
  <c r="AE119" i="3" s="1"/>
  <c r="AE120" i="3" s="1"/>
  <c r="AE121" i="3" s="1"/>
  <c r="AE122" i="3" s="1"/>
  <c r="AE123" i="3" s="1"/>
  <c r="AE124" i="3" s="1"/>
  <c r="AE125" i="3" s="1"/>
  <c r="AE126" i="3" s="1"/>
  <c r="AE127" i="3" s="1"/>
  <c r="AE128" i="3" s="1"/>
  <c r="AE129" i="3" s="1"/>
  <c r="AE130" i="3" s="1"/>
  <c r="AE131" i="3" s="1"/>
  <c r="AE132" i="3" s="1"/>
  <c r="AE133" i="3" s="1"/>
  <c r="AE134" i="3" s="1"/>
  <c r="AE135" i="3" s="1"/>
  <c r="AE136" i="3" s="1"/>
  <c r="AE137" i="3" s="1"/>
  <c r="AE138" i="3" s="1"/>
  <c r="AE139" i="3" s="1"/>
  <c r="AE140" i="3" s="1"/>
  <c r="AE141" i="3" s="1"/>
  <c r="AE142" i="3" s="1"/>
  <c r="AE143" i="3" s="1"/>
  <c r="AE144" i="3" s="1"/>
  <c r="AE145" i="3" s="1"/>
  <c r="AE146" i="3" s="1"/>
  <c r="AE147" i="3" s="1"/>
  <c r="AE148" i="3" s="1"/>
  <c r="AE149" i="3" s="1"/>
  <c r="AE150" i="3" s="1"/>
  <c r="AE151" i="3" s="1"/>
  <c r="AE152" i="3" s="1"/>
  <c r="AE153" i="3" s="1"/>
  <c r="AE154" i="3" s="1"/>
  <c r="AE155" i="3" s="1"/>
  <c r="AE156" i="3" s="1"/>
  <c r="AE157" i="3" s="1"/>
  <c r="AE158" i="3" s="1"/>
  <c r="AE159" i="3" s="1"/>
  <c r="AE160" i="3" s="1"/>
  <c r="AE161" i="3" s="1"/>
  <c r="AE162" i="3" s="1"/>
  <c r="AE163" i="3" s="1"/>
  <c r="AE164" i="3" s="1"/>
  <c r="AE165" i="3" s="1"/>
  <c r="AE166" i="3" s="1"/>
  <c r="AE167" i="3" s="1"/>
  <c r="AE168" i="3" s="1"/>
  <c r="AE169" i="3" s="1"/>
  <c r="AE170" i="3" s="1"/>
  <c r="AE171" i="3" s="1"/>
  <c r="AE172" i="3" s="1"/>
  <c r="AE173" i="3" s="1"/>
  <c r="AE174" i="3" s="1"/>
  <c r="AE175" i="3" s="1"/>
  <c r="AE176" i="3" s="1"/>
  <c r="AE177" i="3" s="1"/>
  <c r="AE178" i="3" s="1"/>
  <c r="AE179" i="3" s="1"/>
  <c r="AE180" i="3" s="1"/>
  <c r="AE181" i="3" s="1"/>
  <c r="AE182" i="3" s="1"/>
  <c r="AE183" i="3" s="1"/>
  <c r="AE184" i="3" s="1"/>
  <c r="AE185" i="3" s="1"/>
  <c r="AE186" i="3" s="1"/>
  <c r="AE187" i="3" s="1"/>
  <c r="AE188" i="3" s="1"/>
  <c r="AE189" i="3" s="1"/>
  <c r="AE190" i="3" s="1"/>
  <c r="AE191" i="3" s="1"/>
  <c r="AE192" i="3" s="1"/>
  <c r="AE193" i="3" s="1"/>
  <c r="AE194" i="3" s="1"/>
  <c r="AE195" i="3" s="1"/>
  <c r="AE196" i="3" s="1"/>
  <c r="AE197" i="3" s="1"/>
  <c r="AE198" i="3" s="1"/>
  <c r="AE199" i="3" s="1"/>
  <c r="AE200" i="3" s="1"/>
  <c r="AE201" i="3" s="1"/>
  <c r="AE202" i="3" s="1"/>
  <c r="AE203" i="3" s="1"/>
  <c r="AE204" i="3" s="1"/>
  <c r="AE205" i="3" s="1"/>
  <c r="AE206" i="3" s="1"/>
  <c r="AE207" i="3" s="1"/>
  <c r="AE208" i="3" s="1"/>
  <c r="AE209" i="3" s="1"/>
  <c r="AE210" i="3" s="1"/>
  <c r="AE211" i="3" s="1"/>
  <c r="AE212" i="3" s="1"/>
  <c r="AE213" i="3" s="1"/>
  <c r="AE214" i="3" s="1"/>
  <c r="AE215" i="3" s="1"/>
  <c r="AE216" i="3" s="1"/>
  <c r="AE217" i="3" s="1"/>
  <c r="AE218" i="3" s="1"/>
  <c r="AE219" i="3" s="1"/>
  <c r="AE220" i="3" s="1"/>
  <c r="AE221" i="3" s="1"/>
  <c r="AE222" i="3" s="1"/>
  <c r="AE223" i="3" s="1"/>
  <c r="AE224" i="3" s="1"/>
  <c r="AE225" i="3" s="1"/>
  <c r="AE226" i="3" s="1"/>
  <c r="AE227" i="3" s="1"/>
  <c r="AE228" i="3" s="1"/>
  <c r="AE229" i="3" s="1"/>
  <c r="AE230" i="3" s="1"/>
  <c r="AE231" i="3" s="1"/>
  <c r="AE232" i="3" s="1"/>
  <c r="AE233" i="3" s="1"/>
  <c r="AE234" i="3" s="1"/>
  <c r="AE235" i="3" s="1"/>
  <c r="AE236" i="3" s="1"/>
  <c r="AE237" i="3" s="1"/>
  <c r="AE238" i="3" s="1"/>
  <c r="AE239" i="3" s="1"/>
  <c r="AE240" i="3" s="1"/>
  <c r="AE241" i="3" s="1"/>
  <c r="AE242" i="3" s="1"/>
  <c r="AE243" i="3" s="1"/>
  <c r="AE244" i="3" s="1"/>
  <c r="AE245" i="3" s="1"/>
  <c r="AE246" i="3" s="1"/>
  <c r="AE247" i="3" s="1"/>
  <c r="W4" i="3"/>
  <c r="W5" i="3" s="1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O4" i="3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V4" i="3"/>
  <c r="V5" i="3" s="1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AD4" i="3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AD71" i="3" s="1"/>
  <c r="AD72" i="3" s="1"/>
  <c r="AD73" i="3" s="1"/>
  <c r="AD74" i="3" s="1"/>
  <c r="AD75" i="3" s="1"/>
  <c r="AD76" i="3" s="1"/>
  <c r="AD77" i="3" s="1"/>
  <c r="AD78" i="3" s="1"/>
  <c r="AD79" i="3" s="1"/>
  <c r="AD80" i="3" s="1"/>
  <c r="AD81" i="3" s="1"/>
  <c r="AD82" i="3" s="1"/>
  <c r="AD83" i="3" s="1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D95" i="3" s="1"/>
  <c r="AD96" i="3" s="1"/>
  <c r="AD97" i="3" s="1"/>
  <c r="AD98" i="3" s="1"/>
  <c r="AD99" i="3" s="1"/>
  <c r="AD100" i="3" s="1"/>
  <c r="AD101" i="3" s="1"/>
  <c r="AD102" i="3" s="1"/>
  <c r="AD103" i="3" s="1"/>
  <c r="AD104" i="3" s="1"/>
  <c r="AD105" i="3" s="1"/>
  <c r="AD106" i="3" s="1"/>
  <c r="AD107" i="3" s="1"/>
  <c r="AD108" i="3" s="1"/>
  <c r="AD109" i="3" s="1"/>
  <c r="AD110" i="3" s="1"/>
  <c r="AD111" i="3" s="1"/>
  <c r="AD112" i="3" s="1"/>
  <c r="AD113" i="3" s="1"/>
  <c r="AD114" i="3" s="1"/>
  <c r="AD115" i="3" s="1"/>
  <c r="AD116" i="3" s="1"/>
  <c r="AD117" i="3" s="1"/>
  <c r="AD118" i="3" s="1"/>
  <c r="AD119" i="3" s="1"/>
  <c r="AD120" i="3" s="1"/>
  <c r="AD121" i="3" s="1"/>
  <c r="AD122" i="3" s="1"/>
  <c r="AD123" i="3" s="1"/>
  <c r="AD124" i="3" s="1"/>
  <c r="AD125" i="3" s="1"/>
  <c r="AD126" i="3" s="1"/>
  <c r="AD127" i="3" s="1"/>
  <c r="AD128" i="3" s="1"/>
  <c r="AD129" i="3" s="1"/>
  <c r="AD130" i="3" s="1"/>
  <c r="AD131" i="3" s="1"/>
  <c r="AD132" i="3" s="1"/>
  <c r="AD133" i="3" s="1"/>
  <c r="AD134" i="3" s="1"/>
  <c r="AD135" i="3" s="1"/>
  <c r="AD136" i="3" s="1"/>
  <c r="AD137" i="3" s="1"/>
  <c r="AD138" i="3" s="1"/>
  <c r="AD139" i="3" s="1"/>
  <c r="AD140" i="3" s="1"/>
  <c r="AD141" i="3" s="1"/>
  <c r="AD142" i="3" s="1"/>
  <c r="AD143" i="3" s="1"/>
  <c r="AD144" i="3" s="1"/>
  <c r="AD145" i="3" s="1"/>
  <c r="AD146" i="3" s="1"/>
  <c r="AD147" i="3" s="1"/>
  <c r="AD148" i="3" s="1"/>
  <c r="AD149" i="3" s="1"/>
  <c r="AD150" i="3" s="1"/>
  <c r="AD151" i="3" s="1"/>
  <c r="AD152" i="3" s="1"/>
  <c r="AD153" i="3" s="1"/>
  <c r="AD154" i="3" s="1"/>
  <c r="AD155" i="3" s="1"/>
  <c r="AD156" i="3" s="1"/>
  <c r="AD157" i="3" s="1"/>
  <c r="AD158" i="3" s="1"/>
  <c r="AD159" i="3" s="1"/>
  <c r="AD160" i="3" s="1"/>
  <c r="AD161" i="3" s="1"/>
  <c r="AD162" i="3" s="1"/>
  <c r="AD163" i="3" s="1"/>
  <c r="AD164" i="3" s="1"/>
  <c r="AD165" i="3" s="1"/>
  <c r="AD166" i="3" s="1"/>
  <c r="AD167" i="3" s="1"/>
  <c r="AD168" i="3" s="1"/>
  <c r="AD169" i="3" s="1"/>
  <c r="AD170" i="3" s="1"/>
  <c r="AD171" i="3" s="1"/>
  <c r="AD172" i="3" s="1"/>
  <c r="AD173" i="3" s="1"/>
  <c r="AD174" i="3" s="1"/>
  <c r="AD175" i="3" s="1"/>
  <c r="AD176" i="3" s="1"/>
  <c r="AD177" i="3" s="1"/>
  <c r="AD178" i="3" s="1"/>
  <c r="AD179" i="3" s="1"/>
  <c r="AD180" i="3" s="1"/>
  <c r="AD181" i="3" s="1"/>
  <c r="AD182" i="3" s="1"/>
  <c r="AD183" i="3" s="1"/>
  <c r="AD184" i="3" s="1"/>
  <c r="AD185" i="3" s="1"/>
  <c r="AD186" i="3" s="1"/>
  <c r="AD187" i="3" s="1"/>
  <c r="AD188" i="3" s="1"/>
  <c r="AD189" i="3" s="1"/>
  <c r="AD190" i="3" s="1"/>
  <c r="AD191" i="3" s="1"/>
  <c r="AD192" i="3" s="1"/>
  <c r="AD193" i="3" s="1"/>
  <c r="AD194" i="3" s="1"/>
  <c r="AD195" i="3" s="1"/>
  <c r="AD196" i="3" s="1"/>
  <c r="AD197" i="3" s="1"/>
  <c r="AD198" i="3" s="1"/>
  <c r="AD199" i="3" s="1"/>
  <c r="AD200" i="3" s="1"/>
  <c r="AD201" i="3" s="1"/>
  <c r="AD202" i="3" s="1"/>
  <c r="AD203" i="3" s="1"/>
  <c r="AD204" i="3" s="1"/>
  <c r="AD205" i="3" s="1"/>
  <c r="AD206" i="3" s="1"/>
  <c r="AD207" i="3" s="1"/>
  <c r="AD208" i="3" s="1"/>
  <c r="AD209" i="3" s="1"/>
  <c r="AD210" i="3" s="1"/>
  <c r="AD211" i="3" s="1"/>
  <c r="AD212" i="3" s="1"/>
  <c r="AD213" i="3" s="1"/>
  <c r="AD214" i="3" s="1"/>
  <c r="AD215" i="3" s="1"/>
  <c r="AD216" i="3" s="1"/>
  <c r="AD217" i="3" s="1"/>
  <c r="AD218" i="3" s="1"/>
  <c r="AD219" i="3" s="1"/>
  <c r="AD220" i="3" s="1"/>
  <c r="AD221" i="3" s="1"/>
  <c r="AD222" i="3" s="1"/>
  <c r="AD223" i="3" s="1"/>
  <c r="AD224" i="3" s="1"/>
  <c r="AD225" i="3" s="1"/>
  <c r="AD226" i="3" s="1"/>
  <c r="AD227" i="3" s="1"/>
  <c r="AD228" i="3" s="1"/>
  <c r="AD229" i="3" s="1"/>
  <c r="AD230" i="3" s="1"/>
  <c r="AD231" i="3" s="1"/>
  <c r="AD232" i="3" s="1"/>
  <c r="AD233" i="3" s="1"/>
  <c r="AD234" i="3" s="1"/>
  <c r="AD235" i="3" s="1"/>
  <c r="AD236" i="3" s="1"/>
  <c r="AD237" i="3" s="1"/>
  <c r="AD238" i="3" s="1"/>
  <c r="AD239" i="3" s="1"/>
  <c r="AD240" i="3" s="1"/>
  <c r="AD241" i="3" s="1"/>
  <c r="AD242" i="3" s="1"/>
  <c r="AD243" i="3" s="1"/>
  <c r="AD244" i="3" s="1"/>
  <c r="AD245" i="3" s="1"/>
  <c r="AD246" i="3" s="1"/>
  <c r="AD247" i="3" s="1"/>
  <c r="AC4" i="3"/>
  <c r="AC5" i="3" s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C73" i="3" s="1"/>
  <c r="AC74" i="3" s="1"/>
  <c r="AC75" i="3" s="1"/>
  <c r="AC76" i="3" s="1"/>
  <c r="AC77" i="3" s="1"/>
  <c r="AC78" i="3" s="1"/>
  <c r="AC79" i="3" s="1"/>
  <c r="AC80" i="3" s="1"/>
  <c r="AC81" i="3" s="1"/>
  <c r="AC82" i="3" s="1"/>
  <c r="AC83" i="3" s="1"/>
  <c r="AC84" i="3" s="1"/>
  <c r="AC85" i="3" s="1"/>
  <c r="AC86" i="3" s="1"/>
  <c r="AC87" i="3" s="1"/>
  <c r="AC88" i="3" s="1"/>
  <c r="AC89" i="3" s="1"/>
  <c r="AC90" i="3" s="1"/>
  <c r="AC91" i="3" s="1"/>
  <c r="AC92" i="3" s="1"/>
  <c r="AC93" i="3" s="1"/>
  <c r="AC94" i="3" s="1"/>
  <c r="AC95" i="3" s="1"/>
  <c r="AC96" i="3" s="1"/>
  <c r="AC97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7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133" i="3" s="1"/>
  <c r="AC134" i="3" s="1"/>
  <c r="AC135" i="3" s="1"/>
  <c r="AC136" i="3" s="1"/>
  <c r="AC137" i="3" s="1"/>
  <c r="AC138" i="3" s="1"/>
  <c r="AC139" i="3" s="1"/>
  <c r="AC140" i="3" s="1"/>
  <c r="AC141" i="3" s="1"/>
  <c r="AC142" i="3" s="1"/>
  <c r="AC143" i="3" s="1"/>
  <c r="AC144" i="3" s="1"/>
  <c r="AC145" i="3" s="1"/>
  <c r="AC146" i="3" s="1"/>
  <c r="AC147" i="3" s="1"/>
  <c r="AC148" i="3" s="1"/>
  <c r="AC149" i="3" s="1"/>
  <c r="AC150" i="3" s="1"/>
  <c r="AC151" i="3" s="1"/>
  <c r="AC152" i="3" s="1"/>
  <c r="AC153" i="3" s="1"/>
  <c r="AC154" i="3" s="1"/>
  <c r="AC155" i="3" s="1"/>
  <c r="AC156" i="3" s="1"/>
  <c r="AC157" i="3" s="1"/>
  <c r="AC158" i="3" s="1"/>
  <c r="AC159" i="3" s="1"/>
  <c r="AC160" i="3" s="1"/>
  <c r="AC161" i="3" s="1"/>
  <c r="AC162" i="3" s="1"/>
  <c r="AC163" i="3" s="1"/>
  <c r="AC164" i="3" s="1"/>
  <c r="AC165" i="3" s="1"/>
  <c r="AC166" i="3" s="1"/>
  <c r="AC167" i="3" s="1"/>
  <c r="AC168" i="3" s="1"/>
  <c r="AC169" i="3" s="1"/>
  <c r="AC170" i="3" s="1"/>
  <c r="AC171" i="3" s="1"/>
  <c r="AC172" i="3" s="1"/>
  <c r="AC173" i="3" s="1"/>
  <c r="AC174" i="3" s="1"/>
  <c r="AC175" i="3" s="1"/>
  <c r="AC176" i="3" s="1"/>
  <c r="AC177" i="3" s="1"/>
  <c r="AC178" i="3" s="1"/>
  <c r="AC179" i="3" s="1"/>
  <c r="AC180" i="3" s="1"/>
  <c r="AC181" i="3" s="1"/>
  <c r="AC182" i="3" s="1"/>
  <c r="AC183" i="3" s="1"/>
  <c r="AC184" i="3" s="1"/>
  <c r="AC185" i="3" s="1"/>
  <c r="AC186" i="3" s="1"/>
  <c r="AC187" i="3" s="1"/>
  <c r="AC188" i="3" s="1"/>
  <c r="AC189" i="3" s="1"/>
  <c r="AC190" i="3" s="1"/>
  <c r="AC191" i="3" s="1"/>
  <c r="AC192" i="3" s="1"/>
  <c r="AC193" i="3" s="1"/>
  <c r="AC194" i="3" s="1"/>
  <c r="AC195" i="3" s="1"/>
  <c r="AC196" i="3" s="1"/>
  <c r="AC197" i="3" s="1"/>
  <c r="AC198" i="3" s="1"/>
  <c r="AC199" i="3" s="1"/>
  <c r="AC200" i="3" s="1"/>
  <c r="AC201" i="3" s="1"/>
  <c r="AC202" i="3" s="1"/>
  <c r="AC203" i="3" s="1"/>
  <c r="AC204" i="3" s="1"/>
  <c r="AC205" i="3" s="1"/>
  <c r="AC206" i="3" s="1"/>
  <c r="AC207" i="3" s="1"/>
  <c r="AC208" i="3" s="1"/>
  <c r="AC209" i="3" s="1"/>
  <c r="AC210" i="3" s="1"/>
  <c r="AC211" i="3" s="1"/>
  <c r="AC212" i="3" s="1"/>
  <c r="AC213" i="3" s="1"/>
  <c r="AC214" i="3" s="1"/>
  <c r="AC215" i="3" s="1"/>
  <c r="AC216" i="3" s="1"/>
  <c r="AC217" i="3" s="1"/>
  <c r="AC218" i="3" s="1"/>
  <c r="AC219" i="3" s="1"/>
  <c r="AC220" i="3" s="1"/>
  <c r="AC221" i="3" s="1"/>
  <c r="AC222" i="3" s="1"/>
  <c r="AC223" i="3" s="1"/>
  <c r="AC224" i="3" s="1"/>
  <c r="AC225" i="3" s="1"/>
  <c r="AC226" i="3" s="1"/>
  <c r="AC227" i="3" s="1"/>
  <c r="AC228" i="3" s="1"/>
  <c r="AC229" i="3" s="1"/>
  <c r="AC230" i="3" s="1"/>
  <c r="AC231" i="3" s="1"/>
  <c r="AC232" i="3" s="1"/>
  <c r="AC233" i="3" s="1"/>
  <c r="AC234" i="3" s="1"/>
  <c r="AC235" i="3" s="1"/>
  <c r="AC236" i="3" s="1"/>
  <c r="AC237" i="3" s="1"/>
  <c r="AC238" i="3" s="1"/>
  <c r="AC239" i="3" s="1"/>
  <c r="AC240" i="3" s="1"/>
  <c r="AC241" i="3" s="1"/>
  <c r="AC242" i="3" s="1"/>
  <c r="AC243" i="3" s="1"/>
  <c r="AC244" i="3" s="1"/>
  <c r="AC245" i="3" s="1"/>
  <c r="AC246" i="3" s="1"/>
  <c r="AC247" i="3" s="1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T4" i="3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AA4" i="3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S4" i="3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S203" i="3" s="1"/>
  <c r="S204" i="3" s="1"/>
  <c r="S205" i="3" s="1"/>
  <c r="S206" i="3" s="1"/>
  <c r="S207" i="3" s="1"/>
  <c r="S208" i="3" s="1"/>
  <c r="S209" i="3" s="1"/>
  <c r="S210" i="3" s="1"/>
  <c r="S211" i="3" s="1"/>
  <c r="S212" i="3" s="1"/>
  <c r="S213" i="3" s="1"/>
  <c r="S214" i="3" s="1"/>
  <c r="S215" i="3" s="1"/>
  <c r="S216" i="3" s="1"/>
  <c r="S217" i="3" s="1"/>
  <c r="S218" i="3" s="1"/>
  <c r="S219" i="3" s="1"/>
  <c r="S220" i="3" s="1"/>
  <c r="S221" i="3" s="1"/>
  <c r="S222" i="3" s="1"/>
  <c r="S223" i="3" s="1"/>
  <c r="S224" i="3" s="1"/>
  <c r="S225" i="3" s="1"/>
  <c r="S226" i="3" s="1"/>
  <c r="S227" i="3" s="1"/>
  <c r="S228" i="3" s="1"/>
  <c r="S229" i="3" s="1"/>
  <c r="S230" i="3" s="1"/>
  <c r="S231" i="3" s="1"/>
  <c r="S232" i="3" s="1"/>
  <c r="S233" i="3" s="1"/>
  <c r="S234" i="3" s="1"/>
  <c r="S235" i="3" s="1"/>
  <c r="S236" i="3" s="1"/>
  <c r="S237" i="3" s="1"/>
  <c r="S238" i="3" s="1"/>
  <c r="S239" i="3" s="1"/>
  <c r="S240" i="3" s="1"/>
  <c r="S241" i="3" s="1"/>
  <c r="S242" i="3" s="1"/>
  <c r="S243" i="3" s="1"/>
  <c r="S244" i="3" s="1"/>
  <c r="S245" i="3" s="1"/>
  <c r="S246" i="3" s="1"/>
  <c r="S247" i="3" s="1"/>
  <c r="K4" i="3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AX6" i="3" s="1"/>
  <c r="AX31" i="3" s="1"/>
  <c r="AX33" i="3" s="1"/>
  <c r="B4" i="3"/>
  <c r="C4" i="3"/>
  <c r="BU6" i="3"/>
  <c r="BU8" i="3"/>
  <c r="BU4" i="3"/>
  <c r="BM6" i="3"/>
  <c r="BM31" i="3" s="1"/>
  <c r="BM33" i="3" s="1"/>
  <c r="BM8" i="3"/>
  <c r="BM4" i="3"/>
  <c r="BE8" i="3"/>
  <c r="BE4" i="3"/>
  <c r="AW6" i="3"/>
  <c r="AW31" i="3" s="1"/>
  <c r="AW33" i="3" s="1"/>
  <c r="AW8" i="3"/>
  <c r="AW4" i="3"/>
  <c r="AW5" i="3"/>
  <c r="BX4" i="3"/>
  <c r="BX5" i="3"/>
  <c r="BX6" i="3"/>
  <c r="BX7" i="3"/>
  <c r="BX8" i="3"/>
  <c r="BX10" i="3"/>
  <c r="BH4" i="3"/>
  <c r="BH8" i="3"/>
  <c r="AR4" i="3"/>
  <c r="AR8" i="3"/>
  <c r="AR5" i="3"/>
  <c r="AR10" i="3"/>
  <c r="AR7" i="3"/>
  <c r="AR32" i="3" s="1"/>
  <c r="BO4" i="3"/>
  <c r="BO5" i="3"/>
  <c r="BO6" i="3"/>
  <c r="BO31" i="3" s="1"/>
  <c r="BO33" i="3" s="1"/>
  <c r="BO7" i="3"/>
  <c r="BO8" i="3"/>
  <c r="BO10" i="3"/>
  <c r="BT7" i="3"/>
  <c r="BT32" i="3" s="1"/>
  <c r="BT8" i="3"/>
  <c r="BT10" i="3"/>
  <c r="BT4" i="3"/>
  <c r="BT5" i="3"/>
  <c r="BT6" i="3"/>
  <c r="BT31" i="3" s="1"/>
  <c r="BT33" i="3" s="1"/>
  <c r="BL7" i="3"/>
  <c r="BL32" i="3" s="1"/>
  <c r="BL8" i="3"/>
  <c r="BL10" i="3"/>
  <c r="BL4" i="3"/>
  <c r="BL5" i="3"/>
  <c r="BL6" i="3"/>
  <c r="BL31" i="3" s="1"/>
  <c r="BL33" i="3" s="1"/>
  <c r="BD7" i="3"/>
  <c r="BD32" i="3" s="1"/>
  <c r="BD8" i="3"/>
  <c r="BD10" i="3"/>
  <c r="BD4" i="3"/>
  <c r="BD5" i="3"/>
  <c r="BD6" i="3"/>
  <c r="BD31" i="3" s="1"/>
  <c r="BD33" i="3" s="1"/>
  <c r="AV7" i="3"/>
  <c r="AV32" i="3" s="1"/>
  <c r="AV8" i="3"/>
  <c r="AV10" i="3"/>
  <c r="AV4" i="3"/>
  <c r="AV5" i="3"/>
  <c r="AV6" i="3"/>
  <c r="AV31" i="3" s="1"/>
  <c r="AV33" i="3" s="1"/>
  <c r="BS8" i="3"/>
  <c r="BS4" i="3"/>
  <c r="BS5" i="3"/>
  <c r="BS6" i="3"/>
  <c r="BS31" i="3" s="1"/>
  <c r="BS33" i="3" s="1"/>
  <c r="BC8" i="3"/>
  <c r="BC4" i="3"/>
  <c r="BC6" i="3"/>
  <c r="BC31" i="3" s="1"/>
  <c r="BC33" i="3" s="1"/>
  <c r="AU8" i="3"/>
  <c r="AU10" i="3"/>
  <c r="AU4" i="3"/>
  <c r="AU6" i="3"/>
  <c r="AU31" i="3" s="1"/>
  <c r="AU33" i="3" s="1"/>
  <c r="BB10" i="3"/>
  <c r="BB7" i="3"/>
  <c r="BB32" i="3" s="1"/>
  <c r="BY10" i="3"/>
  <c r="BY4" i="3"/>
  <c r="BY5" i="3"/>
  <c r="BY6" i="3"/>
  <c r="BY7" i="3"/>
  <c r="BY8" i="3"/>
  <c r="BJ10" i="3"/>
  <c r="BJ5" i="3"/>
  <c r="BJ7" i="3"/>
  <c r="BJ32" i="3" s="1"/>
  <c r="BQ4" i="3"/>
  <c r="BQ6" i="3"/>
  <c r="BQ31" i="3" s="1"/>
  <c r="BQ33" i="3" s="1"/>
  <c r="BA4" i="3"/>
  <c r="BA10" i="3"/>
  <c r="BA11" i="3" s="1"/>
  <c r="AS4" i="3"/>
  <c r="AS6" i="3"/>
  <c r="AS31" i="3" s="1"/>
  <c r="AS33" i="3" s="1"/>
  <c r="AS8" i="3"/>
  <c r="Z26" i="7"/>
  <c r="AK37" i="7"/>
  <c r="H8" i="7"/>
  <c r="AD30" i="7"/>
  <c r="N14" i="7"/>
  <c r="AB28" i="7"/>
  <c r="T20" i="7"/>
  <c r="AH34" i="7"/>
  <c r="AA27" i="7"/>
  <c r="AG33" i="7"/>
  <c r="Y25" i="7"/>
  <c r="Q17" i="7"/>
  <c r="I9" i="7"/>
  <c r="AL38" i="7"/>
  <c r="BU31" i="3"/>
  <c r="BU33" i="3" s="1"/>
  <c r="BO32" i="3"/>
  <c r="BN8" i="3" l="1"/>
  <c r="BV57" i="3"/>
  <c r="BV58" i="3" s="1"/>
  <c r="AS57" i="3"/>
  <c r="AS58" i="3" s="1"/>
  <c r="BE57" i="3"/>
  <c r="BE58" i="3" s="1"/>
  <c r="BO57" i="3"/>
  <c r="BJ57" i="3"/>
  <c r="AT57" i="3"/>
  <c r="AT58" i="3" s="1"/>
  <c r="BL57" i="3"/>
  <c r="BL58" i="3" s="1"/>
  <c r="BU135" i="3"/>
  <c r="AR106" i="3"/>
  <c r="BN128" i="3"/>
  <c r="BI123" i="3"/>
  <c r="AS107" i="3"/>
  <c r="BD118" i="3"/>
  <c r="BK125" i="3"/>
  <c r="BE6" i="3"/>
  <c r="BE31" i="3" s="1"/>
  <c r="BE33" i="3" s="1"/>
  <c r="AW57" i="3"/>
  <c r="AW58" i="3" s="1"/>
  <c r="BH57" i="3"/>
  <c r="BR57" i="3"/>
  <c r="BW57" i="3"/>
  <c r="AR57" i="3"/>
  <c r="AR58" i="3" s="1"/>
  <c r="BC57" i="3"/>
  <c r="BC58" i="3" s="1"/>
  <c r="BU57" i="3"/>
  <c r="BU58" i="3" s="1"/>
  <c r="BT57" i="3"/>
  <c r="BT58" i="3" s="1"/>
  <c r="AV110" i="3"/>
  <c r="BG121" i="3"/>
  <c r="BQ131" i="3"/>
  <c r="BV136" i="3"/>
  <c r="AQ105" i="3"/>
  <c r="BB116" i="3"/>
  <c r="BT134" i="3"/>
  <c r="BS133" i="3"/>
  <c r="BF57" i="3"/>
  <c r="BF58" i="3" s="1"/>
  <c r="BP57" i="3"/>
  <c r="BP58" i="3" s="1"/>
  <c r="AX57" i="3"/>
  <c r="AX58" i="3" s="1"/>
  <c r="AY57" i="3"/>
  <c r="AY58" i="3" s="1"/>
  <c r="AZ57" i="3"/>
  <c r="AZ58" i="3" s="1"/>
  <c r="BK57" i="3"/>
  <c r="BK58" i="3" s="1"/>
  <c r="AU57" i="3"/>
  <c r="AU58" i="3" s="1"/>
  <c r="AV57" i="3"/>
  <c r="AV58" i="3" s="1"/>
  <c r="AQ4" i="3"/>
  <c r="BP7" i="3"/>
  <c r="BP32" i="3" s="1"/>
  <c r="BE119" i="3"/>
  <c r="BO129" i="3"/>
  <c r="AW111" i="3"/>
  <c r="AX112" i="3"/>
  <c r="AY113" i="3"/>
  <c r="BJ124" i="3"/>
  <c r="AT108" i="3"/>
  <c r="AU109" i="3"/>
  <c r="BN57" i="3"/>
  <c r="BI57" i="3"/>
  <c r="BI58" i="3" s="1"/>
  <c r="BG57" i="3"/>
  <c r="BG58" i="3" s="1"/>
  <c r="BQ57" i="3"/>
  <c r="BQ58" i="3" s="1"/>
  <c r="BB57" i="3"/>
  <c r="BB58" i="3" s="1"/>
  <c r="BS57" i="3"/>
  <c r="BS58" i="3" s="1"/>
  <c r="BD57" i="3"/>
  <c r="BD58" i="3" s="1"/>
  <c r="BM57" i="3"/>
  <c r="BM58" i="3" s="1"/>
  <c r="BM127" i="3"/>
  <c r="BH122" i="3"/>
  <c r="BF120" i="3"/>
  <c r="BP130" i="3"/>
  <c r="BA115" i="3"/>
  <c r="BR132" i="3"/>
  <c r="BC117" i="3"/>
  <c r="BL126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U21" i="7"/>
  <c r="BR58" i="3"/>
  <c r="BG82" i="3"/>
  <c r="BN89" i="3"/>
  <c r="AQ5" i="3"/>
  <c r="BG7" i="3"/>
  <c r="BG32" i="3" s="1"/>
  <c r="BA7" i="3"/>
  <c r="BA32" i="3" s="1"/>
  <c r="BK6" i="3"/>
  <c r="BK31" i="3" s="1"/>
  <c r="BK33" i="3" s="1"/>
  <c r="BK36" i="3" s="1"/>
  <c r="AY10" i="3"/>
  <c r="BA6" i="3"/>
  <c r="BA31" i="3" s="1"/>
  <c r="BA33" i="3" s="1"/>
  <c r="BK4" i="3"/>
  <c r="K11" i="7"/>
  <c r="AY7" i="3"/>
  <c r="AY32" i="3" s="1"/>
  <c r="AY34" i="3" s="1"/>
  <c r="AY50" i="3" s="1"/>
  <c r="BO58" i="3"/>
  <c r="BA5" i="3"/>
  <c r="BK8" i="3"/>
  <c r="AY5" i="3"/>
  <c r="AC29" i="7"/>
  <c r="L12" i="7"/>
  <c r="BV97" i="3"/>
  <c r="BA8" i="3"/>
  <c r="BP10" i="3"/>
  <c r="AX4" i="3"/>
  <c r="BQ5" i="3"/>
  <c r="BG10" i="3"/>
  <c r="BF10" i="3"/>
  <c r="BF11" i="3" s="1"/>
  <c r="BF37" i="3" s="1"/>
  <c r="BH58" i="3"/>
  <c r="BQ10" i="3"/>
  <c r="BF7" i="3"/>
  <c r="BF32" i="3" s="1"/>
  <c r="BG5" i="3"/>
  <c r="BQ8" i="3"/>
  <c r="BF5" i="3"/>
  <c r="S19" i="7"/>
  <c r="BP5" i="3"/>
  <c r="BF81" i="3"/>
  <c r="AX10" i="3"/>
  <c r="BF6" i="3"/>
  <c r="BF31" i="3" s="1"/>
  <c r="BF33" i="3" s="1"/>
  <c r="AY8" i="3"/>
  <c r="BG6" i="3"/>
  <c r="BG31" i="3" s="1"/>
  <c r="BG33" i="3" s="1"/>
  <c r="BP6" i="3"/>
  <c r="BP31" i="3" s="1"/>
  <c r="BP33" i="3" s="1"/>
  <c r="BP91" i="3"/>
  <c r="AX8" i="3"/>
  <c r="BQ7" i="3"/>
  <c r="BQ32" i="3" s="1"/>
  <c r="AX7" i="3"/>
  <c r="AX32" i="3" s="1"/>
  <c r="AX34" i="3" s="1"/>
  <c r="AX38" i="3" s="1"/>
  <c r="BN4" i="3"/>
  <c r="AY6" i="3"/>
  <c r="AY31" i="3" s="1"/>
  <c r="AY33" i="3" s="1"/>
  <c r="BG4" i="3"/>
  <c r="BP4" i="3"/>
  <c r="BQ92" i="3"/>
  <c r="AX5" i="3"/>
  <c r="BN7" i="3"/>
  <c r="BN32" i="3" s="1"/>
  <c r="AY4" i="3"/>
  <c r="BN6" i="3"/>
  <c r="BN31" i="3" s="1"/>
  <c r="BN33" i="3" s="1"/>
  <c r="BF8" i="3"/>
  <c r="BN5" i="3"/>
  <c r="BG8" i="3"/>
  <c r="BP8" i="3"/>
  <c r="AX73" i="3"/>
  <c r="AY74" i="3"/>
  <c r="BW58" i="3"/>
  <c r="F6" i="7"/>
  <c r="AE31" i="7"/>
  <c r="R18" i="7"/>
  <c r="J10" i="7"/>
  <c r="AS10" i="3"/>
  <c r="AS11" i="3" s="1"/>
  <c r="AS37" i="3" s="1"/>
  <c r="BI5" i="3"/>
  <c r="AT8" i="3"/>
  <c r="BJ6" i="3"/>
  <c r="BJ31" i="3" s="1"/>
  <c r="BJ33" i="3" s="1"/>
  <c r="BR8" i="3"/>
  <c r="AU5" i="3"/>
  <c r="BC10" i="3"/>
  <c r="BC11" i="3" s="1"/>
  <c r="BC37" i="3" s="1"/>
  <c r="BS7" i="3"/>
  <c r="BS32" i="3" s="1"/>
  <c r="BT55" i="3" s="1"/>
  <c r="BT60" i="3" s="1"/>
  <c r="BT61" i="3" s="1"/>
  <c r="BV4" i="3"/>
  <c r="AQ8" i="3"/>
  <c r="BE5" i="3"/>
  <c r="BM10" i="3"/>
  <c r="BU7" i="3"/>
  <c r="BU32" i="3" s="1"/>
  <c r="AT69" i="3"/>
  <c r="AS68" i="3"/>
  <c r="BS94" i="3"/>
  <c r="BU96" i="3"/>
  <c r="AV71" i="3"/>
  <c r="G7" i="7"/>
  <c r="D4" i="7"/>
  <c r="AS7" i="3"/>
  <c r="AS32" i="3" s="1"/>
  <c r="AT55" i="3" s="1"/>
  <c r="AT60" i="3" s="1"/>
  <c r="AT61" i="3" s="1"/>
  <c r="AT6" i="3"/>
  <c r="AT31" i="3" s="1"/>
  <c r="AT33" i="3" s="1"/>
  <c r="BJ4" i="3"/>
  <c r="BB8" i="3"/>
  <c r="BR6" i="3"/>
  <c r="BR31" i="3" s="1"/>
  <c r="BR33" i="3" s="1"/>
  <c r="BK7" i="3"/>
  <c r="BK32" i="3" s="1"/>
  <c r="BK34" i="3" s="1"/>
  <c r="BV10" i="3"/>
  <c r="BV11" i="3" s="1"/>
  <c r="BH10" i="3"/>
  <c r="BH11" i="3" s="1"/>
  <c r="BE10" i="3"/>
  <c r="BM7" i="3"/>
  <c r="BM32" i="3" s="1"/>
  <c r="BM34" i="3" s="1"/>
  <c r="BM38" i="3" s="1"/>
  <c r="BB77" i="3"/>
  <c r="AQ66" i="3"/>
  <c r="AU70" i="3"/>
  <c r="AW72" i="3"/>
  <c r="BO90" i="3"/>
  <c r="BD79" i="3"/>
  <c r="BI6" i="3"/>
  <c r="BI31" i="3" s="1"/>
  <c r="BI33" i="3" s="1"/>
  <c r="AI35" i="7"/>
  <c r="BJ58" i="3"/>
  <c r="AT5" i="3"/>
  <c r="BV7" i="3"/>
  <c r="BV32" i="3" s="1"/>
  <c r="BV34" i="3" s="1"/>
  <c r="BI4" i="3"/>
  <c r="BR5" i="3"/>
  <c r="E5" i="7"/>
  <c r="V22" i="7"/>
  <c r="O15" i="7"/>
  <c r="P16" i="7"/>
  <c r="BN58" i="3"/>
  <c r="AS5" i="3"/>
  <c r="BI10" i="3"/>
  <c r="BI11" i="3" s="1"/>
  <c r="BI37" i="3" s="1"/>
  <c r="AT4" i="3"/>
  <c r="BB6" i="3"/>
  <c r="BB31" i="3" s="1"/>
  <c r="BB33" i="3" s="1"/>
  <c r="BB36" i="3" s="1"/>
  <c r="BR4" i="3"/>
  <c r="BC7" i="3"/>
  <c r="BC32" i="3" s="1"/>
  <c r="BC34" i="3" s="1"/>
  <c r="BC50" i="3" s="1"/>
  <c r="BK5" i="3"/>
  <c r="BS10" i="3"/>
  <c r="BS11" i="3" s="1"/>
  <c r="BS37" i="3" s="1"/>
  <c r="BF4" i="3"/>
  <c r="BN10" i="3"/>
  <c r="BN11" i="3" s="1"/>
  <c r="BN37" i="3" s="1"/>
  <c r="BV6" i="3"/>
  <c r="BV31" i="3" s="1"/>
  <c r="BV33" i="3" s="1"/>
  <c r="AQ7" i="3"/>
  <c r="AQ32" i="3" s="1"/>
  <c r="AR55" i="3" s="1"/>
  <c r="AR60" i="3" s="1"/>
  <c r="AR61" i="3" s="1"/>
  <c r="AR6" i="3"/>
  <c r="AR31" i="3" s="1"/>
  <c r="AR33" i="3" s="1"/>
  <c r="BH7" i="3"/>
  <c r="BH32" i="3" s="1"/>
  <c r="BH34" i="3" s="1"/>
  <c r="AW10" i="3"/>
  <c r="AW11" i="3" s="1"/>
  <c r="AW37" i="3" s="1"/>
  <c r="BE7" i="3"/>
  <c r="BE32" i="3" s="1"/>
  <c r="BE34" i="3" s="1"/>
  <c r="BE38" i="3" s="1"/>
  <c r="BU5" i="3"/>
  <c r="BJ85" i="3"/>
  <c r="BC78" i="3"/>
  <c r="BE80" i="3"/>
  <c r="AR67" i="3"/>
  <c r="BL87" i="3"/>
  <c r="BI8" i="3"/>
  <c r="BR10" i="3"/>
  <c r="BR11" i="3" s="1"/>
  <c r="AQ6" i="3"/>
  <c r="AQ31" i="3" s="1"/>
  <c r="AQ33" i="3" s="1"/>
  <c r="AT7" i="3"/>
  <c r="AT32" i="3" s="1"/>
  <c r="AT34" i="3" s="1"/>
  <c r="BR7" i="3"/>
  <c r="BR32" i="3" s="1"/>
  <c r="BS55" i="3" s="1"/>
  <c r="BS60" i="3" s="1"/>
  <c r="BS61" i="3" s="1"/>
  <c r="BV8" i="3"/>
  <c r="AT10" i="3"/>
  <c r="AT11" i="3" s="1"/>
  <c r="BB5" i="3"/>
  <c r="BV5" i="3"/>
  <c r="BH6" i="3"/>
  <c r="BH31" i="3" s="1"/>
  <c r="BH33" i="3" s="1"/>
  <c r="W23" i="7"/>
  <c r="AF32" i="7"/>
  <c r="X24" i="7"/>
  <c r="BI7" i="3"/>
  <c r="BI32" i="3" s="1"/>
  <c r="BI34" i="3" s="1"/>
  <c r="BJ8" i="3"/>
  <c r="BB4" i="3"/>
  <c r="AU7" i="3"/>
  <c r="AU32" i="3" s="1"/>
  <c r="AU34" i="3" s="1"/>
  <c r="AU38" i="3" s="1"/>
  <c r="BC5" i="3"/>
  <c r="BK10" i="3"/>
  <c r="BK11" i="3" s="1"/>
  <c r="BK37" i="3" s="1"/>
  <c r="AQ10" i="3"/>
  <c r="AQ11" i="3" s="1"/>
  <c r="BH5" i="3"/>
  <c r="AW7" i="3"/>
  <c r="AW32" i="3" s="1"/>
  <c r="AX55" i="3" s="1"/>
  <c r="AX60" i="3" s="1"/>
  <c r="AX61" i="3" s="1"/>
  <c r="BM5" i="3"/>
  <c r="BU10" i="3"/>
  <c r="BU11" i="3" s="1"/>
  <c r="BU37" i="3" s="1"/>
  <c r="BI84" i="3"/>
  <c r="BR93" i="3"/>
  <c r="BH83" i="3"/>
  <c r="BK86" i="3"/>
  <c r="BM88" i="3"/>
  <c r="BA76" i="3"/>
  <c r="BT95" i="3"/>
  <c r="B5" i="3"/>
  <c r="BL34" i="3"/>
  <c r="BL38" i="3" s="1"/>
  <c r="BM55" i="3"/>
  <c r="BM60" i="3" s="1"/>
  <c r="BM61" i="3" s="1"/>
  <c r="BA34" i="3"/>
  <c r="BA38" i="3" s="1"/>
  <c r="BB55" i="3"/>
  <c r="BB60" i="3" s="1"/>
  <c r="BB61" i="3" s="1"/>
  <c r="BP34" i="3"/>
  <c r="BP38" i="3" s="1"/>
  <c r="BQ55" i="3"/>
  <c r="BQ60" i="3" s="1"/>
  <c r="BQ61" i="3" s="1"/>
  <c r="AY55" i="3"/>
  <c r="AY60" i="3" s="1"/>
  <c r="AY61" i="3" s="1"/>
  <c r="BS34" i="3"/>
  <c r="BS38" i="3" s="1"/>
  <c r="BT34" i="3"/>
  <c r="BT50" i="3" s="1"/>
  <c r="BU55" i="3"/>
  <c r="BU60" i="3" s="1"/>
  <c r="BU61" i="3" s="1"/>
  <c r="BB34" i="3"/>
  <c r="BC55" i="3"/>
  <c r="BC60" i="3" s="1"/>
  <c r="BC61" i="3" s="1"/>
  <c r="AZ55" i="3"/>
  <c r="AZ60" i="3" s="1"/>
  <c r="AZ61" i="3" s="1"/>
  <c r="AR34" i="3"/>
  <c r="AS55" i="3"/>
  <c r="AS60" i="3" s="1"/>
  <c r="AS61" i="3" s="1"/>
  <c r="BN55" i="3"/>
  <c r="BN60" i="3" s="1"/>
  <c r="BN61" i="3" s="1"/>
  <c r="BF34" i="3"/>
  <c r="BG55" i="3"/>
  <c r="BG60" i="3" s="1"/>
  <c r="BG61" i="3" s="1"/>
  <c r="AQ34" i="3"/>
  <c r="BG34" i="3"/>
  <c r="BG38" i="3" s="1"/>
  <c r="BH55" i="3"/>
  <c r="BH60" i="3" s="1"/>
  <c r="BH61" i="3" s="1"/>
  <c r="AV34" i="3"/>
  <c r="AV38" i="3" s="1"/>
  <c r="AW55" i="3"/>
  <c r="AW60" i="3" s="1"/>
  <c r="AW61" i="3" s="1"/>
  <c r="BQ34" i="3"/>
  <c r="BQ38" i="3" s="1"/>
  <c r="BR55" i="3"/>
  <c r="BR60" i="3" s="1"/>
  <c r="BR61" i="3" s="1"/>
  <c r="BJ34" i="3"/>
  <c r="BJ38" i="3" s="1"/>
  <c r="BK55" i="3"/>
  <c r="BK60" i="3" s="1"/>
  <c r="BK61" i="3" s="1"/>
  <c r="BU34" i="3"/>
  <c r="BU38" i="3" s="1"/>
  <c r="BV55" i="3"/>
  <c r="BV60" i="3" s="1"/>
  <c r="BV61" i="3" s="1"/>
  <c r="BN34" i="3"/>
  <c r="BO55" i="3"/>
  <c r="BO60" i="3" s="1"/>
  <c r="BO61" i="3" s="1"/>
  <c r="BO34" i="3"/>
  <c r="BO38" i="3" s="1"/>
  <c r="BP55" i="3"/>
  <c r="BP60" i="3" s="1"/>
  <c r="BP61" i="3" s="1"/>
  <c r="BD34" i="3"/>
  <c r="BD38" i="3" s="1"/>
  <c r="BE55" i="3"/>
  <c r="BE60" i="3" s="1"/>
  <c r="BE61" i="3" s="1"/>
  <c r="AS34" i="3"/>
  <c r="AS38" i="3" s="1"/>
  <c r="BR34" i="3"/>
  <c r="BI55" i="3"/>
  <c r="BI60" i="3" s="1"/>
  <c r="BI61" i="3" s="1"/>
  <c r="BX11" i="3"/>
  <c r="BM11" i="3"/>
  <c r="BM37" i="3" s="1"/>
  <c r="BB11" i="3"/>
  <c r="BB37" i="3" s="1"/>
  <c r="AU11" i="3"/>
  <c r="AU37" i="3" s="1"/>
  <c r="BL11" i="3"/>
  <c r="BL37" i="3" s="1"/>
  <c r="BQ11" i="3"/>
  <c r="BQ37" i="3" s="1"/>
  <c r="AY11" i="3"/>
  <c r="AY37" i="3" s="1"/>
  <c r="BP11" i="3"/>
  <c r="BP37" i="3" s="1"/>
  <c r="BJ11" i="3"/>
  <c r="BJ37" i="3" s="1"/>
  <c r="BT11" i="3"/>
  <c r="BT37" i="3" s="1"/>
  <c r="BY11" i="3"/>
  <c r="BG11" i="3"/>
  <c r="BG37" i="3" s="1"/>
  <c r="AR11" i="3"/>
  <c r="AR37" i="3" s="1"/>
  <c r="AV11" i="3"/>
  <c r="AV37" i="3" s="1"/>
  <c r="BO11" i="3"/>
  <c r="BO37" i="3" s="1"/>
  <c r="BE11" i="3"/>
  <c r="BE37" i="3" s="1"/>
  <c r="BD11" i="3"/>
  <c r="BD37" i="3" s="1"/>
  <c r="AX11" i="3"/>
  <c r="AX37" i="3" s="1"/>
  <c r="BN38" i="3" l="1"/>
  <c r="AT38" i="3"/>
  <c r="BD55" i="3"/>
  <c r="BD60" i="3" s="1"/>
  <c r="BD61" i="3" s="1"/>
  <c r="BH36" i="3"/>
  <c r="BR36" i="3"/>
  <c r="AQ36" i="3"/>
  <c r="BF38" i="3"/>
  <c r="BU36" i="3"/>
  <c r="BS36" i="3"/>
  <c r="BR37" i="3"/>
  <c r="AX36" i="3"/>
  <c r="AS36" i="3"/>
  <c r="BP36" i="3"/>
  <c r="BQ36" i="3"/>
  <c r="AU36" i="3"/>
  <c r="AP104" i="3"/>
  <c r="AP65" i="3" s="1"/>
  <c r="BT36" i="3"/>
  <c r="AT36" i="3"/>
  <c r="BG36" i="3"/>
  <c r="BM36" i="3"/>
  <c r="AV36" i="3"/>
  <c r="BC36" i="3"/>
  <c r="BW55" i="3"/>
  <c r="BW60" i="3" s="1"/>
  <c r="BW61" i="3" s="1"/>
  <c r="BB38" i="3"/>
  <c r="AR36" i="3"/>
  <c r="BI36" i="3"/>
  <c r="AY36" i="3"/>
  <c r="AQ37" i="3"/>
  <c r="BH37" i="3"/>
  <c r="BJ36" i="3"/>
  <c r="BN36" i="3"/>
  <c r="BF36" i="3"/>
  <c r="BE36" i="3"/>
  <c r="BV37" i="3"/>
  <c r="BA36" i="3"/>
  <c r="BD36" i="3"/>
  <c r="BO36" i="3"/>
  <c r="BR38" i="3"/>
  <c r="BV36" i="3"/>
  <c r="BK38" i="3"/>
  <c r="BA37" i="3"/>
  <c r="BL36" i="3"/>
  <c r="AP4" i="3"/>
  <c r="AP6" i="3"/>
  <c r="AP31" i="3" s="1"/>
  <c r="AP33" i="3" s="1"/>
  <c r="AP5" i="3"/>
  <c r="C3" i="7"/>
  <c r="AP7" i="3"/>
  <c r="AP32" i="3" s="1"/>
  <c r="AP34" i="3" s="1"/>
  <c r="AP10" i="3"/>
  <c r="AP11" i="3" s="1"/>
  <c r="AP37" i="3" s="1"/>
  <c r="AP8" i="3"/>
  <c r="AQ57" i="3"/>
  <c r="AQ58" i="3" s="1"/>
  <c r="AT15" i="3"/>
  <c r="AT37" i="3"/>
  <c r="AR38" i="3"/>
  <c r="AU55" i="3"/>
  <c r="AU60" i="3" s="1"/>
  <c r="AU61" i="3" s="1"/>
  <c r="BI38" i="3"/>
  <c r="BL55" i="3"/>
  <c r="BL60" i="3" s="1"/>
  <c r="BL61" i="3" s="1"/>
  <c r="BV38" i="3"/>
  <c r="AW34" i="3"/>
  <c r="AV55" i="3"/>
  <c r="AV60" i="3" s="1"/>
  <c r="AV61" i="3" s="1"/>
  <c r="AQ38" i="3"/>
  <c r="AT14" i="3"/>
  <c r="AT35" i="3" s="1"/>
  <c r="BF55" i="3"/>
  <c r="BF60" i="3" s="1"/>
  <c r="BF61" i="3" s="1"/>
  <c r="BJ55" i="3"/>
  <c r="BJ60" i="3" s="1"/>
  <c r="BJ61" i="3" s="1"/>
  <c r="BH38" i="3"/>
  <c r="B6" i="3"/>
  <c r="BO50" i="3"/>
  <c r="AX50" i="3"/>
  <c r="AR50" i="3"/>
  <c r="BU50" i="3"/>
  <c r="BL50" i="3"/>
  <c r="AV50" i="3"/>
  <c r="BC38" i="3"/>
  <c r="BE50" i="3"/>
  <c r="BJ50" i="3"/>
  <c r="BB50" i="3"/>
  <c r="BM50" i="3"/>
  <c r="BA50" i="3"/>
  <c r="BK50" i="3"/>
  <c r="BI50" i="3"/>
  <c r="AU50" i="3"/>
  <c r="BG50" i="3"/>
  <c r="AY38" i="3"/>
  <c r="AT50" i="3"/>
  <c r="AQ50" i="3"/>
  <c r="BS50" i="3"/>
  <c r="BQ50" i="3"/>
  <c r="BF50" i="3"/>
  <c r="BN50" i="3"/>
  <c r="BP50" i="3"/>
  <c r="BT38" i="3"/>
  <c r="BR50" i="3"/>
  <c r="BD50" i="3"/>
  <c r="BV50" i="3"/>
  <c r="BH50" i="3"/>
  <c r="AS50" i="3"/>
  <c r="BP15" i="3"/>
  <c r="BP14" i="3"/>
  <c r="BP35" i="3" s="1"/>
  <c r="AY15" i="3"/>
  <c r="AY14" i="3"/>
  <c r="AY35" i="3" s="1"/>
  <c r="BF15" i="3"/>
  <c r="BF14" i="3"/>
  <c r="BF35" i="3" s="1"/>
  <c r="BQ15" i="3"/>
  <c r="BQ14" i="3"/>
  <c r="BQ35" i="3" s="1"/>
  <c r="BL15" i="3"/>
  <c r="BL14" i="3"/>
  <c r="BL35" i="3" s="1"/>
  <c r="AU15" i="3"/>
  <c r="AU14" i="3"/>
  <c r="AU35" i="3" s="1"/>
  <c r="BD15" i="3"/>
  <c r="BD14" i="3"/>
  <c r="BD35" i="3" s="1"/>
  <c r="BG15" i="3"/>
  <c r="BG14" i="3"/>
  <c r="BG35" i="3" s="1"/>
  <c r="BN15" i="3"/>
  <c r="BN14" i="3"/>
  <c r="BN35" i="3" s="1"/>
  <c r="BY15" i="3"/>
  <c r="BY14" i="3"/>
  <c r="BT15" i="3"/>
  <c r="BT14" i="3"/>
  <c r="BT35" i="3" s="1"/>
  <c r="BC15" i="3"/>
  <c r="BC14" i="3"/>
  <c r="BC35" i="3" s="1"/>
  <c r="BJ15" i="3"/>
  <c r="BJ14" i="3"/>
  <c r="BJ35" i="3" s="1"/>
  <c r="BX14" i="3"/>
  <c r="BX15" i="3"/>
  <c r="BU15" i="3"/>
  <c r="BU14" i="3"/>
  <c r="BU35" i="3" s="1"/>
  <c r="BS15" i="3"/>
  <c r="BS14" i="3"/>
  <c r="BS35" i="3" s="1"/>
  <c r="AS15" i="3"/>
  <c r="AS14" i="3"/>
  <c r="AS35" i="3" s="1"/>
  <c r="BB15" i="3"/>
  <c r="BB14" i="3"/>
  <c r="BB35" i="3" s="1"/>
  <c r="AR15" i="3"/>
  <c r="AR14" i="3"/>
  <c r="AR35" i="3" s="1"/>
  <c r="BH15" i="3"/>
  <c r="BH14" i="3"/>
  <c r="BH35" i="3" s="1"/>
  <c r="BA15" i="3"/>
  <c r="BA14" i="3"/>
  <c r="BA35" i="3" s="1"/>
  <c r="BM15" i="3"/>
  <c r="BM14" i="3"/>
  <c r="BM35" i="3" s="1"/>
  <c r="BE15" i="3"/>
  <c r="BE14" i="3"/>
  <c r="BE35" i="3" s="1"/>
  <c r="AQ15" i="3"/>
  <c r="AQ14" i="3"/>
  <c r="AQ35" i="3" s="1"/>
  <c r="AX15" i="3"/>
  <c r="AX14" i="3"/>
  <c r="AX35" i="3" s="1"/>
  <c r="BI15" i="3"/>
  <c r="BI14" i="3"/>
  <c r="BI35" i="3" s="1"/>
  <c r="BO15" i="3"/>
  <c r="BO14" i="3"/>
  <c r="BO35" i="3" s="1"/>
  <c r="BV15" i="3"/>
  <c r="BV14" i="3"/>
  <c r="BV35" i="3" s="1"/>
  <c r="AV15" i="3"/>
  <c r="AV14" i="3"/>
  <c r="AV35" i="3" s="1"/>
  <c r="BK15" i="3"/>
  <c r="BK14" i="3"/>
  <c r="BK35" i="3" s="1"/>
  <c r="BR15" i="3"/>
  <c r="BR14" i="3"/>
  <c r="BR35" i="3" s="1"/>
  <c r="AW15" i="3"/>
  <c r="AW14" i="3"/>
  <c r="AW35" i="3" s="1"/>
  <c r="AW50" i="3" l="1"/>
  <c r="AW36" i="3"/>
  <c r="AP50" i="3"/>
  <c r="AQ55" i="3"/>
  <c r="AQ60" i="3" s="1"/>
  <c r="AQ61" i="3" s="1"/>
  <c r="AP36" i="3"/>
  <c r="AP15" i="3"/>
  <c r="AP14" i="3"/>
  <c r="AP35" i="3" s="1"/>
  <c r="AP38" i="3"/>
  <c r="AW38" i="3"/>
  <c r="B7" i="3"/>
  <c r="B8" i="3" l="1"/>
  <c r="B9" i="3" l="1"/>
  <c r="B10" i="3" l="1"/>
  <c r="BW7" i="3" l="1"/>
  <c r="BW32" i="3" s="1"/>
  <c r="B11" i="3"/>
  <c r="BW34" i="3" l="1"/>
  <c r="BX55" i="3"/>
  <c r="BX60" i="3" s="1"/>
  <c r="BX61" i="3" s="1"/>
  <c r="BX57" i="3"/>
  <c r="BX58" i="3" s="1"/>
  <c r="AJ36" i="7"/>
  <c r="BW4" i="3"/>
  <c r="BW8" i="3"/>
  <c r="BW6" i="3"/>
  <c r="BW31" i="3" s="1"/>
  <c r="BW33" i="3" s="1"/>
  <c r="BW10" i="3"/>
  <c r="BW11" i="3" s="1"/>
  <c r="BW5" i="3"/>
  <c r="BW98" i="3"/>
  <c r="B12" i="3"/>
  <c r="BW36" i="3" l="1"/>
  <c r="BW50" i="3"/>
  <c r="BW37" i="3"/>
  <c r="BW14" i="3"/>
  <c r="BW35" i="3" s="1"/>
  <c r="BW15" i="3"/>
  <c r="BW38" i="3"/>
  <c r="B13" i="3"/>
  <c r="AZ5" i="3" l="1"/>
  <c r="B14" i="3"/>
  <c r="AZ6" i="3" l="1"/>
  <c r="AZ31" i="3" s="1"/>
  <c r="AZ33" i="3" s="1"/>
  <c r="BA57" i="3"/>
  <c r="BA58" i="3" s="1"/>
  <c r="AZ75" i="3"/>
  <c r="AZ8" i="3"/>
  <c r="AZ10" i="3"/>
  <c r="AZ11" i="3" s="1"/>
  <c r="AZ37" i="3" s="1"/>
  <c r="AZ7" i="3"/>
  <c r="AZ32" i="3" s="1"/>
  <c r="AZ4" i="3"/>
  <c r="M13" i="7"/>
  <c r="B15" i="3"/>
  <c r="AZ15" i="3" l="1"/>
  <c r="AZ14" i="3"/>
  <c r="AZ35" i="3" s="1"/>
  <c r="AZ34" i="3"/>
  <c r="AZ38" i="3" s="1"/>
  <c r="BA55" i="3"/>
  <c r="BA60" i="3" s="1"/>
  <c r="BA61" i="3" s="1"/>
  <c r="B16" i="3"/>
  <c r="AZ36" i="3" l="1"/>
  <c r="AZ50" i="3"/>
  <c r="B17" i="3"/>
  <c r="B18" i="3" l="1"/>
  <c r="B19" i="3" l="1"/>
  <c r="B20" i="3" l="1"/>
  <c r="B21" i="3" l="1"/>
  <c r="B22" i="3" l="1"/>
  <c r="B23" i="3" l="1"/>
  <c r="B24" i="3" l="1"/>
  <c r="B25" i="3" l="1"/>
  <c r="B26" i="3" l="1"/>
  <c r="B27" i="3" l="1"/>
  <c r="B28" i="3" l="1"/>
  <c r="B29" i="3" l="1"/>
  <c r="B30" i="3" l="1"/>
  <c r="B31" i="3" l="1"/>
  <c r="B32" i="3" l="1"/>
  <c r="B33" i="3" l="1"/>
  <c r="B34" i="3" l="1"/>
  <c r="B35" i="3" l="1"/>
  <c r="B36" i="3" l="1"/>
  <c r="B37" i="3" l="1"/>
  <c r="B38" i="3" l="1"/>
  <c r="B39" i="3" l="1"/>
  <c r="B40" i="3" l="1"/>
  <c r="B41" i="3" l="1"/>
  <c r="B42" i="3" l="1"/>
  <c r="B43" i="3" l="1"/>
  <c r="B44" i="3" l="1"/>
  <c r="B45" i="3" l="1"/>
  <c r="B46" i="3" l="1"/>
  <c r="B47" i="3" l="1"/>
  <c r="B48" i="3" l="1"/>
  <c r="B49" i="3" l="1"/>
  <c r="B50" i="3" l="1"/>
  <c r="B51" i="3" l="1"/>
  <c r="B52" i="3" l="1"/>
  <c r="B53" i="3" l="1"/>
  <c r="B54" i="3" l="1"/>
  <c r="B55" i="3" l="1"/>
  <c r="B56" i="3" l="1"/>
  <c r="B57" i="3" l="1"/>
  <c r="B58" i="3" l="1"/>
  <c r="B59" i="3" l="1"/>
  <c r="B60" i="3" l="1"/>
  <c r="B61" i="3" l="1"/>
  <c r="B62" i="3" l="1"/>
  <c r="B63" i="3" l="1"/>
  <c r="B64" i="3" l="1"/>
  <c r="B65" i="3" l="1"/>
  <c r="B66" i="3" l="1"/>
  <c r="B67" i="3" l="1"/>
  <c r="B68" i="3" l="1"/>
  <c r="B69" i="3" l="1"/>
  <c r="B70" i="3" l="1"/>
  <c r="B71" i="3" l="1"/>
  <c r="B72" i="3" l="1"/>
  <c r="B73" i="3" l="1"/>
  <c r="B74" i="3" l="1"/>
  <c r="B75" i="3" l="1"/>
  <c r="B76" i="3" l="1"/>
  <c r="B77" i="3" l="1"/>
  <c r="B78" i="3" l="1"/>
  <c r="B79" i="3" l="1"/>
  <c r="B80" i="3" l="1"/>
  <c r="B81" i="3" l="1"/>
  <c r="B82" i="3" l="1"/>
  <c r="B83" i="3" l="1"/>
  <c r="B84" i="3" l="1"/>
  <c r="B85" i="3" l="1"/>
  <c r="B86" i="3" l="1"/>
  <c r="B87" i="3" l="1"/>
  <c r="B88" i="3" l="1"/>
  <c r="B89" i="3" l="1"/>
  <c r="B90" i="3" l="1"/>
  <c r="B91" i="3" l="1"/>
  <c r="B92" i="3" l="1"/>
  <c r="B93" i="3" l="1"/>
  <c r="B94" i="3" l="1"/>
  <c r="B95" i="3" l="1"/>
  <c r="B96" i="3" l="1"/>
  <c r="B97" i="3" l="1"/>
  <c r="B98" i="3" l="1"/>
  <c r="B99" i="3" l="1"/>
  <c r="B100" i="3" l="1"/>
  <c r="B101" i="3" l="1"/>
  <c r="B102" i="3" l="1"/>
  <c r="B103" i="3" l="1"/>
  <c r="B104" i="3" l="1"/>
  <c r="B105" i="3" l="1"/>
  <c r="B106" i="3" l="1"/>
  <c r="B107" i="3" l="1"/>
  <c r="B108" i="3" l="1"/>
  <c r="B109" i="3" l="1"/>
  <c r="B110" i="3" l="1"/>
  <c r="B111" i="3" l="1"/>
  <c r="B112" i="3" l="1"/>
  <c r="B113" i="3" l="1"/>
  <c r="B114" i="3" l="1"/>
  <c r="B115" i="3" l="1"/>
  <c r="B116" i="3" l="1"/>
  <c r="B117" i="3" l="1"/>
  <c r="B118" i="3" l="1"/>
  <c r="B119" i="3" l="1"/>
  <c r="B120" i="3" l="1"/>
  <c r="B121" i="3" l="1"/>
  <c r="B122" i="3" l="1"/>
  <c r="B123" i="3" l="1"/>
  <c r="B124" i="3" l="1"/>
  <c r="B125" i="3" l="1"/>
  <c r="B126" i="3" l="1"/>
  <c r="B127" i="3" l="1"/>
  <c r="B128" i="3" l="1"/>
  <c r="B129" i="3" l="1"/>
  <c r="B130" i="3" l="1"/>
  <c r="B131" i="3" l="1"/>
  <c r="B132" i="3" l="1"/>
  <c r="B133" i="3" l="1"/>
  <c r="B134" i="3" l="1"/>
  <c r="B135" i="3" l="1"/>
  <c r="B136" i="3" l="1"/>
  <c r="B137" i="3" l="1"/>
  <c r="B138" i="3" l="1"/>
  <c r="B139" i="3" l="1"/>
  <c r="B140" i="3" l="1"/>
  <c r="B141" i="3" l="1"/>
  <c r="B142" i="3" l="1"/>
  <c r="B143" i="3" l="1"/>
  <c r="B144" i="3" l="1"/>
  <c r="B145" i="3" l="1"/>
  <c r="B146" i="3" l="1"/>
  <c r="B147" i="3" l="1"/>
  <c r="B148" i="3" l="1"/>
  <c r="B149" i="3" l="1"/>
  <c r="B150" i="3" l="1"/>
  <c r="B151" i="3" l="1"/>
  <c r="B152" i="3" l="1"/>
  <c r="B153" i="3" l="1"/>
  <c r="B154" i="3" l="1"/>
  <c r="B155" i="3" l="1"/>
  <c r="B156" i="3" l="1"/>
  <c r="B157" i="3" l="1"/>
  <c r="B158" i="3" l="1"/>
  <c r="B159" i="3" l="1"/>
  <c r="B160" i="3" l="1"/>
  <c r="B161" i="3" l="1"/>
  <c r="B162" i="3" l="1"/>
  <c r="B163" i="3" l="1"/>
  <c r="B164" i="3" l="1"/>
  <c r="B165" i="3" l="1"/>
  <c r="B166" i="3" l="1"/>
  <c r="B167" i="3" l="1"/>
  <c r="B168" i="3" l="1"/>
  <c r="B169" i="3" l="1"/>
  <c r="B170" i="3" l="1"/>
  <c r="B171" i="3" l="1"/>
  <c r="B172" i="3" l="1"/>
  <c r="B173" i="3" l="1"/>
  <c r="B174" i="3" l="1"/>
  <c r="B175" i="3" l="1"/>
  <c r="B176" i="3" l="1"/>
  <c r="B177" i="3" l="1"/>
  <c r="B178" i="3" l="1"/>
  <c r="B179" i="3" l="1"/>
  <c r="B180" i="3" l="1"/>
  <c r="B181" i="3" l="1"/>
  <c r="B182" i="3" l="1"/>
  <c r="B183" i="3" l="1"/>
  <c r="B184" i="3" l="1"/>
  <c r="B185" i="3" l="1"/>
  <c r="B186" i="3" l="1"/>
  <c r="B187" i="3" l="1"/>
  <c r="B188" i="3" l="1"/>
  <c r="B189" i="3" l="1"/>
  <c r="B190" i="3" l="1"/>
  <c r="B191" i="3" l="1"/>
  <c r="B192" i="3" l="1"/>
  <c r="B193" i="3" l="1"/>
  <c r="B194" i="3" l="1"/>
  <c r="B195" i="3" l="1"/>
  <c r="B196" i="3" l="1"/>
  <c r="B197" i="3" l="1"/>
  <c r="B198" i="3" l="1"/>
  <c r="B199" i="3" l="1"/>
  <c r="B200" i="3" l="1"/>
  <c r="B201" i="3" l="1"/>
  <c r="B202" i="3" l="1"/>
  <c r="B203" i="3" l="1"/>
  <c r="B204" i="3" l="1"/>
  <c r="B205" i="3" l="1"/>
  <c r="B206" i="3" l="1"/>
  <c r="B207" i="3" l="1"/>
  <c r="B208" i="3" l="1"/>
  <c r="B209" i="3" l="1"/>
  <c r="B210" i="3" l="1"/>
  <c r="B211" i="3" l="1"/>
  <c r="B212" i="3" l="1"/>
  <c r="B213" i="3" l="1"/>
  <c r="B214" i="3" l="1"/>
  <c r="B215" i="3" l="1"/>
  <c r="B216" i="3" l="1"/>
  <c r="B217" i="3" l="1"/>
  <c r="B218" i="3" l="1"/>
  <c r="B219" i="3" l="1"/>
  <c r="B220" i="3" l="1"/>
  <c r="B221" i="3" l="1"/>
  <c r="B222" i="3" l="1"/>
  <c r="B223" i="3" l="1"/>
  <c r="B224" i="3" l="1"/>
  <c r="B225" i="3" l="1"/>
  <c r="B226" i="3" l="1"/>
  <c r="B227" i="3" l="1"/>
  <c r="B228" i="3" l="1"/>
  <c r="B229" i="3" l="1"/>
  <c r="B230" i="3" l="1"/>
  <c r="B231" i="3" l="1"/>
  <c r="B232" i="3" l="1"/>
  <c r="B233" i="3" l="1"/>
  <c r="B234" i="3" l="1"/>
  <c r="B235" i="3" l="1"/>
  <c r="B236" i="3" l="1"/>
  <c r="B237" i="3" l="1"/>
  <c r="B238" i="3" l="1"/>
  <c r="B239" i="3" l="1"/>
  <c r="B240" i="3" l="1"/>
  <c r="B241" i="3" l="1"/>
  <c r="B242" i="3" l="1"/>
  <c r="B243" i="3" l="1"/>
  <c r="B244" i="3" l="1"/>
  <c r="B245" i="3" l="1"/>
  <c r="B246" i="3" s="1"/>
  <c r="B247" i="3" s="1"/>
  <c r="AO103" i="3" s="1"/>
  <c r="AO7" i="3"/>
  <c r="AO10" i="3"/>
  <c r="AO4" i="3"/>
  <c r="AO8" i="3"/>
  <c r="AO6" i="3"/>
  <c r="AO5" i="3"/>
  <c r="AP57" i="3" l="1"/>
  <c r="AP58" i="3" s="1"/>
  <c r="AO64" i="3"/>
  <c r="AO40" i="3" s="1" a="1"/>
  <c r="AO40" i="3" s="1"/>
  <c r="AO42" i="3" s="1"/>
  <c r="AO39" i="3" a="1"/>
  <c r="AO39" i="3" s="1"/>
  <c r="AO31" i="3"/>
  <c r="AO33" i="3" s="1"/>
  <c r="AO32" i="3"/>
  <c r="AO11" i="3"/>
  <c r="B2" i="7"/>
  <c r="AO37" i="3" l="1"/>
  <c r="AO14" i="3"/>
  <c r="AO35" i="3" s="1"/>
  <c r="AO44" i="3" a="1"/>
  <c r="AO44" i="3" s="1"/>
  <c r="AO47" i="3" s="1"/>
  <c r="AO41" i="3"/>
  <c r="BY55" i="3"/>
  <c r="BY60" i="3" s="1"/>
  <c r="BY61" i="3" s="1"/>
  <c r="AO15" i="3"/>
  <c r="AO34" i="3"/>
  <c r="AO38" i="3" s="1"/>
  <c r="AP55" i="3"/>
  <c r="AP60" i="3" s="1"/>
  <c r="AP61" i="3" s="1"/>
  <c r="AO52" i="3" l="1"/>
  <c r="AO36" i="3"/>
  <c r="AO48" i="3"/>
  <c r="AO43" i="3"/>
  <c r="AO51" i="3"/>
  <c r="AO50" i="3"/>
  <c r="AO46" i="3"/>
</calcChain>
</file>

<file path=xl/connections.xml><?xml version="1.0" encoding="utf-8"?>
<connections xmlns="http://schemas.openxmlformats.org/spreadsheetml/2006/main">
  <connection id="1" keepAlive="1" name="Consulta - Table 0 (2)" description="Conexão com a consulta 'Table 0 (2)' na pasta de trabalho." type="5" refreshedVersion="5" background="1" saveData="1">
    <dbPr connection="provider=Microsoft.Mashup.OleDb.1;data source=$EmbeddedMashup(2fb332f4-f88e-4c41-8ce5-20fa52be666d)$;location=&quot;Table 0 (2)&quot;" command="SELECT * FROM [Table 0 (2)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<sst xmlns="http://schemas.openxmlformats.org/spreadsheetml/2006/main" count="11178" uniqueCount="951">
  <si>
    <t>Column1</t>
  </si>
  <si>
    <t/>
  </si>
  <si>
    <t>DATA</t>
  </si>
  <si>
    <t>ABCB4</t>
  </si>
  <si>
    <t>BBSE3</t>
  </si>
  <si>
    <t>EGIE3</t>
  </si>
  <si>
    <t>ENAT3</t>
  </si>
  <si>
    <t>ENBR3</t>
  </si>
  <si>
    <t>ITSA4</t>
  </si>
  <si>
    <t>ITUB3</t>
  </si>
  <si>
    <t>LEVE3</t>
  </si>
  <si>
    <t>MRVE3</t>
  </si>
  <si>
    <t>SAPR4</t>
  </si>
  <si>
    <t>SDIL11</t>
  </si>
  <si>
    <t>TAEE11</t>
  </si>
  <si>
    <t>TRPL4</t>
  </si>
  <si>
    <t>TUPY3</t>
  </si>
  <si>
    <t>UNIP6</t>
  </si>
  <si>
    <t>VALE3</t>
  </si>
  <si>
    <t>VIVT3</t>
  </si>
  <si>
    <t>VULC3</t>
  </si>
  <si>
    <t>BCFF11</t>
  </si>
  <si>
    <t>HGCR11</t>
  </si>
  <si>
    <t>MXRF11</t>
  </si>
  <si>
    <t>MBRF11</t>
  </si>
  <si>
    <t>GGRC11</t>
  </si>
  <si>
    <t>MFII11</t>
  </si>
  <si>
    <t>FLMA11</t>
  </si>
  <si>
    <t>HGLG11</t>
  </si>
  <si>
    <t>FLRY3</t>
  </si>
  <si>
    <t>SQIA3</t>
  </si>
  <si>
    <t>MDIA3</t>
  </si>
  <si>
    <t>KNRI11</t>
  </si>
  <si>
    <t>WEGE3</t>
  </si>
  <si>
    <t>B3SA3</t>
  </si>
  <si>
    <t>PETR4</t>
  </si>
  <si>
    <t>PRIO3</t>
  </si>
  <si>
    <t>TIET11</t>
  </si>
  <si>
    <t>Date</t>
  </si>
  <si>
    <t>Close</t>
  </si>
  <si>
    <t>1/2/2018 16:56:00</t>
  </si>
  <si>
    <t>10</t>
  </si>
  <si>
    <t>141</t>
  </si>
  <si>
    <t>9</t>
  </si>
  <si>
    <t>17</t>
  </si>
  <si>
    <t>27</t>
  </si>
  <si>
    <t>19</t>
  </si>
  <si>
    <t>24</t>
  </si>
  <si>
    <t>142</t>
  </si>
  <si>
    <t>1289</t>
  </si>
  <si>
    <t>95</t>
  </si>
  <si>
    <t>1295</t>
  </si>
  <si>
    <t>25</t>
  </si>
  <si>
    <t>161</t>
  </si>
  <si>
    <t>145</t>
  </si>
  <si>
    <t>44</t>
  </si>
  <si>
    <t>1055</t>
  </si>
  <si>
    <t>147</t>
  </si>
  <si>
    <t>30</t>
  </si>
  <si>
    <t>162</t>
  </si>
  <si>
    <t>26</t>
  </si>
  <si>
    <t>15</t>
  </si>
  <si>
    <t>8</t>
  </si>
  <si>
    <t>127</t>
  </si>
  <si>
    <t>13</t>
  </si>
  <si>
    <t>42</t>
  </si>
  <si>
    <t>46</t>
  </si>
  <si>
    <t>132</t>
  </si>
  <si>
    <t>21</t>
  </si>
  <si>
    <t>18</t>
  </si>
  <si>
    <t>12</t>
  </si>
  <si>
    <t>163</t>
  </si>
  <si>
    <t>84</t>
  </si>
  <si>
    <t>108</t>
  </si>
  <si>
    <t>104</t>
  </si>
  <si>
    <t>109</t>
  </si>
  <si>
    <t>130</t>
  </si>
  <si>
    <t>29</t>
  </si>
  <si>
    <t>107</t>
  </si>
  <si>
    <t>23</t>
  </si>
  <si>
    <t>122</t>
  </si>
  <si>
    <t>28</t>
  </si>
  <si>
    <t>16</t>
  </si>
  <si>
    <t>45</t>
  </si>
  <si>
    <t>43</t>
  </si>
  <si>
    <t>88</t>
  </si>
  <si>
    <t>100</t>
  </si>
  <si>
    <t>22</t>
  </si>
  <si>
    <t>91</t>
  </si>
  <si>
    <t>14</t>
  </si>
  <si>
    <t>90</t>
  </si>
  <si>
    <t>140</t>
  </si>
  <si>
    <t>20</t>
  </si>
  <si>
    <t>137</t>
  </si>
  <si>
    <t>7</t>
  </si>
  <si>
    <t>118</t>
  </si>
  <si>
    <t>119</t>
  </si>
  <si>
    <t>92</t>
  </si>
  <si>
    <t>157</t>
  </si>
  <si>
    <t>114</t>
  </si>
  <si>
    <t>154</t>
  </si>
  <si>
    <t>33</t>
  </si>
  <si>
    <t>120</t>
  </si>
  <si>
    <t>123</t>
  </si>
  <si>
    <t>39</t>
  </si>
  <si>
    <t>40</t>
  </si>
  <si>
    <t>124</t>
  </si>
  <si>
    <t>116</t>
  </si>
  <si>
    <t>144</t>
  </si>
  <si>
    <t>41</t>
  </si>
  <si>
    <t>115</t>
  </si>
  <si>
    <t>121</t>
  </si>
  <si>
    <t>113</t>
  </si>
  <si>
    <t>52</t>
  </si>
  <si>
    <t>37</t>
  </si>
  <si>
    <t>94</t>
  </si>
  <si>
    <t>93</t>
  </si>
  <si>
    <t>136</t>
  </si>
  <si>
    <t>148</t>
  </si>
  <si>
    <t>152</t>
  </si>
  <si>
    <t>36</t>
  </si>
  <si>
    <t>110</t>
  </si>
  <si>
    <t>111</t>
  </si>
  <si>
    <t>150</t>
  </si>
  <si>
    <t>151</t>
  </si>
  <si>
    <t>1035</t>
  </si>
  <si>
    <t>155</t>
  </si>
  <si>
    <t>146</t>
  </si>
  <si>
    <t>112</t>
  </si>
  <si>
    <t>11</t>
  </si>
  <si>
    <t>51</t>
  </si>
  <si>
    <t>49</t>
  </si>
  <si>
    <t>3</t>
  </si>
  <si>
    <t>32</t>
  </si>
  <si>
    <t>47</t>
  </si>
  <si>
    <t>48</t>
  </si>
  <si>
    <t>153</t>
  </si>
  <si>
    <t>31</t>
  </si>
  <si>
    <t>1149</t>
  </si>
  <si>
    <t>160</t>
  </si>
  <si>
    <t>1160</t>
  </si>
  <si>
    <t>117</t>
  </si>
  <si>
    <t>159</t>
  </si>
  <si>
    <t>156</t>
  </si>
  <si>
    <t>158</t>
  </si>
  <si>
    <t>6/27/2019 16:56:00</t>
  </si>
  <si>
    <t>6/28/2019 16:56:00</t>
  </si>
  <si>
    <t>7/1/2019 16:56:00</t>
  </si>
  <si>
    <t>7/2/2019 16:56:00</t>
  </si>
  <si>
    <t>7/3/2019 16:56:00</t>
  </si>
  <si>
    <t>7/4/2019 16:56:00</t>
  </si>
  <si>
    <t>7/5/2019 16:56:00</t>
  </si>
  <si>
    <t>7/8/2019 16:56:00</t>
  </si>
  <si>
    <t>7/10/2019 16:56:00</t>
  </si>
  <si>
    <t>7/11/2019 16:56:00</t>
  </si>
  <si>
    <t>7/12/2019 16:56:00</t>
  </si>
  <si>
    <t>7/15/2019 16:56:00</t>
  </si>
  <si>
    <t>7/16/2019 16:56:00</t>
  </si>
  <si>
    <t>1200</t>
  </si>
  <si>
    <t>7/17/2019 16:56:00</t>
  </si>
  <si>
    <t>7/18/2019 16:56:00</t>
  </si>
  <si>
    <t>149</t>
  </si>
  <si>
    <t>7/19/2019 16:56:00</t>
  </si>
  <si>
    <t>7/22/2019 16:56:00</t>
  </si>
  <si>
    <t>1210</t>
  </si>
  <si>
    <t>7/23/2019 16:56:00</t>
  </si>
  <si>
    <t>7/24/2019 16:56:00</t>
  </si>
  <si>
    <t>1220</t>
  </si>
  <si>
    <t>7/25/2019 16:56:00</t>
  </si>
  <si>
    <t>7/26/2019 16:56:00</t>
  </si>
  <si>
    <t>7/29/2019 16:56:00</t>
  </si>
  <si>
    <t>7/30/2019 16:56:00</t>
  </si>
  <si>
    <t>7/31/2019 16:56:00</t>
  </si>
  <si>
    <t>8/1/2019 16:56:00</t>
  </si>
  <si>
    <t>8/2/2019 16:56:00</t>
  </si>
  <si>
    <t>8/5/2019 16:56:00</t>
  </si>
  <si>
    <t>8/6/2019 16:56:00</t>
  </si>
  <si>
    <t>8/7/2019 16:56:00</t>
  </si>
  <si>
    <t>8/8/2019 16:56:00</t>
  </si>
  <si>
    <t>8/9/2019 16:56:00</t>
  </si>
  <si>
    <t>8/12/2019 16:56:00</t>
  </si>
  <si>
    <t>1250</t>
  </si>
  <si>
    <t>8/13/2019 16:56:00</t>
  </si>
  <si>
    <t>1247</t>
  </si>
  <si>
    <t>8/14/2019 16:56:00</t>
  </si>
  <si>
    <t>8/15/2019 16:56:00</t>
  </si>
  <si>
    <t>8/16/2019 16:56:00</t>
  </si>
  <si>
    <t>8/19/2019 16:56:00</t>
  </si>
  <si>
    <t>8/20/2019 16:56:00</t>
  </si>
  <si>
    <t>8/21/2019 16:56:00</t>
  </si>
  <si>
    <t>8/22/2019 16:56:00</t>
  </si>
  <si>
    <t>8/23/2019 16:56:00</t>
  </si>
  <si>
    <t>1240</t>
  </si>
  <si>
    <t>27,18</t>
  </si>
  <si>
    <t>1260</t>
  </si>
  <si>
    <t>1266</t>
  </si>
  <si>
    <t>1273</t>
  </si>
  <si>
    <t>1275</t>
  </si>
  <si>
    <t>1255</t>
  </si>
  <si>
    <t>143</t>
  </si>
  <si>
    <t>1230</t>
  </si>
  <si>
    <t>1231</t>
  </si>
  <si>
    <t>1235</t>
  </si>
  <si>
    <t>1234</t>
  </si>
  <si>
    <t>1237</t>
  </si>
  <si>
    <t>1224</t>
  </si>
  <si>
    <t>1178</t>
  </si>
  <si>
    <t>1140</t>
  </si>
  <si>
    <t>1</t>
  </si>
  <si>
    <t>Resumo ativos</t>
  </si>
  <si>
    <t>Máximo</t>
  </si>
  <si>
    <t>Mínimo</t>
  </si>
  <si>
    <t>Média ( R )</t>
  </si>
  <si>
    <t>Desvio padrão ( S )</t>
  </si>
  <si>
    <t>Variância ( S2 )</t>
  </si>
  <si>
    <t>Tamanho</t>
  </si>
  <si>
    <t>Variância ( IBOV)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</si>
  <si>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</si>
  <si>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</si>
  <si>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</si>
  <si>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</si>
  <si>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</si>
  <si>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</si>
  <si>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</si>
  <si>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</si>
  <si>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</si>
  <si>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</si>
  <si>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</si>
  <si>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</si>
  <si>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</si>
  <si>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</si>
  <si>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</si>
  <si>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</si>
  <si>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</si>
  <si>
    <t>DATA_18</t>
  </si>
  <si>
    <t>DATA_19</t>
  </si>
  <si>
    <t>DATA_20</t>
  </si>
  <si>
    <t>DATA_21</t>
  </si>
  <si>
    <t>DATA_22</t>
  </si>
  <si>
    <t>DATA_23</t>
  </si>
  <si>
    <t>DATA_24</t>
  </si>
  <si>
    <t>DATA_25</t>
  </si>
  <si>
    <t>DATA_26</t>
  </si>
  <si>
    <t>DATA_27</t>
  </si>
  <si>
    <t>DATA_28</t>
  </si>
  <si>
    <t>DATA_29</t>
  </si>
  <si>
    <t>DATA_30</t>
  </si>
  <si>
    <t>DATA_31</t>
  </si>
  <si>
    <t>DATA_32</t>
  </si>
  <si>
    <t>IBOV</t>
  </si>
  <si>
    <t>CESP6</t>
  </si>
  <si>
    <t>DATA inicial</t>
  </si>
  <si>
    <t>DATA final</t>
  </si>
  <si>
    <t>Beta (Variação em relação IBOV)</t>
  </si>
  <si>
    <t>Covariância ( Ação x IBOV )</t>
  </si>
  <si>
    <t>Beta &lt; 1 = Risco menor que mercado</t>
  </si>
  <si>
    <t>Beta &gt; 1 = Risco maior que mercado</t>
  </si>
  <si>
    <t>DADOS PARA O CAPM (ke)</t>
  </si>
  <si>
    <t>Brasil</t>
  </si>
  <si>
    <t>EUA</t>
  </si>
  <si>
    <t>Rf</t>
  </si>
  <si>
    <t>Rm-Rf</t>
  </si>
  <si>
    <t>Risco país</t>
  </si>
  <si>
    <t>Inflação BRL</t>
  </si>
  <si>
    <t>Inflação EUA</t>
  </si>
  <si>
    <t>Rf = taxa de retorno livre de risco</t>
  </si>
  <si>
    <t>Rm-Rf = premio de risco de mercado</t>
  </si>
  <si>
    <t>ke BR = Retorno esperado de uma carteira ou ação</t>
  </si>
  <si>
    <t>ke EUA = Retorno esperado de uma carteira ou ação</t>
  </si>
  <si>
    <t>Carteira de ações</t>
  </si>
  <si>
    <t>Valor em R$</t>
  </si>
  <si>
    <t>Peso ( % )</t>
  </si>
  <si>
    <t>Total em R$</t>
  </si>
  <si>
    <t>Total em %</t>
  </si>
  <si>
    <t>Retorno diário</t>
  </si>
  <si>
    <t>Risco diário</t>
  </si>
  <si>
    <t>Retorno anual</t>
  </si>
  <si>
    <t>Risco anual</t>
  </si>
  <si>
    <t>Coeficiente de variação</t>
  </si>
  <si>
    <t>ke carteira =</t>
  </si>
  <si>
    <t>Retorno diário da CARTEIRA</t>
  </si>
  <si>
    <t>Risco diário da CARTEIRA</t>
  </si>
  <si>
    <t>Retorno anual da CARTEIRA</t>
  </si>
  <si>
    <t>Risco anual da CARTEIRA</t>
  </si>
  <si>
    <t>Coeficiente de variação CARTEIRA</t>
  </si>
  <si>
    <t>BR</t>
  </si>
  <si>
    <t>Alfa de Jensen</t>
  </si>
  <si>
    <t>Período</t>
  </si>
  <si>
    <t>1 ano</t>
  </si>
  <si>
    <t>6 meses</t>
  </si>
  <si>
    <t>3 meses</t>
  </si>
  <si>
    <t>2 anos</t>
  </si>
  <si>
    <t xml:space="preserve"> </t>
  </si>
  <si>
    <t>IS ( Índice de Sharpe )</t>
  </si>
  <si>
    <t>IS ( Índice de Sharpe ) CARTEIRA</t>
  </si>
  <si>
    <t>Var histórico</t>
  </si>
  <si>
    <t>dias</t>
  </si>
  <si>
    <t>Inv/perda máx</t>
  </si>
  <si>
    <t>Var paramétrico</t>
  </si>
  <si>
    <t>CARTEIRA</t>
  </si>
  <si>
    <t>8/26/2019 16:56:00</t>
  </si>
  <si>
    <t>8/27/2019 16:56:00</t>
  </si>
  <si>
    <t>4</t>
  </si>
  <si>
    <t>8/28/2019 16:56:00</t>
  </si>
  <si>
    <t>8/29/2019 16:56:00</t>
  </si>
  <si>
    <t>8/30/2019 16:56:00</t>
  </si>
  <si>
    <t>9/2/2019 16:56:00</t>
  </si>
  <si>
    <t>9/3/2019 16:56:00</t>
  </si>
  <si>
    <t>9/4/2019 16:56:00</t>
  </si>
  <si>
    <t>1165</t>
  </si>
  <si>
    <t>9/5/2019 16:56:00</t>
  </si>
  <si>
    <t>1185</t>
  </si>
  <si>
    <t>9/6/2019 16:56:00</t>
  </si>
  <si>
    <t>102243</t>
  </si>
  <si>
    <t>9/9/2019 16:56:00</t>
  </si>
  <si>
    <t>9/10/2019 16:56:00</t>
  </si>
  <si>
    <t>9/11/2019 16:56:00</t>
  </si>
  <si>
    <t>9/12/2019 16:56:00</t>
  </si>
  <si>
    <t>9/13/2019 16:56:00</t>
  </si>
  <si>
    <t>9/16/2019 16:56:00</t>
  </si>
  <si>
    <t>9/17/2019 16:56:00</t>
  </si>
  <si>
    <t>9/18/2019 16:56:00</t>
  </si>
  <si>
    <t>1180</t>
  </si>
  <si>
    <t>9/19/2019 16:56:00</t>
  </si>
  <si>
    <t>35</t>
  </si>
  <si>
    <t>9/20/2019 16:56:00</t>
  </si>
  <si>
    <t>9/23/2019 16:56:00</t>
  </si>
  <si>
    <t>9/24/2019 16:56:00</t>
  </si>
  <si>
    <t>9/25/2019 16:56:00</t>
  </si>
  <si>
    <t>9/26/2019 16:56:00</t>
  </si>
  <si>
    <t>9/27/2019 16:56:00</t>
  </si>
  <si>
    <t>9/30/2019 16:56:00</t>
  </si>
  <si>
    <t>10/1/2019 16:56:00</t>
  </si>
  <si>
    <t>10/2/2019 16:56:00</t>
  </si>
  <si>
    <t>10/3/2019 16:56:00</t>
  </si>
  <si>
    <t>1219</t>
  </si>
  <si>
    <t>10/4/2019 16:56:00</t>
  </si>
  <si>
    <t>1211</t>
  </si>
  <si>
    <t>10/7/2019 16:56:00</t>
  </si>
  <si>
    <t>1217</t>
  </si>
  <si>
    <t>10/8/2019 16:56:00</t>
  </si>
  <si>
    <t>1215</t>
  </si>
  <si>
    <t>10/9/2019 16:56:00</t>
  </si>
  <si>
    <t>10/10/2019 16:56:00</t>
  </si>
  <si>
    <t>10/11/2019 16:56:00</t>
  </si>
  <si>
    <t>LCAM3</t>
  </si>
  <si>
    <t>10/14/2019 16:56:00</t>
  </si>
  <si>
    <t>10/15/2019 16:56:00</t>
  </si>
  <si>
    <t>10/16/2019 16:56:00</t>
  </si>
  <si>
    <t>10/17/2019 16:56:00</t>
  </si>
  <si>
    <t>1214</t>
  </si>
  <si>
    <t>10/18/2019 16:56:00</t>
  </si>
  <si>
    <t>168</t>
  </si>
  <si>
    <t>10/21/2019 16:56:00</t>
  </si>
  <si>
    <t>167</t>
  </si>
  <si>
    <t>10/22/2019 16:56:00</t>
  </si>
  <si>
    <t>10/23/2019 16:56:00</t>
  </si>
  <si>
    <t>10/24/2019 16:56:00</t>
  </si>
  <si>
    <t>1218</t>
  </si>
  <si>
    <t>169</t>
  </si>
  <si>
    <t>10/25/2019 16:56:00</t>
  </si>
  <si>
    <t>10/28/2019 16:56:00</t>
  </si>
  <si>
    <t>1225</t>
  </si>
  <si>
    <t>10/29/2019 16:56:00</t>
  </si>
  <si>
    <t>10/30/2019 16:56:00</t>
  </si>
  <si>
    <t>34</t>
  </si>
  <si>
    <t>10/31/2019 16:56:00</t>
  </si>
  <si>
    <t>38</t>
  </si>
  <si>
    <t>11/1/2019 16:56:00</t>
  </si>
  <si>
    <t>125</t>
  </si>
  <si>
    <t>170</t>
  </si>
  <si>
    <t>11/4/2019 16:56:00</t>
  </si>
  <si>
    <t>11/5/2019 16:56:00</t>
  </si>
  <si>
    <t>1233</t>
  </si>
  <si>
    <t>11/6/2019 16:56:00</t>
  </si>
  <si>
    <t>126</t>
  </si>
  <si>
    <t>11/7/2019 16:56:00</t>
  </si>
  <si>
    <t>11/8/2019 16:56:00</t>
  </si>
  <si>
    <t>11/11/2019 16:56:00</t>
  </si>
  <si>
    <t>11/12/2019 16:56:00</t>
  </si>
  <si>
    <t>11/13/2019 16:56:00</t>
  </si>
  <si>
    <t>1236</t>
  </si>
  <si>
    <t>11/14/2019 16:56:00</t>
  </si>
  <si>
    <t>11/18/2019 16:56:00</t>
  </si>
  <si>
    <t>11/19/2019 16:56:00</t>
  </si>
  <si>
    <t>11/21/2019 16:56:00</t>
  </si>
  <si>
    <t>11/22/2019 16:56:00</t>
  </si>
  <si>
    <t>173</t>
  </si>
  <si>
    <t>11/25/2019 16:56:00</t>
  </si>
  <si>
    <t>171</t>
  </si>
  <si>
    <t>11/26/2019 16:56:00</t>
  </si>
  <si>
    <t>11/27/2019 16:56:00</t>
  </si>
  <si>
    <t>1242</t>
  </si>
  <si>
    <t>178</t>
  </si>
  <si>
    <t>11/28/2019 16:56:00</t>
  </si>
  <si>
    <t>11/29/2019 16:56:00</t>
  </si>
  <si>
    <t>5</t>
  </si>
  <si>
    <t>12/2/2019 16:56:00</t>
  </si>
  <si>
    <t>12/3/2019 16:56:00</t>
  </si>
  <si>
    <t>1272</t>
  </si>
  <si>
    <t>180</t>
  </si>
  <si>
    <t>12/4/2019 16:56:00</t>
  </si>
  <si>
    <t>1280</t>
  </si>
  <si>
    <t>12/5/2019 16:56:00</t>
  </si>
  <si>
    <t>1283</t>
  </si>
  <si>
    <t>12/6/2019 16:56:00</t>
  </si>
  <si>
    <t>6</t>
  </si>
  <si>
    <t>12/9/2019 16:56:00</t>
  </si>
  <si>
    <t>12/10/2019 16:56:00</t>
  </si>
  <si>
    <t>1258</t>
  </si>
  <si>
    <t>12/11/2019 16:56:00</t>
  </si>
  <si>
    <t>12/12/2019 16:56:00</t>
  </si>
  <si>
    <t>196</t>
  </si>
  <si>
    <t>12/13/2019 16:56:00</t>
  </si>
  <si>
    <t>12/16/2019 16:56:00</t>
  </si>
  <si>
    <t>12/17/2019 16:56:00</t>
  </si>
  <si>
    <t>1299</t>
  </si>
  <si>
    <t>185</t>
  </si>
  <si>
    <t>12/18/2019 16:56:00</t>
  </si>
  <si>
    <t>1288</t>
  </si>
  <si>
    <t>195</t>
  </si>
  <si>
    <t>12/19/2019 16:56:00</t>
  </si>
  <si>
    <t>1300</t>
  </si>
  <si>
    <t>188</t>
  </si>
  <si>
    <t>12/20/2019 16:56:00</t>
  </si>
  <si>
    <t>54</t>
  </si>
  <si>
    <t>1304</t>
  </si>
  <si>
    <t>12/23/2019 16:56:00</t>
  </si>
  <si>
    <t>1305</t>
  </si>
  <si>
    <t>190</t>
  </si>
  <si>
    <t>12/26/2019 16:56:00</t>
  </si>
  <si>
    <t>12/27/2019 16:56:00</t>
  </si>
  <si>
    <t>131</t>
  </si>
  <si>
    <t>1370</t>
  </si>
  <si>
    <t>199</t>
  </si>
  <si>
    <t>192</t>
  </si>
  <si>
    <t>12/30/2019 16:56:00</t>
  </si>
  <si>
    <t>134</t>
  </si>
  <si>
    <t>1/2/2020 16:56:00</t>
  </si>
  <si>
    <t>1385</t>
  </si>
  <si>
    <t>1/3/2020 17:50:00</t>
  </si>
  <si>
    <t>212</t>
  </si>
  <si>
    <t>1/6/2020 16:56:00</t>
  </si>
  <si>
    <t>1/7/2020 16:56:00</t>
  </si>
  <si>
    <t>1405</t>
  </si>
  <si>
    <t>1/8/2020 16:56:00</t>
  </si>
  <si>
    <t>1361</t>
  </si>
  <si>
    <t>209</t>
  </si>
  <si>
    <t>1/9/2020 16:56:00</t>
  </si>
  <si>
    <t>1/10/2020 16:56:00</t>
  </si>
  <si>
    <t>1327</t>
  </si>
  <si>
    <t>181</t>
  </si>
  <si>
    <t>1/13/2020 16:56:00</t>
  </si>
  <si>
    <t>1330</t>
  </si>
  <si>
    <t>1/14/2020 16:56:00</t>
  </si>
  <si>
    <t>1350</t>
  </si>
  <si>
    <t>1/15/2020 16:56:00</t>
  </si>
  <si>
    <t>1/16/2020 16:56:00</t>
  </si>
  <si>
    <t>1/17/2020 16:56:00</t>
  </si>
  <si>
    <t>1380</t>
  </si>
  <si>
    <t>198</t>
  </si>
  <si>
    <t>1/20/2020 16:56:00</t>
  </si>
  <si>
    <t>57</t>
  </si>
  <si>
    <t>53</t>
  </si>
  <si>
    <t>133</t>
  </si>
  <si>
    <t>1/21/2020 16:56:00</t>
  </si>
  <si>
    <t>1/22/2020 16:56:00</t>
  </si>
  <si>
    <t>189</t>
  </si>
  <si>
    <t>182</t>
  </si>
  <si>
    <t>128</t>
  </si>
  <si>
    <t>1/23/2020 16:56:00</t>
  </si>
  <si>
    <t>183</t>
  </si>
  <si>
    <t>1/24/2020 16:56:00</t>
  </si>
  <si>
    <t>184</t>
  </si>
  <si>
    <t>1/27/2020 16:56:00</t>
  </si>
  <si>
    <t>1/28/2020 16:56:00</t>
  </si>
  <si>
    <t>1332</t>
  </si>
  <si>
    <t>1/29/2020 16:56:00</t>
  </si>
  <si>
    <t>1310</t>
  </si>
  <si>
    <t>1/30/2020 16:56:00</t>
  </si>
  <si>
    <t>102</t>
  </si>
  <si>
    <t>1326</t>
  </si>
  <si>
    <t>1/31/2020 16:56:00</t>
  </si>
  <si>
    <t>101</t>
  </si>
  <si>
    <t>1319</t>
  </si>
  <si>
    <t>2/3/2020 16:56:00</t>
  </si>
  <si>
    <t>2/4/2020 16:56:00</t>
  </si>
  <si>
    <t>2/5/2020 16:56:00</t>
  </si>
  <si>
    <t>1311</t>
  </si>
  <si>
    <t>2/6/2020 16:56:00</t>
  </si>
  <si>
    <t>2/7/2020 16:56:00</t>
  </si>
  <si>
    <t>2/10/2020 16:56:00</t>
  </si>
  <si>
    <t>1309</t>
  </si>
  <si>
    <t>2/11/2020 16:56:00</t>
  </si>
  <si>
    <t>179</t>
  </si>
  <si>
    <t>2/12/2020 16:56:00</t>
  </si>
  <si>
    <t>2/13/2020 16:56:00</t>
  </si>
  <si>
    <t>1270</t>
  </si>
  <si>
    <t>186</t>
  </si>
  <si>
    <t>2/14/2020 16:56:00</t>
  </si>
  <si>
    <t>1282</t>
  </si>
  <si>
    <t>2/17/2020 16:56:00</t>
  </si>
  <si>
    <t>1265</t>
  </si>
  <si>
    <t>2/18/2020 16:56:00</t>
  </si>
  <si>
    <t>2/19/2020 16:56:00</t>
  </si>
  <si>
    <t>97</t>
  </si>
  <si>
    <t>2/20/2020 16:56:00</t>
  </si>
  <si>
    <t>1238</t>
  </si>
  <si>
    <t>2/21/2020 16:56:00</t>
  </si>
  <si>
    <t>2/26/2020 16:56:00</t>
  </si>
  <si>
    <t>1263</t>
  </si>
  <si>
    <t>2/27/2020 16:56:00</t>
  </si>
  <si>
    <t>2/28/2020 16:56:00</t>
  </si>
  <si>
    <t>3/2/2020 16:56:00</t>
  </si>
  <si>
    <t>3/3/2020 16:56:00</t>
  </si>
  <si>
    <t>50</t>
  </si>
  <si>
    <t>3/4/2020 16:56:00</t>
  </si>
  <si>
    <t>1244</t>
  </si>
  <si>
    <t>3/5/2020 16:56:00</t>
  </si>
  <si>
    <t>3/6/2020 16:56:00</t>
  </si>
  <si>
    <t>99</t>
  </si>
  <si>
    <t>3/9/2020 16:56:00</t>
  </si>
  <si>
    <t>3/10/2020 16:56:00</t>
  </si>
  <si>
    <t>3/11/2020 16:56:00</t>
  </si>
  <si>
    <t>3/12/2020 16:56:00</t>
  </si>
  <si>
    <t>3/13/2020 16:56:00</t>
  </si>
  <si>
    <t>3/16/2020 16:56:00</t>
  </si>
  <si>
    <t>1100</t>
  </si>
  <si>
    <t>3/17/2020 16:56:00</t>
  </si>
  <si>
    <t>3/18/2020 16:56:00</t>
  </si>
  <si>
    <t>3/19/2020 16:56:00</t>
  </si>
  <si>
    <t>98</t>
  </si>
  <si>
    <t>72</t>
  </si>
  <si>
    <t>3/20/2020 16:56:00</t>
  </si>
  <si>
    <t>3/23/2020 16:56:00</t>
  </si>
  <si>
    <t>998</t>
  </si>
  <si>
    <t>71</t>
  </si>
  <si>
    <t>3/24/2020 16:56:00</t>
  </si>
  <si>
    <t>940</t>
  </si>
  <si>
    <t>76</t>
  </si>
  <si>
    <t>3/25/2020 16:56:00</t>
  </si>
  <si>
    <t>1000</t>
  </si>
  <si>
    <t>139</t>
  </si>
  <si>
    <t>3/26/2020 16:56:00</t>
  </si>
  <si>
    <t>3/27/2020 16:56:00</t>
  </si>
  <si>
    <t>79</t>
  </si>
  <si>
    <t>3/30/2020 16:56:00</t>
  </si>
  <si>
    <t>3/31/2020 16:56:00</t>
  </si>
  <si>
    <t>96</t>
  </si>
  <si>
    <t>1030</t>
  </si>
  <si>
    <t>4/1/2020 16:56:00</t>
  </si>
  <si>
    <t>4/2/2020 16:56:00</t>
  </si>
  <si>
    <t>77</t>
  </si>
  <si>
    <t>4/3/2020 16:56:00</t>
  </si>
  <si>
    <t>1025</t>
  </si>
  <si>
    <t>4/6/2020 16:56:00</t>
  </si>
  <si>
    <t>4/7/2020 16:56:00</t>
  </si>
  <si>
    <t>4/8/2020 16:56:00</t>
  </si>
  <si>
    <t>4/9/2020 16:56:00</t>
  </si>
  <si>
    <t>1050</t>
  </si>
  <si>
    <t>4/13/2020 16:56:00</t>
  </si>
  <si>
    <t>1048</t>
  </si>
  <si>
    <t>4/14/2020 16:56:00</t>
  </si>
  <si>
    <t>4/15/2020 16:56:00</t>
  </si>
  <si>
    <t>4/16/2020 16:56:00</t>
  </si>
  <si>
    <t>1080</t>
  </si>
  <si>
    <t>1090</t>
  </si>
  <si>
    <t>26,5</t>
  </si>
  <si>
    <t>27,37</t>
  </si>
  <si>
    <t>27,06</t>
  </si>
  <si>
    <t>100723,97</t>
  </si>
  <si>
    <t>26,41</t>
  </si>
  <si>
    <t>100967,2</t>
  </si>
  <si>
    <t>101339,68</t>
  </si>
  <si>
    <t>27,48</t>
  </si>
  <si>
    <t>100605,17</t>
  </si>
  <si>
    <t>102043,11</t>
  </si>
  <si>
    <t>27,51</t>
  </si>
  <si>
    <t>103636,17</t>
  </si>
  <si>
    <t>27,95</t>
  </si>
  <si>
    <t>104089,47</t>
  </si>
  <si>
    <t>28,47</t>
  </si>
  <si>
    <t>104530,22</t>
  </si>
  <si>
    <t>28,5</t>
  </si>
  <si>
    <t>105817,06</t>
  </si>
  <si>
    <t>28,51</t>
  </si>
  <si>
    <t>105146,44</t>
  </si>
  <si>
    <t>28,78</t>
  </si>
  <si>
    <t>103905,99</t>
  </si>
  <si>
    <t>29,15</t>
  </si>
  <si>
    <t>103802,69</t>
  </si>
  <si>
    <t>29,3</t>
  </si>
  <si>
    <t>103775,41</t>
  </si>
  <si>
    <t>29,24</t>
  </si>
  <si>
    <t>103855,53</t>
  </si>
  <si>
    <t>28,9</t>
  </si>
  <si>
    <t>104716,59</t>
  </si>
  <si>
    <t>29,2</t>
  </si>
  <si>
    <t>103451,93</t>
  </si>
  <si>
    <t>28,57</t>
  </si>
  <si>
    <t>103949,46</t>
  </si>
  <si>
    <t>28,7</t>
  </si>
  <si>
    <t>103704,28</t>
  </si>
  <si>
    <t>28,3</t>
  </si>
  <si>
    <t>104119,54</t>
  </si>
  <si>
    <t>27,5</t>
  </si>
  <si>
    <t>102654,58</t>
  </si>
  <si>
    <t>102818,93</t>
  </si>
  <si>
    <t>103482,63</t>
  </si>
  <si>
    <t>28,72</t>
  </si>
  <si>
    <t>102932,76</t>
  </si>
  <si>
    <t>28,67</t>
  </si>
  <si>
    <t>101812,13</t>
  </si>
  <si>
    <t>28,99</t>
  </si>
  <si>
    <t>102125,94</t>
  </si>
  <si>
    <t>29,03</t>
  </si>
  <si>
    <t>102673,68</t>
  </si>
  <si>
    <t>29,1</t>
  </si>
  <si>
    <t>100097,75</t>
  </si>
  <si>
    <t>28,85</t>
  </si>
  <si>
    <t>102163,69</t>
  </si>
  <si>
    <t>29,08</t>
  </si>
  <si>
    <t>102782,37</t>
  </si>
  <si>
    <t>28,83</t>
  </si>
  <si>
    <t>104115,23</t>
  </si>
  <si>
    <t>28,97</t>
  </si>
  <si>
    <t>103996,16</t>
  </si>
  <si>
    <t>101915,22</t>
  </si>
  <si>
    <t>27,9</t>
  </si>
  <si>
    <t>103299,47</t>
  </si>
  <si>
    <t>28,24</t>
  </si>
  <si>
    <t>100258,01</t>
  </si>
  <si>
    <t>27,35</t>
  </si>
  <si>
    <t>99056,91</t>
  </si>
  <si>
    <t>27,15</t>
  </si>
  <si>
    <t>99805,78</t>
  </si>
  <si>
    <t>99468,67</t>
  </si>
  <si>
    <t>27,61</t>
  </si>
  <si>
    <t>99222,25</t>
  </si>
  <si>
    <t>26,82</t>
  </si>
  <si>
    <t>101201,9</t>
  </si>
  <si>
    <t>26,66</t>
  </si>
  <si>
    <t>100011,28</t>
  </si>
  <si>
    <t>4/17/2020 16:56:00</t>
  </si>
  <si>
    <t>4/20/2020 16:56:00</t>
  </si>
  <si>
    <t>1105</t>
  </si>
  <si>
    <t>4/22/2020 16:56:00</t>
  </si>
  <si>
    <t>1139</t>
  </si>
  <si>
    <t>177</t>
  </si>
  <si>
    <t>4/23/2020 16:56:00</t>
  </si>
  <si>
    <t>1115</t>
  </si>
  <si>
    <t>4/24/2020 16:56:00</t>
  </si>
  <si>
    <t>86</t>
  </si>
  <si>
    <t>4/27/2020 16:56:00</t>
  </si>
  <si>
    <t>4/28/2020 16:56:00</t>
  </si>
  <si>
    <t>4/29/2020 16:56:00</t>
  </si>
  <si>
    <t>1084</t>
  </si>
  <si>
    <t>4/30/2020 16:56:00</t>
  </si>
  <si>
    <t>5/4/2020 16:56:00</t>
  </si>
  <si>
    <t>1143</t>
  </si>
  <si>
    <t>5/5/2020 16:56:00</t>
  </si>
  <si>
    <t>1201</t>
  </si>
  <si>
    <t>5/6/2020 16:56:00</t>
  </si>
  <si>
    <t>5/7/2020 16:56:00</t>
  </si>
  <si>
    <t>166</t>
  </si>
  <si>
    <t>5/8/2020 16:56:00</t>
  </si>
  <si>
    <t>5/11/2020 16:56:00</t>
  </si>
  <si>
    <t>1209</t>
  </si>
  <si>
    <t>5/12/2020 16:56:00</t>
  </si>
  <si>
    <t>5/13/2020 16:56:00</t>
  </si>
  <si>
    <t>5/14/2020 16:56:00</t>
  </si>
  <si>
    <t>5/15/2020 16:56:00</t>
  </si>
  <si>
    <t>1186</t>
  </si>
  <si>
    <t>5/18/2020 16:56:00</t>
  </si>
  <si>
    <t>1193</t>
  </si>
  <si>
    <t>97667,49</t>
  </si>
  <si>
    <t>26,39</t>
  </si>
  <si>
    <t>96429,6</t>
  </si>
  <si>
    <t>26,57</t>
  </si>
  <si>
    <t>97276,19</t>
  </si>
  <si>
    <t>27,01</t>
  </si>
  <si>
    <t>98193,53</t>
  </si>
  <si>
    <t>27,75</t>
  </si>
  <si>
    <t>100524,43</t>
  </si>
  <si>
    <t>27,46</t>
  </si>
  <si>
    <t>101134,61</t>
  </si>
  <si>
    <t>27,82</t>
  </si>
  <si>
    <t>100625,74</t>
  </si>
  <si>
    <t>27,7</t>
  </si>
  <si>
    <t>99680,83</t>
  </si>
  <si>
    <t>101200,89</t>
  </si>
  <si>
    <t>102935,43</t>
  </si>
  <si>
    <t>103180,59</t>
  </si>
  <si>
    <t>103031,5</t>
  </si>
  <si>
    <t>27,1</t>
  </si>
  <si>
    <t>103445,6</t>
  </si>
  <si>
    <t>27,59</t>
  </si>
  <si>
    <t>104370,91</t>
  </si>
  <si>
    <t>28,41</t>
  </si>
  <si>
    <t>103501,18</t>
  </si>
  <si>
    <t>28,36</t>
  </si>
  <si>
    <t>103680,41</t>
  </si>
  <si>
    <t>104616,86</t>
  </si>
  <si>
    <t>28,05</t>
  </si>
  <si>
    <t>104531,93</t>
  </si>
  <si>
    <t>104339,16</t>
  </si>
  <si>
    <t>28,65</t>
  </si>
  <si>
    <t>104817,4</t>
  </si>
  <si>
    <t>27,99</t>
  </si>
  <si>
    <t>104637,82</t>
  </si>
  <si>
    <t>28,2</t>
  </si>
  <si>
    <t>103875,66</t>
  </si>
  <si>
    <t>104480,98</t>
  </si>
  <si>
    <t>105319,4</t>
  </si>
  <si>
    <t>105077,63</t>
  </si>
  <si>
    <t>104745,32</t>
  </si>
  <si>
    <t>104053,4</t>
  </si>
  <si>
    <t>101031,44</t>
  </si>
  <si>
    <t>101516,04</t>
  </si>
  <si>
    <t>102551,32</t>
  </si>
  <si>
    <t>100572,77</t>
  </si>
  <si>
    <t>99981,4</t>
  </si>
  <si>
    <t>28,76</t>
  </si>
  <si>
    <t>Dados base covariância</t>
  </si>
  <si>
    <t>101248,78</t>
  </si>
  <si>
    <t>28,95</t>
  </si>
  <si>
    <t>101817,13</t>
  </si>
  <si>
    <t>28,8</t>
  </si>
  <si>
    <t>103831,92</t>
  </si>
  <si>
    <t>IS (Índice de Sharpe)</t>
  </si>
  <si>
    <t>Ta (Índice de Theynor)</t>
  </si>
  <si>
    <t>Ta ( Índice de Theynor ) CARTEIRA</t>
  </si>
  <si>
    <t>VaR (Value at Risk)</t>
  </si>
  <si>
    <t>S (Desvio padrão)</t>
  </si>
  <si>
    <t>Data</t>
  </si>
  <si>
    <t>06/27/2019</t>
  </si>
  <si>
    <t>06/27/2020</t>
  </si>
  <si>
    <t>24.55</t>
  </si>
  <si>
    <t>41.6</t>
  </si>
  <si>
    <t>18.85</t>
  </si>
  <si>
    <t>28.34</t>
  </si>
  <si>
    <t>10.58</t>
  </si>
  <si>
    <t>89.95</t>
  </si>
  <si>
    <t>17.2</t>
  </si>
  <si>
    <t>28.07</t>
  </si>
  <si>
    <t>18.77</t>
  </si>
  <si>
    <t>34.45</t>
  </si>
  <si>
    <t>18.51</t>
  </si>
  <si>
    <t>28.3</t>
  </si>
  <si>
    <t>18.26</t>
  </si>
  <si>
    <t>17.84</t>
  </si>
  <si>
    <t>17.7</t>
  </si>
  <si>
    <t>19.6</t>
  </si>
  <si>
    <t>41.47</t>
  </si>
  <si>
    <t>28.85</t>
  </si>
  <si>
    <t>21.65</t>
  </si>
  <si>
    <t>11.11</t>
  </si>
  <si>
    <t>17.48</t>
  </si>
  <si>
    <t>23.75</t>
  </si>
  <si>
    <t>17.55</t>
  </si>
  <si>
    <t>5.03</t>
  </si>
  <si>
    <t>17.4</t>
  </si>
  <si>
    <t>15.15</t>
  </si>
  <si>
    <t>19.45</t>
  </si>
  <si>
    <t>16.65</t>
  </si>
  <si>
    <t>24.69</t>
  </si>
  <si>
    <t>18.22</t>
  </si>
  <si>
    <t>17.91</t>
  </si>
  <si>
    <t>15.1</t>
  </si>
  <si>
    <t>35.66</t>
  </si>
  <si>
    <t>28.19</t>
  </si>
  <si>
    <t>28.75</t>
  </si>
  <si>
    <t>48.64</t>
  </si>
  <si>
    <t>17.56</t>
  </si>
  <si>
    <t>17.36</t>
  </si>
  <si>
    <t>18.98</t>
  </si>
  <si>
    <t>6.03</t>
  </si>
  <si>
    <t>169.1</t>
  </si>
  <si>
    <t>28.63</t>
  </si>
  <si>
    <t>14.37</t>
  </si>
  <si>
    <t>20.29</t>
  </si>
  <si>
    <t>19.5</t>
  </si>
  <si>
    <t>5.02</t>
  </si>
  <si>
    <t>19.47</t>
  </si>
  <si>
    <t>14.4</t>
  </si>
  <si>
    <t>6.49</t>
  </si>
  <si>
    <t>25.09</t>
  </si>
  <si>
    <t>53.45</t>
  </si>
  <si>
    <t>15.6</t>
  </si>
  <si>
    <t>15.23</t>
  </si>
  <si>
    <t>20.46</t>
  </si>
  <si>
    <t>20.84</t>
  </si>
  <si>
    <t>35.44</t>
  </si>
  <si>
    <t>108.2</t>
  </si>
  <si>
    <t>17.04</t>
  </si>
  <si>
    <t>10.95</t>
  </si>
  <si>
    <t>10.35</t>
  </si>
  <si>
    <t>24.06</t>
  </si>
  <si>
    <t>42.78</t>
  </si>
  <si>
    <t>14.17</t>
  </si>
  <si>
    <t>10.06</t>
  </si>
  <si>
    <t>46.05</t>
  </si>
  <si>
    <t>5/19/2020 16:56:00</t>
  </si>
  <si>
    <t>5/20/2020 16:56:00</t>
  </si>
  <si>
    <t>5/21/2020 16:56:00</t>
  </si>
  <si>
    <t>5/22/2020 16:56:00</t>
  </si>
  <si>
    <t>5/25/2020 16:56:00</t>
  </si>
  <si>
    <t>5/26/2020 16:56:00</t>
  </si>
  <si>
    <t>5/27/2020 16:56:00</t>
  </si>
  <si>
    <t>5/28/2020 16:56:00</t>
  </si>
  <si>
    <t>5/29/2020 16:56:00</t>
  </si>
  <si>
    <t>6/1/2020 16:56:00</t>
  </si>
  <si>
    <t>1232</t>
  </si>
  <si>
    <t>6/2/2020 16:56:00</t>
  </si>
  <si>
    <t>6/3/2020 16:56:00</t>
  </si>
  <si>
    <t>10.98</t>
  </si>
  <si>
    <t>6/4/2020 16:56:00</t>
  </si>
  <si>
    <t>21.47</t>
  </si>
  <si>
    <t>6/5/2020 16:56:00</t>
  </si>
  <si>
    <t>5.04</t>
  </si>
  <si>
    <t>1252</t>
  </si>
  <si>
    <t>3.35</t>
  </si>
  <si>
    <t>6/8/2020 16:56:00</t>
  </si>
  <si>
    <t>1279</t>
  </si>
  <si>
    <t>6/9/2020 16:56:00</t>
  </si>
  <si>
    <t>1285</t>
  </si>
  <si>
    <t>6/10/2020 16:56:00</t>
  </si>
  <si>
    <t>1307</t>
  </si>
  <si>
    <t>6/12/2020 16:56:00</t>
  </si>
  <si>
    <t>6/15/2020 16:56:00</t>
  </si>
  <si>
    <t>6/16/2020 16:56:00</t>
  </si>
  <si>
    <t>6/17/2020 16:56:00</t>
  </si>
  <si>
    <t>55.39</t>
  </si>
  <si>
    <t>6/18/2020 16:56:00</t>
  </si>
  <si>
    <t>6.26</t>
  </si>
  <si>
    <t>6/19/2020 16:56:00</t>
  </si>
  <si>
    <t>1298</t>
  </si>
  <si>
    <t>6/22/2020 16:56:00</t>
  </si>
  <si>
    <t>3.49</t>
  </si>
  <si>
    <t>6/23/2020 16:56:00</t>
  </si>
  <si>
    <t>55</t>
  </si>
  <si>
    <t>43.24</t>
  </si>
  <si>
    <t>110.48</t>
  </si>
  <si>
    <t>28.56</t>
  </si>
  <si>
    <t>6/24/2020 16:56:00</t>
  </si>
  <si>
    <t>20.31</t>
  </si>
  <si>
    <t>24.35</t>
  </si>
  <si>
    <t>55.59</t>
  </si>
  <si>
    <t>49.24</t>
  </si>
  <si>
    <t>90.47</t>
  </si>
  <si>
    <t>10.76</t>
  </si>
  <si>
    <t>1290.01</t>
  </si>
  <si>
    <t>132.49</t>
  </si>
  <si>
    <t>125.15</t>
  </si>
  <si>
    <t>187.32</t>
  </si>
  <si>
    <t>167.6</t>
  </si>
  <si>
    <t>46.12</t>
  </si>
  <si>
    <t>52.28</t>
  </si>
  <si>
    <t>15.02</t>
  </si>
  <si>
    <t>95975.16</t>
  </si>
  <si>
    <t>28.37</t>
  </si>
  <si>
    <t>42.38</t>
  </si>
  <si>
    <t>10.54</t>
  </si>
  <si>
    <t>9.77</t>
  </si>
  <si>
    <t>6.39</t>
  </si>
  <si>
    <t>108.8</t>
  </si>
  <si>
    <t>6/25/2020 16:56:00</t>
  </si>
  <si>
    <t>18.89</t>
  </si>
  <si>
    <t>89.48</t>
  </si>
  <si>
    <t>107.11</t>
  </si>
  <si>
    <t>10.84</t>
  </si>
  <si>
    <t>1309.99</t>
  </si>
  <si>
    <t>130.7</t>
  </si>
  <si>
    <t>124.95</t>
  </si>
  <si>
    <t>187.07</t>
  </si>
  <si>
    <t>40.44</t>
  </si>
  <si>
    <t>167.79</t>
  </si>
  <si>
    <t>52.65</t>
  </si>
  <si>
    <t>33.58</t>
  </si>
  <si>
    <t>94377.36</t>
  </si>
  <si>
    <t>9.96</t>
  </si>
  <si>
    <t>6/26/2020 16:56:00</t>
  </si>
  <si>
    <t>24.11</t>
  </si>
  <si>
    <t>56</t>
  </si>
  <si>
    <t>49.56</t>
  </si>
  <si>
    <t>106.46</t>
  </si>
  <si>
    <t>1292.11</t>
  </si>
  <si>
    <t>132.12</t>
  </si>
  <si>
    <t>3.33</t>
  </si>
  <si>
    <t>40.95</t>
  </si>
  <si>
    <t>49.22</t>
  </si>
  <si>
    <t>95983.09</t>
  </si>
  <si>
    <t>27.85</t>
  </si>
  <si>
    <t>9.66</t>
  </si>
  <si>
    <t>109.75</t>
  </si>
  <si>
    <t>55.62</t>
  </si>
  <si>
    <t>48.66</t>
  </si>
  <si>
    <t>89.88</t>
  </si>
  <si>
    <t>106.28</t>
  </si>
  <si>
    <t>1286</t>
  </si>
  <si>
    <t>132.6</t>
  </si>
  <si>
    <t>125.07</t>
  </si>
  <si>
    <t>3.32</t>
  </si>
  <si>
    <t>39.58</t>
  </si>
  <si>
    <t>93834.49</t>
  </si>
  <si>
    <t>28.23</t>
  </si>
  <si>
    <t>104301,58</t>
  </si>
  <si>
    <t>29,35</t>
  </si>
  <si>
    <t>104489,56</t>
  </si>
  <si>
    <t>28,96</t>
  </si>
  <si>
    <t>105422,8</t>
  </si>
  <si>
    <t>29,21</t>
  </si>
  <si>
    <t>105015,77</t>
  </si>
  <si>
    <t>29,59</t>
  </si>
  <si>
    <t>104728,89</t>
  </si>
  <si>
    <t>29,89</t>
  </si>
  <si>
    <t>106022,28</t>
  </si>
  <si>
    <t>29,99</t>
  </si>
  <si>
    <t>107381,11</t>
  </si>
  <si>
    <t>29,87</t>
  </si>
  <si>
    <t>107543,59</t>
  </si>
  <si>
    <t>29,8</t>
  </si>
  <si>
    <t>106986,15</t>
  </si>
  <si>
    <t>29,78</t>
  </si>
  <si>
    <t>107363,77</t>
  </si>
  <si>
    <t>29,91</t>
  </si>
  <si>
    <t>108187,06</t>
  </si>
  <si>
    <t>29,62</t>
  </si>
  <si>
    <t>107556,26</t>
  </si>
  <si>
    <t>29,5</t>
  </si>
  <si>
    <t>108407,54</t>
  </si>
  <si>
    <t>107219,83</t>
  </si>
  <si>
    <t>29,7</t>
  </si>
  <si>
    <t>108195,63</t>
  </si>
  <si>
    <t>29,64</t>
  </si>
  <si>
    <t>108779,33</t>
  </si>
  <si>
    <t>29,9</t>
  </si>
  <si>
    <t>108719,02</t>
  </si>
  <si>
    <t>29,98</t>
  </si>
  <si>
    <t>108360,22</t>
  </si>
  <si>
    <t>30,04</t>
  </si>
  <si>
    <t>109580,57</t>
  </si>
  <si>
    <t>29,54</t>
  </si>
  <si>
    <t>107628,98</t>
  </si>
  <si>
    <t>108367,44</t>
  </si>
  <si>
    <t>29,71</t>
  </si>
  <si>
    <t>106751,11</t>
  </si>
  <si>
    <t>106059,95</t>
  </si>
  <si>
    <t>28,63</t>
  </si>
  <si>
    <t>106556,88</t>
  </si>
  <si>
    <t>29,37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</si>
</sst>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0.000%"/>
    <numFmt numFmtId="165" formatCode="0.0%"/>
    <numFmt numFmtId="166" formatCode="_-[$R$-416]* #,##0.00_-;\-[$R$-416]* #,##0.00_-;_-[$R$-416]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0"/>
      <color rgb="FFFFFFFF"/>
      <name val="Calibri"/>
      <family val="2"/>
      <scheme val="minor"/>
    </font>
    <font>
      <b/>
      <sz val="14"/>
      <name val="Arial"/>
      <family val="2"/>
    </font>
    <font>
      <b/>
      <sz val="18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313537"/>
      <name val="Roboto"/>
    </font>
  </fonts>
  <fills count="1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A9D08E"/>
      </top>
      <bottom/>
      <diagonal/>
    </border>
    <border>
      <left/>
      <right/>
      <top/>
      <bottom style="thin">
        <color rgb="FFA9D08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  <xf numFmtId="0" fontId="2" fillId="2" borderId="1" xfId="0" applyNumberFormat="1" applyFont="1" applyFill="1" applyBorder="1" applyAlignment="1"/>
    <xf numFmtId="0" fontId="2" fillId="2" borderId="2" xfId="0" applyNumberFormat="1" applyFont="1" applyFill="1" applyBorder="1" applyAlignment="1"/>
    <xf numFmtId="0" fontId="2" fillId="2" borderId="3" xfId="0" quotePrefix="1" applyNumberFormat="1" applyFont="1" applyFill="1" applyBorder="1" applyAlignment="1"/>
    <xf numFmtId="10" fontId="0" fillId="0" borderId="0" xfId="1" applyNumberFormat="1" applyFont="1"/>
    <xf numFmtId="0" fontId="2" fillId="2" borderId="2" xfId="0" applyNumberFormat="1" applyFont="1" applyFill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1" fontId="0" fillId="0" borderId="0" xfId="1" applyNumberFormat="1" applyFont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164" fontId="3" fillId="0" borderId="0" xfId="0" applyNumberFormat="1" applyFont="1"/>
    <xf numFmtId="2" fontId="0" fillId="0" borderId="0" xfId="1" applyNumberFormat="1" applyFont="1" applyAlignment="1">
      <alignment horizontal="center"/>
    </xf>
    <xf numFmtId="0" fontId="2" fillId="2" borderId="3" xfId="0" quotePrefix="1" applyNumberFormat="1" applyFont="1" applyFill="1" applyBorder="1" applyAlignment="1">
      <alignment horizontal="center"/>
    </xf>
    <xf numFmtId="0" fontId="2" fillId="2" borderId="0" xfId="0" quotePrefix="1" applyNumberFormat="1" applyFont="1" applyFill="1" applyBorder="1" applyAlignment="1">
      <alignment horizontal="center"/>
    </xf>
    <xf numFmtId="0" fontId="5" fillId="4" borderId="0" xfId="0" applyNumberFormat="1" applyFont="1" applyFill="1" applyBorder="1" applyAlignment="1">
      <alignment horizontal="center"/>
    </xf>
    <xf numFmtId="0" fontId="6" fillId="4" borderId="0" xfId="0" applyNumberFormat="1" applyFont="1" applyFill="1" applyBorder="1" applyAlignment="1">
      <alignment horizontal="center"/>
    </xf>
    <xf numFmtId="165" fontId="0" fillId="0" borderId="0" xfId="1" applyNumberFormat="1" applyFont="1"/>
    <xf numFmtId="9" fontId="0" fillId="0" borderId="0" xfId="1" applyFont="1"/>
    <xf numFmtId="0" fontId="0" fillId="0" borderId="0" xfId="0"/>
    <xf numFmtId="10" fontId="0" fillId="5" borderId="0" xfId="10" applyNumberFormat="1" applyFont="1" applyFill="1"/>
    <xf numFmtId="0" fontId="8" fillId="5" borderId="0" xfId="8" applyFont="1" applyFill="1"/>
    <xf numFmtId="0" fontId="10" fillId="5" borderId="0" xfId="8" applyFont="1" applyFill="1"/>
    <xf numFmtId="0" fontId="10" fillId="5" borderId="0" xfId="8" applyFont="1" applyFill="1" applyAlignment="1">
      <alignment horizontal="right"/>
    </xf>
    <xf numFmtId="10" fontId="8" fillId="5" borderId="0" xfId="10" applyNumberFormat="1" applyFont="1" applyFill="1"/>
    <xf numFmtId="0" fontId="4" fillId="3" borderId="0" xfId="0" applyFont="1" applyFill="1" applyAlignment="1">
      <alignment horizontal="center"/>
    </xf>
    <xf numFmtId="166" fontId="0" fillId="0" borderId="0" xfId="0" applyNumberFormat="1"/>
    <xf numFmtId="9" fontId="3" fillId="5" borderId="0" xfId="0" applyNumberFormat="1" applyFont="1" applyFill="1" applyAlignment="1">
      <alignment horizontal="center"/>
    </xf>
    <xf numFmtId="0" fontId="2" fillId="7" borderId="2" xfId="0" applyNumberFormat="1" applyFont="1" applyFill="1" applyBorder="1" applyAlignment="1">
      <alignment horizontal="center"/>
    </xf>
    <xf numFmtId="0" fontId="2" fillId="6" borderId="2" xfId="0" applyNumberFormat="1" applyFont="1" applyFill="1" applyBorder="1" applyAlignment="1">
      <alignment horizontal="center"/>
    </xf>
    <xf numFmtId="0" fontId="8" fillId="0" borderId="0" xfId="8" applyFill="1"/>
    <xf numFmtId="165" fontId="0" fillId="0" borderId="0" xfId="10" applyNumberFormat="1" applyFont="1" applyFill="1"/>
    <xf numFmtId="2" fontId="10" fillId="0" borderId="0" xfId="8" applyNumberFormat="1" applyFont="1" applyFill="1"/>
    <xf numFmtId="0" fontId="3" fillId="8" borderId="0" xfId="0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0" fontId="2" fillId="0" borderId="3" xfId="0" quotePrefix="1" applyNumberFormat="1" applyFont="1" applyFill="1" applyBorder="1" applyAlignment="1">
      <alignment horizontal="center"/>
    </xf>
    <xf numFmtId="166" fontId="0" fillId="0" borderId="0" xfId="0" applyNumberFormat="1" applyFill="1"/>
    <xf numFmtId="10" fontId="0" fillId="0" borderId="0" xfId="1" applyNumberFormat="1" applyFont="1" applyFill="1" applyAlignment="1">
      <alignment horizontal="center"/>
    </xf>
    <xf numFmtId="0" fontId="0" fillId="0" borderId="0" xfId="0" applyFill="1"/>
    <xf numFmtId="10" fontId="0" fillId="0" borderId="0" xfId="0" applyNumberFormat="1" applyFill="1"/>
    <xf numFmtId="165" fontId="0" fillId="0" borderId="0" xfId="1" applyNumberFormat="1" applyFont="1" applyFill="1"/>
    <xf numFmtId="9" fontId="0" fillId="0" borderId="0" xfId="1" applyFont="1" applyFill="1"/>
    <xf numFmtId="165" fontId="0" fillId="0" borderId="0" xfId="0" applyNumberFormat="1" applyFill="1"/>
    <xf numFmtId="0" fontId="0" fillId="0" borderId="0" xfId="0" applyFill="1" applyBorder="1" applyAlignment="1"/>
    <xf numFmtId="0" fontId="0" fillId="0" borderId="5" xfId="0" applyFill="1" applyBorder="1" applyAlignment="1"/>
    <xf numFmtId="0" fontId="15" fillId="0" borderId="4" xfId="0" applyFont="1" applyFill="1" applyBorder="1" applyAlignment="1">
      <alignment horizontal="center"/>
    </xf>
    <xf numFmtId="0" fontId="8" fillId="5" borderId="0" xfId="8" applyFill="1" applyBorder="1" applyAlignment="1">
      <alignment horizontal="center"/>
    </xf>
    <xf numFmtId="0" fontId="8" fillId="5" borderId="8" xfId="8" applyFill="1" applyBorder="1" applyAlignment="1">
      <alignment horizontal="center"/>
    </xf>
    <xf numFmtId="0" fontId="14" fillId="5" borderId="10" xfId="8" applyFont="1" applyFill="1" applyBorder="1" applyAlignment="1">
      <alignment horizontal="center"/>
    </xf>
    <xf numFmtId="10" fontId="13" fillId="5" borderId="10" xfId="10" applyNumberFormat="1" applyFont="1" applyFill="1" applyBorder="1" applyAlignment="1">
      <alignment horizontal="center"/>
    </xf>
    <xf numFmtId="10" fontId="13" fillId="5" borderId="9" xfId="10" applyNumberFormat="1" applyFont="1" applyFill="1" applyBorder="1" applyAlignment="1">
      <alignment horizontal="center"/>
    </xf>
    <xf numFmtId="10" fontId="13" fillId="5" borderId="8" xfId="10" applyNumberFormat="1" applyFont="1" applyFill="1" applyBorder="1" applyAlignment="1">
      <alignment horizontal="center"/>
    </xf>
    <xf numFmtId="0" fontId="17" fillId="0" borderId="0" xfId="0" applyFont="1"/>
    <xf numFmtId="0" fontId="0" fillId="0" borderId="0" xfId="0" applyAlignment="1">
      <alignment horizontal="center"/>
    </xf>
    <xf numFmtId="10" fontId="0" fillId="0" borderId="0" xfId="1" applyNumberFormat="1" applyFont="1" applyFill="1" applyBorder="1" applyAlignment="1"/>
    <xf numFmtId="10" fontId="0" fillId="0" borderId="5" xfId="1" applyNumberFormat="1" applyFont="1" applyFill="1" applyBorder="1" applyAlignment="1"/>
    <xf numFmtId="2" fontId="0" fillId="0" borderId="0" xfId="0" applyNumberFormat="1"/>
    <xf numFmtId="0" fontId="0" fillId="10" borderId="0" xfId="0" applyFill="1"/>
    <xf numFmtId="0" fontId="18" fillId="0" borderId="0" xfId="0" applyFont="1"/>
    <xf numFmtId="2" fontId="19" fillId="0" borderId="0" xfId="0" applyNumberFormat="1" applyFont="1" applyAlignment="1">
      <alignment horizontal="center" vertical="center"/>
    </xf>
    <xf numFmtId="10" fontId="13" fillId="5" borderId="10" xfId="10" applyNumberFormat="1" applyFont="1" applyFill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0" fontId="10" fillId="9" borderId="12" xfId="8" applyFont="1" applyFill="1" applyBorder="1"/>
    <xf numFmtId="0" fontId="10" fillId="11" borderId="12" xfId="8" applyFont="1" applyFill="1" applyBorder="1"/>
    <xf numFmtId="0" fontId="10" fillId="11" borderId="13" xfId="8" applyFont="1" applyFill="1" applyBorder="1"/>
    <xf numFmtId="9" fontId="10" fillId="9" borderId="11" xfId="8" applyNumberFormat="1" applyFont="1" applyFill="1" applyBorder="1" applyAlignment="1">
      <alignment horizontal="left"/>
    </xf>
    <xf numFmtId="10" fontId="0" fillId="12" borderId="16" xfId="0" applyNumberFormat="1" applyFill="1" applyBorder="1" applyAlignment="1">
      <alignment horizontal="center"/>
    </xf>
    <xf numFmtId="10" fontId="0" fillId="12" borderId="17" xfId="0" applyNumberFormat="1" applyFill="1" applyBorder="1" applyAlignment="1">
      <alignment horizontal="center"/>
    </xf>
    <xf numFmtId="0" fontId="17" fillId="11" borderId="18" xfId="0" applyNumberFormat="1" applyFont="1" applyFill="1" applyBorder="1" applyAlignment="1">
      <alignment horizontal="center"/>
    </xf>
    <xf numFmtId="10" fontId="17" fillId="12" borderId="19" xfId="0" applyNumberFormat="1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165" fontId="17" fillId="11" borderId="15" xfId="1" applyNumberFormat="1" applyFont="1" applyFill="1" applyBorder="1" applyAlignment="1">
      <alignment horizontal="center"/>
    </xf>
    <xf numFmtId="44" fontId="17" fillId="11" borderId="15" xfId="0" applyNumberFormat="1" applyFont="1" applyFill="1" applyBorder="1" applyAlignment="1">
      <alignment horizontal="center"/>
    </xf>
    <xf numFmtId="44" fontId="17" fillId="11" borderId="14" xfId="0" applyNumberFormat="1" applyFont="1" applyFill="1" applyBorder="1" applyAlignment="1">
      <alignment horizontal="center"/>
    </xf>
    <xf numFmtId="0" fontId="2" fillId="2" borderId="20" xfId="0" applyNumberFormat="1" applyFont="1" applyFill="1" applyBorder="1" applyAlignment="1">
      <alignment horizontal="center"/>
    </xf>
    <xf numFmtId="0" fontId="2" fillId="2" borderId="20" xfId="0" quotePrefix="1" applyNumberFormat="1" applyFont="1" applyFill="1" applyBorder="1" applyAlignment="1">
      <alignment horizontal="center"/>
    </xf>
    <xf numFmtId="0" fontId="10" fillId="9" borderId="15" xfId="8" applyFont="1" applyFill="1" applyBorder="1" applyAlignment="1">
      <alignment horizontal="center"/>
    </xf>
    <xf numFmtId="0" fontId="0" fillId="0" borderId="0" xfId="0" applyBorder="1"/>
    <xf numFmtId="165" fontId="0" fillId="0" borderId="0" xfId="1" applyNumberFormat="1" applyFont="1" applyBorder="1" applyAlignment="1">
      <alignment horizontal="center"/>
    </xf>
    <xf numFmtId="44" fontId="0" fillId="9" borderId="15" xfId="13" applyFont="1" applyFill="1" applyBorder="1"/>
    <xf numFmtId="44" fontId="0" fillId="0" borderId="0" xfId="0" applyNumberFormat="1" applyBorder="1"/>
    <xf numFmtId="0" fontId="10" fillId="11" borderId="15" xfId="8" applyFont="1" applyFill="1" applyBorder="1" applyAlignment="1">
      <alignment horizontal="center"/>
    </xf>
    <xf numFmtId="44" fontId="0" fillId="0" borderId="5" xfId="0" applyNumberFormat="1" applyBorder="1"/>
    <xf numFmtId="9" fontId="10" fillId="9" borderId="12" xfId="8" applyNumberFormat="1" applyFont="1" applyFill="1" applyBorder="1" applyAlignment="1">
      <alignment horizontal="center"/>
    </xf>
    <xf numFmtId="9" fontId="10" fillId="11" borderId="12" xfId="8" applyNumberFormat="1" applyFont="1" applyFill="1" applyBorder="1" applyAlignment="1">
      <alignment horizontal="center"/>
    </xf>
    <xf numFmtId="10" fontId="3" fillId="5" borderId="0" xfId="1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  <xf numFmtId="2" fontId="16" fillId="5" borderId="0" xfId="1" applyNumberFormat="1" applyFont="1" applyFill="1" applyAlignment="1">
      <alignment horizontal="center"/>
    </xf>
    <xf numFmtId="2" fontId="0" fillId="0" borderId="0" xfId="1" applyNumberFormat="1" applyFont="1" applyFill="1" applyBorder="1" applyAlignment="1">
      <alignment horizontal="right"/>
    </xf>
    <xf numFmtId="0" fontId="0" fillId="0" borderId="0" xfId="0" applyFill="1" applyBorder="1"/>
    <xf numFmtId="0" fontId="11" fillId="0" borderId="0" xfId="8" applyFont="1" applyFill="1" applyBorder="1"/>
    <xf numFmtId="0" fontId="8" fillId="0" borderId="0" xfId="8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quotePrefix="1" applyNumberFormat="1" applyFont="1" applyFill="1" applyBorder="1" applyAlignment="1">
      <alignment horizontal="center"/>
    </xf>
    <xf numFmtId="9" fontId="10" fillId="0" borderId="0" xfId="8" applyNumberFormat="1" applyFont="1" applyFill="1" applyBorder="1"/>
    <xf numFmtId="166" fontId="0" fillId="0" borderId="0" xfId="0" applyNumberFormat="1" applyFill="1" applyBorder="1"/>
    <xf numFmtId="0" fontId="8" fillId="0" borderId="0" xfId="8" applyFont="1" applyFill="1" applyBorder="1"/>
    <xf numFmtId="10" fontId="0" fillId="0" borderId="0" xfId="1" applyNumberFormat="1" applyFont="1" applyFill="1" applyBorder="1" applyAlignment="1">
      <alignment horizontal="center"/>
    </xf>
    <xf numFmtId="165" fontId="3" fillId="0" borderId="0" xfId="10" applyNumberFormat="1" applyFont="1" applyFill="1" applyBorder="1" applyAlignment="1">
      <alignment horizontal="right"/>
    </xf>
    <xf numFmtId="14" fontId="0" fillId="0" borderId="0" xfId="0" applyNumberFormat="1"/>
    <xf numFmtId="10" fontId="0" fillId="12" borderId="21" xfId="0" applyNumberFormat="1" applyFill="1" applyBorder="1" applyAlignment="1">
      <alignment horizontal="center"/>
    </xf>
    <xf numFmtId="0" fontId="0" fillId="3" borderId="22" xfId="0" applyFill="1" applyBorder="1"/>
    <xf numFmtId="0" fontId="8" fillId="12" borderId="19" xfId="8" applyFont="1" applyFill="1" applyBorder="1" applyAlignment="1">
      <alignment horizontal="center"/>
    </xf>
    <xf numFmtId="44" fontId="0" fillId="9" borderId="14" xfId="13" applyFont="1" applyFill="1" applyBorder="1"/>
    <xf numFmtId="2" fontId="13" fillId="5" borderId="0" xfId="8" applyNumberFormat="1" applyFont="1" applyFill="1" applyBorder="1" applyAlignment="1">
      <alignment horizontal="center" vertical="center"/>
    </xf>
    <xf numFmtId="2" fontId="13" fillId="5" borderId="8" xfId="8" applyNumberFormat="1" applyFont="1" applyFill="1" applyBorder="1" applyAlignment="1">
      <alignment horizontal="center" vertical="center"/>
    </xf>
    <xf numFmtId="9" fontId="19" fillId="0" borderId="9" xfId="1" applyFont="1" applyBorder="1" applyAlignment="1">
      <alignment horizontal="center" vertical="center"/>
    </xf>
    <xf numFmtId="9" fontId="19" fillId="0" borderId="8" xfId="1" applyFont="1" applyBorder="1" applyAlignment="1">
      <alignment horizontal="center" vertical="center"/>
    </xf>
    <xf numFmtId="0" fontId="10" fillId="5" borderId="0" xfId="8" applyFont="1" applyFill="1" applyAlignment="1">
      <alignment horizontal="center"/>
    </xf>
    <xf numFmtId="0" fontId="12" fillId="3" borderId="6" xfId="0" applyNumberFormat="1" applyFont="1" applyFill="1" applyBorder="1" applyAlignment="1">
      <alignment horizontal="center" vertical="center"/>
    </xf>
    <xf numFmtId="0" fontId="12" fillId="3" borderId="7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14">
    <cellStyle name="Moeda" xfId="13" builtinId="4"/>
    <cellStyle name="Moeda 2" xfId="2"/>
    <cellStyle name="Normal" xfId="0" builtinId="0"/>
    <cellStyle name="Normal 2" xfId="4"/>
    <cellStyle name="Normal 2 2" xfId="9"/>
    <cellStyle name="Normal 3" xfId="6"/>
    <cellStyle name="Normal 4" xfId="7"/>
    <cellStyle name="Normal 5" xfId="8"/>
    <cellStyle name="Porcentagem" xfId="1" builtinId="5"/>
    <cellStyle name="Porcentagem 2" xfId="5"/>
    <cellStyle name="Porcentagem 2 2" xfId="10"/>
    <cellStyle name="Porcentagem 3" xfId="12"/>
    <cellStyle name="Porcentagem 4" xfId="3"/>
    <cellStyle name="Vírgula 2" xfId="11"/>
  </cellStyles>
  <dxfs count="1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17"/>
      <tableStyleElement type="headerRow" dxfId="116"/>
      <tableStyleElement type="firstRowStripe" dxfId="115"/>
    </tableStyle>
    <tableStyle name="TableStyleQueryResult" pivot="0" count="3">
      <tableStyleElement type="wholeTable" dxfId="114"/>
      <tableStyleElement type="headerRow" dxfId="113"/>
      <tableStyleElement type="firstRowStripe" dxfId="1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1275444</xdr:colOff>
      <xdr:row>43</xdr:row>
      <xdr:rowOff>45356</xdr:rowOff>
    </xdr:from>
    <xdr:ext cx="1587500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="" xmlns:a16="http://schemas.microsoft.com/office/drawing/2014/main" id="{414C5CD0-F3D0-E742-BE45-248F9DA10967}"/>
                </a:ext>
              </a:extLst>
            </xdr:cNvPr>
            <xdr:cNvSpPr txBox="1"/>
          </xdr:nvSpPr>
          <xdr:spPr>
            <a:xfrm>
              <a:off x="25670330" y="7872185"/>
              <a:ext cx="158750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𝒄𝒂𝒓𝒕𝒆𝒊𝒓𝒂</m:t>
                        </m:r>
                      </m:sub>
                    </m:sSub>
                    <m:r>
                      <a:rPr lang="pt-BR" sz="20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20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14C5CD0-F3D0-E742-BE45-248F9DA10967}"/>
                </a:ext>
              </a:extLst>
            </xdr:cNvPr>
            <xdr:cNvSpPr txBox="1"/>
          </xdr:nvSpPr>
          <xdr:spPr>
            <a:xfrm>
              <a:off x="25670330" y="7872185"/>
              <a:ext cx="158750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pt-BR" sz="2000" b="1" i="0">
                  <a:latin typeface="Cambria Math" panose="02040503050406030204" pitchFamily="18" charset="0"/>
                </a:rPr>
                <a:t>𝒄𝒂𝒓𝒕𝒆𝒊𝒓𝒂=</a:t>
              </a:r>
              <a:endParaRPr lang="pt-BR" sz="2000" b="1"/>
            </a:p>
          </xdr:txBody>
        </xdr:sp>
      </mc:Fallback>
    </mc:AlternateContent>
    <xdr:clientData/>
  </xdr:oneCellAnchor>
  <xdr:oneCellAnchor>
    <xdr:from>
      <xdr:col>39</xdr:col>
      <xdr:colOff>1127371</xdr:colOff>
      <xdr:row>46</xdr:row>
      <xdr:rowOff>277165</xdr:rowOff>
    </xdr:from>
    <xdr:ext cx="1561400" cy="420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="" xmlns:a16="http://schemas.microsoft.com/office/drawing/2014/main" id="{D691A035-364D-2248-BD5F-E7416EB9ED3E}"/>
                </a:ext>
              </a:extLst>
            </xdr:cNvPr>
            <xdr:cNvSpPr txBox="1"/>
          </xdr:nvSpPr>
          <xdr:spPr>
            <a:xfrm>
              <a:off x="25522257" y="8169308"/>
              <a:ext cx="1561400" cy="420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8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𝜶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𝒄𝒂𝒓𝒕𝒆𝒊𝒓𝒂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pt-BR" sz="2800" b="1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="" xmlns:a16="http://schemas.microsoft.com/office/drawing/2014/main" xmlns:a14="http://schemas.microsoft.com/office/drawing/2010/main" id="{D691A035-364D-2248-BD5F-E7416EB9ED3E}"/>
                </a:ext>
              </a:extLst>
            </xdr:cNvPr>
            <xdr:cNvSpPr txBox="1"/>
          </xdr:nvSpPr>
          <xdr:spPr>
            <a:xfrm>
              <a:off x="25522257" y="8169308"/>
              <a:ext cx="1561400" cy="420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8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𝒄𝒂𝒓𝒕𝒆𝒊𝒓𝒂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endParaRPr lang="pt-BR" sz="2800" b="1"/>
            </a:p>
          </xdr:txBody>
        </xdr:sp>
      </mc:Fallback>
    </mc:AlternateContent>
    <xdr:clientData/>
  </xdr:oneCellAnchor>
</xdr:wsDr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77">
    <queryTableFields count="76">
      <queryTableField id="1" name="Column1" tableColumnId="1"/>
      <queryTableField id="2" name="1" tableColumnId="2"/>
      <queryTableField id="3" name="DATA inicial" tableColumnId="3"/>
      <queryTableField id="4" name="ABCB4" tableColumnId="4"/>
      <queryTableField id="5" name="06/27/2019" tableColumnId="5"/>
      <queryTableField id="6" name="BBSE3" tableColumnId="6"/>
      <queryTableField id="7" name="DATA final" tableColumnId="7"/>
      <queryTableField id="8" name="EGIE3" tableColumnId="8"/>
      <queryTableField id="9" name="06/27/2020" tableColumnId="9"/>
      <queryTableField id="10" name="ENAT3" tableColumnId="10"/>
      <queryTableField id="11" name="DATA" tableColumnId="11"/>
      <queryTableField id="12" name="ENBR3" tableColumnId="12"/>
      <queryTableField id="13" name="DATA_1" tableColumnId="13"/>
      <queryTableField id="14" name="ITSA4" tableColumnId="14"/>
      <queryTableField id="15" name="DATA_2" tableColumnId="15"/>
      <queryTableField id="16" name="ITUB3" tableColumnId="16"/>
      <queryTableField id="17" name="DATA_3" tableColumnId="17"/>
      <queryTableField id="18" name="LEVE3" tableColumnId="18"/>
      <queryTableField id="19" name="DATA_4" tableColumnId="19"/>
      <queryTableField id="20" name="MRVE3" tableColumnId="20"/>
      <queryTableField id="21" name="DATA_5" tableColumnId="21"/>
      <queryTableField id="22" name="SAPR4" tableColumnId="22"/>
      <queryTableField id="23" name="DATA_6" tableColumnId="23"/>
      <queryTableField id="24" name="SDIL11" tableColumnId="24"/>
      <queryTableField id="25" name="DATA_7" tableColumnId="25"/>
      <queryTableField id="26" name="TAEE11" tableColumnId="26"/>
      <queryTableField id="27" name="DATA_8" tableColumnId="27"/>
      <queryTableField id="28" name="TRPL4" tableColumnId="28"/>
      <queryTableField id="29" name="DATA_9" tableColumnId="29"/>
      <queryTableField id="30" name="TUPY3" tableColumnId="30"/>
      <queryTableField id="31" name="DATA_10" tableColumnId="31"/>
      <queryTableField id="32" name="UNIP6" tableColumnId="32"/>
      <queryTableField id="33" name="DATA_11" tableColumnId="33"/>
      <queryTableField id="34" name="VALE3" tableColumnId="34"/>
      <queryTableField id="35" name="DATA_12" tableColumnId="35"/>
      <queryTableField id="36" name="VIVT3" tableColumnId="36"/>
      <queryTableField id="37" name="DATA_13" tableColumnId="37"/>
      <queryTableField id="38" name="VULC3" tableColumnId="38"/>
      <queryTableField id="39" name="DATA_14" tableColumnId="39"/>
      <queryTableField id="40" name="BCFF11" tableColumnId="40"/>
      <queryTableField id="41" name="DATA_15" tableColumnId="41"/>
      <queryTableField id="42" name="HGCR11" tableColumnId="42"/>
      <queryTableField id="43" name="DATA_16" tableColumnId="43"/>
      <queryTableField id="44" name="MXRF11" tableColumnId="44"/>
      <queryTableField id="45" name="DATA_17" tableColumnId="45"/>
      <queryTableField id="46" name="MBRF11" tableColumnId="46"/>
      <queryTableField id="47" name="DATA_18" tableColumnId="47"/>
      <queryTableField id="48" name="GGRC11" tableColumnId="48"/>
      <queryTableField id="49" name="DATA_19" tableColumnId="49"/>
      <queryTableField id="50" name="MFII11" tableColumnId="50"/>
      <queryTableField id="51" name="DATA_20" tableColumnId="51"/>
      <queryTableField id="52" name="FLMA11" tableColumnId="52"/>
      <queryTableField id="53" name="DATA_21" tableColumnId="53"/>
      <queryTableField id="54" name="HGLG11" tableColumnId="54"/>
      <queryTableField id="55" name="DATA_22" tableColumnId="55"/>
      <queryTableField id="56" name="LCAM3" tableColumnId="56"/>
      <queryTableField id="57" name="DATA_23" tableColumnId="57"/>
      <queryTableField id="58" name="SQIA3" tableColumnId="58"/>
      <queryTableField id="59" name="DATA_24" tableColumnId="59"/>
      <queryTableField id="60" name="MDIA3" tableColumnId="60"/>
      <queryTableField id="61" name="DATA_25" tableColumnId="61"/>
      <queryTableField id="62" name="KNRI11" tableColumnId="62"/>
      <queryTableField id="63" name="DATA_26" tableColumnId="63"/>
      <queryTableField id="64" name="WEGE3" tableColumnId="64"/>
      <queryTableField id="65" name="DATA_27" tableColumnId="65"/>
      <queryTableField id="66" name="B3SA3" tableColumnId="66"/>
      <queryTableField id="67" name="DATA_28" tableColumnId="67"/>
      <queryTableField id="68" name="PETR4" tableColumnId="68"/>
      <queryTableField id="69" name="DATA_29" tableColumnId="69"/>
      <queryTableField id="70" name="PRIO3" tableColumnId="70"/>
      <queryTableField id="71" name="DATA_30" tableColumnId="71"/>
      <queryTableField id="72" name="TIET11" tableColumnId="72"/>
      <queryTableField id="73" name="DATA_31" tableColumnId="73"/>
      <queryTableField id="74" name="IBOV" tableColumnId="74"/>
      <queryTableField id="75" name="DATA_32" tableColumnId="75"/>
      <queryTableField id="76" name="CESP6" tableColumnId="7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0__2" displayName="Table_0__2" ref="A1:BX251" tableType="queryTable" totalsRowShown="0" headerRowDxfId="111" dataDxfId="110">
  <autoFilter ref="A1:BX251"/>
  <tableColumns count="76">
    <tableColumn id="1" uniqueName="1" name="Column1" queryTableFieldId="1" dataDxfId="109"/>
    <tableColumn id="2" uniqueName="2" name="1" queryTableFieldId="2" dataDxfId="108"/>
    <tableColumn id="3" uniqueName="3" name="DATA inicial" queryTableFieldId="3" dataDxfId="107"/>
    <tableColumn id="4" uniqueName="4" name="ABCB4" queryTableFieldId="4" dataDxfId="106"/>
    <tableColumn id="5" uniqueName="5" name="06/27/2019" queryTableFieldId="5" dataDxfId="105"/>
    <tableColumn id="6" uniqueName="6" name="BBSE3" queryTableFieldId="6" dataDxfId="104"/>
    <tableColumn id="7" uniqueName="7" name="DATA final" queryTableFieldId="7" dataDxfId="103"/>
    <tableColumn id="8" uniqueName="8" name="EGIE3" queryTableFieldId="8" dataDxfId="102"/>
    <tableColumn id="9" uniqueName="9" name="06/27/2020" queryTableFieldId="9" dataDxfId="101"/>
    <tableColumn id="10" uniqueName="10" name="ENAT3" queryTableFieldId="10" dataDxfId="100"/>
    <tableColumn id="11" uniqueName="11" name="DATA" queryTableFieldId="11" dataDxfId="99"/>
    <tableColumn id="12" uniqueName="12" name="ENBR3" queryTableFieldId="12" dataDxfId="98"/>
    <tableColumn id="13" uniqueName="13" name="DATA_1" queryTableFieldId="13" dataDxfId="97"/>
    <tableColumn id="14" uniqueName="14" name="ITSA4" queryTableFieldId="14" dataDxfId="96"/>
    <tableColumn id="15" uniqueName="15" name="DATA_2" queryTableFieldId="15" dataDxfId="95"/>
    <tableColumn id="16" uniqueName="16" name="ITUB3" queryTableFieldId="16" dataDxfId="94"/>
    <tableColumn id="17" uniqueName="17" name="DATA_3" queryTableFieldId="17" dataDxfId="93"/>
    <tableColumn id="18" uniqueName="18" name="LEVE3" queryTableFieldId="18" dataDxfId="92"/>
    <tableColumn id="19" uniqueName="19" name="DATA_4" queryTableFieldId="19" dataDxfId="91"/>
    <tableColumn id="20" uniqueName="20" name="MRVE3" queryTableFieldId="20" dataDxfId="90"/>
    <tableColumn id="21" uniqueName="21" name="DATA_5" queryTableFieldId="21" dataDxfId="89"/>
    <tableColumn id="22" uniqueName="22" name="SAPR4" queryTableFieldId="22" dataDxfId="88"/>
    <tableColumn id="23" uniqueName="23" name="DATA_6" queryTableFieldId="23" dataDxfId="87"/>
    <tableColumn id="24" uniqueName="24" name="SDIL11" queryTableFieldId="24" dataDxfId="86"/>
    <tableColumn id="25" uniqueName="25" name="DATA_7" queryTableFieldId="25" dataDxfId="85"/>
    <tableColumn id="26" uniqueName="26" name="TAEE11" queryTableFieldId="26" dataDxfId="84"/>
    <tableColumn id="27" uniqueName="27" name="DATA_8" queryTableFieldId="27" dataDxfId="83"/>
    <tableColumn id="28" uniqueName="28" name="TRPL4" queryTableFieldId="28" dataDxfId="82"/>
    <tableColumn id="29" uniqueName="29" name="DATA_9" queryTableFieldId="29" dataDxfId="81"/>
    <tableColumn id="30" uniqueName="30" name="TUPY3" queryTableFieldId="30" dataDxfId="80"/>
    <tableColumn id="31" uniqueName="31" name="DATA_10" queryTableFieldId="31" dataDxfId="79"/>
    <tableColumn id="32" uniqueName="32" name="UNIP6" queryTableFieldId="32" dataDxfId="78"/>
    <tableColumn id="33" uniqueName="33" name="DATA_11" queryTableFieldId="33" dataDxfId="77"/>
    <tableColumn id="34" uniqueName="34" name="VALE3" queryTableFieldId="34" dataDxfId="76"/>
    <tableColumn id="35" uniqueName="35" name="DATA_12" queryTableFieldId="35" dataDxfId="75"/>
    <tableColumn id="36" uniqueName="36" name="VIVT3" queryTableFieldId="36" dataDxfId="74"/>
    <tableColumn id="37" uniqueName="37" name="DATA_13" queryTableFieldId="37" dataDxfId="73"/>
    <tableColumn id="38" uniqueName="38" name="VULC3" queryTableFieldId="38" dataDxfId="72"/>
    <tableColumn id="39" uniqueName="39" name="DATA_14" queryTableFieldId="39" dataDxfId="71"/>
    <tableColumn id="40" uniqueName="40" name="BCFF11" queryTableFieldId="40" dataDxfId="70"/>
    <tableColumn id="41" uniqueName="41" name="DATA_15" queryTableFieldId="41" dataDxfId="69"/>
    <tableColumn id="42" uniqueName="42" name="HGCR11" queryTableFieldId="42" dataDxfId="68"/>
    <tableColumn id="43" uniqueName="43" name="DATA_16" queryTableFieldId="43" dataDxfId="67"/>
    <tableColumn id="44" uniqueName="44" name="MXRF11" queryTableFieldId="44" dataDxfId="66"/>
    <tableColumn id="45" uniqueName="45" name="DATA_17" queryTableFieldId="45" dataDxfId="65"/>
    <tableColumn id="46" uniqueName="46" name="MBRF11" queryTableFieldId="46" dataDxfId="64"/>
    <tableColumn id="47" uniqueName="47" name="DATA_18" queryTableFieldId="47" dataDxfId="63"/>
    <tableColumn id="48" uniqueName="48" name="GGRC11" queryTableFieldId="48" dataDxfId="62"/>
    <tableColumn id="49" uniqueName="49" name="DATA_19" queryTableFieldId="49" dataDxfId="61"/>
    <tableColumn id="50" uniqueName="50" name="MFII11" queryTableFieldId="50" dataDxfId="60"/>
    <tableColumn id="51" uniqueName="51" name="DATA_20" queryTableFieldId="51" dataDxfId="59"/>
    <tableColumn id="52" uniqueName="52" name="FLMA11" queryTableFieldId="52" dataDxfId="58"/>
    <tableColumn id="53" uniqueName="53" name="DATA_21" queryTableFieldId="53" dataDxfId="57"/>
    <tableColumn id="54" uniqueName="54" name="HGLG11" queryTableFieldId="54" dataDxfId="56"/>
    <tableColumn id="55" uniqueName="55" name="DATA_22" queryTableFieldId="55" dataDxfId="55"/>
    <tableColumn id="56" uniqueName="56" name="LCAM3" queryTableFieldId="56" dataDxfId="54"/>
    <tableColumn id="57" uniqueName="57" name="DATA_23" queryTableFieldId="57" dataDxfId="53"/>
    <tableColumn id="58" uniqueName="58" name="SQIA3" queryTableFieldId="58" dataDxfId="52"/>
    <tableColumn id="59" uniqueName="59" name="DATA_24" queryTableFieldId="59" dataDxfId="51"/>
    <tableColumn id="60" uniqueName="60" name="MDIA3" queryTableFieldId="60" dataDxfId="50"/>
    <tableColumn id="61" uniqueName="61" name="DATA_25" queryTableFieldId="61" dataDxfId="49"/>
    <tableColumn id="62" uniqueName="62" name="KNRI11" queryTableFieldId="62" dataDxfId="48"/>
    <tableColumn id="63" uniqueName="63" name="DATA_26" queryTableFieldId="63" dataDxfId="47"/>
    <tableColumn id="64" uniqueName="64" name="WEGE3" queryTableFieldId="64" dataDxfId="46"/>
    <tableColumn id="65" uniqueName="65" name="DATA_27" queryTableFieldId="65" dataDxfId="45"/>
    <tableColumn id="66" uniqueName="66" name="B3SA3" queryTableFieldId="66" dataDxfId="44"/>
    <tableColumn id="67" uniqueName="67" name="DATA_28" queryTableFieldId="67" dataDxfId="43"/>
    <tableColumn id="68" uniqueName="68" name="PETR4" queryTableFieldId="68" dataDxfId="42"/>
    <tableColumn id="69" uniqueName="69" name="DATA_29" queryTableFieldId="69" dataDxfId="41"/>
    <tableColumn id="70" uniqueName="70" name="PRIO3" queryTableFieldId="70" dataDxfId="40"/>
    <tableColumn id="71" uniqueName="71" name="DATA_30" queryTableFieldId="71" dataDxfId="39"/>
    <tableColumn id="72" uniqueName="72" name="TIET11" queryTableFieldId="72" dataDxfId="38"/>
    <tableColumn id="73" uniqueName="73" name="DATA_31" queryTableFieldId="73" dataDxfId="37"/>
    <tableColumn id="74" uniqueName="74" name="IBOV" queryTableFieldId="74" dataDxfId="36"/>
    <tableColumn id="75" uniqueName="75" name="DATA_32" queryTableFieldId="75" dataDxfId="35"/>
    <tableColumn id="76" uniqueName="76" name="CESP6" queryTableFieldId="76" dataDxfId="34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C249" totalsRowShown="0" headerRowDxfId="33">
  <autoFilter ref="A1:C249"/>
  <sortState ref="A2:C249">
    <sortCondition ref="A2:A249"/>
  </sortState>
  <tableColumns count="3">
    <tableColumn id="1" name="Data" dataDxfId="32"/>
    <tableColumn id="2" name="TAEE11"/>
    <tableColumn id="3" name="TIET11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51"/>
  <sheetViews>
    <sheetView workbookViewId="0">
      <selection sqref="A1:BX247"/>
    </sheetView>
  </sheetViews>
  <sheetFormatPr defaultRowHeight="14.4"/>
  <cols>
    <col min="1" max="1" width="10.77734375" bestFit="1" customWidth="1"/>
    <col min="2" max="2" width="4.21875" bestFit="1" customWidth="1"/>
    <col min="3" max="3" width="18.33203125" bestFit="1" customWidth="1"/>
    <col min="4" max="4" width="8.77734375" bestFit="1" customWidth="1"/>
    <col min="5" max="5" width="18.33203125" bestFit="1" customWidth="1"/>
    <col min="6" max="6" width="8.44140625" bestFit="1" customWidth="1"/>
    <col min="7" max="7" width="18.33203125" bestFit="1" customWidth="1"/>
    <col min="8" max="8" width="8" bestFit="1" customWidth="1"/>
    <col min="9" max="9" width="18.33203125" bestFit="1" customWidth="1"/>
    <col min="10" max="10" width="8.77734375" bestFit="1" customWidth="1"/>
    <col min="11" max="11" width="18.33203125" bestFit="1" customWidth="1"/>
    <col min="12" max="12" width="8.77734375" bestFit="1" customWidth="1"/>
    <col min="13" max="13" width="18.33203125" bestFit="1" customWidth="1"/>
    <col min="14" max="14" width="8" bestFit="1" customWidth="1"/>
    <col min="15" max="15" width="18.33203125" bestFit="1" customWidth="1"/>
    <col min="16" max="16" width="8.21875" bestFit="1" customWidth="1"/>
    <col min="17" max="17" width="18.33203125" bestFit="1" customWidth="1"/>
    <col min="18" max="18" width="8.33203125" bestFit="1" customWidth="1"/>
    <col min="19" max="19" width="18.33203125" bestFit="1" customWidth="1"/>
    <col min="20" max="20" width="9.33203125" bestFit="1" customWidth="1"/>
    <col min="21" max="21" width="18.33203125" bestFit="1" customWidth="1"/>
    <col min="22" max="22" width="8.6640625" bestFit="1" customWidth="1"/>
    <col min="23" max="23" width="18.33203125" bestFit="1" customWidth="1"/>
    <col min="24" max="24" width="8.88671875" bestFit="1" customWidth="1"/>
    <col min="25" max="25" width="18.33203125" bestFit="1" customWidth="1"/>
    <col min="26" max="26" width="9.44140625" bestFit="1" customWidth="1"/>
    <col min="27" max="27" width="18.33203125" bestFit="1" customWidth="1"/>
    <col min="28" max="28" width="8.33203125" bestFit="1" customWidth="1"/>
    <col min="29" max="29" width="18.33203125" bestFit="1" customWidth="1"/>
    <col min="30" max="30" width="8.6640625" bestFit="1" customWidth="1"/>
    <col min="31" max="31" width="18.33203125" bestFit="1" customWidth="1"/>
    <col min="32" max="32" width="8.5546875" bestFit="1" customWidth="1"/>
    <col min="33" max="33" width="18.33203125" bestFit="1" customWidth="1"/>
    <col min="34" max="34" width="8.5546875" bestFit="1" customWidth="1"/>
    <col min="35" max="35" width="18.33203125" bestFit="1" customWidth="1"/>
    <col min="36" max="36" width="8.21875" bestFit="1" customWidth="1"/>
    <col min="37" max="37" width="18.33203125" bestFit="1" customWidth="1"/>
    <col min="38" max="38" width="8.77734375" bestFit="1" customWidth="1"/>
    <col min="39" max="39" width="18.33203125" bestFit="1" customWidth="1"/>
    <col min="40" max="40" width="9.21875" bestFit="1" customWidth="1"/>
    <col min="41" max="41" width="18.33203125" bestFit="1" customWidth="1"/>
    <col min="42" max="42" width="9.88671875" bestFit="1" customWidth="1"/>
    <col min="43" max="43" width="18.33203125" bestFit="1" customWidth="1"/>
    <col min="44" max="44" width="10.109375" bestFit="1" customWidth="1"/>
    <col min="45" max="45" width="18.33203125" bestFit="1" customWidth="1"/>
    <col min="46" max="46" width="10.109375" bestFit="1" customWidth="1"/>
    <col min="47" max="47" width="18.33203125" bestFit="1" customWidth="1"/>
    <col min="48" max="48" width="9.88671875" bestFit="1" customWidth="1"/>
    <col min="49" max="49" width="18.33203125" bestFit="1" customWidth="1"/>
    <col min="50" max="50" width="9" bestFit="1" customWidth="1"/>
    <col min="51" max="51" width="18.33203125" bestFit="1" customWidth="1"/>
    <col min="52" max="52" width="10" bestFit="1" customWidth="1"/>
    <col min="53" max="53" width="18.33203125" bestFit="1" customWidth="1"/>
    <col min="54" max="54" width="9.77734375" bestFit="1" customWidth="1"/>
    <col min="55" max="55" width="18.33203125" bestFit="1" customWidth="1"/>
    <col min="56" max="56" width="9.21875" bestFit="1" customWidth="1"/>
    <col min="57" max="57" width="18.33203125" bestFit="1" customWidth="1"/>
    <col min="58" max="58" width="8.33203125" bestFit="1" customWidth="1"/>
    <col min="59" max="59" width="18.33203125" bestFit="1" customWidth="1"/>
    <col min="60" max="60" width="9" bestFit="1" customWidth="1"/>
    <col min="61" max="61" width="18.33203125" bestFit="1" customWidth="1"/>
    <col min="62" max="62" width="9.33203125" bestFit="1" customWidth="1"/>
    <col min="63" max="63" width="18.33203125" bestFit="1" customWidth="1"/>
    <col min="64" max="64" width="9.21875" bestFit="1" customWidth="1"/>
    <col min="65" max="65" width="18.33203125" bestFit="1" customWidth="1"/>
    <col min="66" max="66" width="8.5546875" bestFit="1" customWidth="1"/>
    <col min="67" max="67" width="18.33203125" bestFit="1" customWidth="1"/>
    <col min="68" max="68" width="8.44140625" bestFit="1" customWidth="1"/>
    <col min="69" max="69" width="18.33203125" bestFit="1" customWidth="1"/>
    <col min="70" max="70" width="8.33203125" bestFit="1" customWidth="1"/>
    <col min="71" max="71" width="18.33203125" bestFit="1" customWidth="1"/>
    <col min="72" max="72" width="8.77734375" bestFit="1" customWidth="1"/>
    <col min="73" max="73" width="18.33203125" bestFit="1" customWidth="1"/>
    <col min="74" max="74" width="9.5546875" bestFit="1" customWidth="1"/>
    <col min="75" max="75" width="18.33203125" bestFit="1" customWidth="1"/>
    <col min="76" max="76" width="8.44140625" bestFit="1" customWidth="1"/>
    <col min="77" max="77" width="4.21875" bestFit="1" customWidth="1"/>
    <col min="78" max="78" width="17.33203125" bestFit="1" customWidth="1"/>
    <col min="79" max="79" width="8.77734375" bestFit="1" customWidth="1"/>
    <col min="80" max="80" width="17.33203125" bestFit="1" customWidth="1"/>
    <col min="81" max="81" width="8.44140625" bestFit="1" customWidth="1"/>
    <col min="82" max="82" width="17.33203125" bestFit="1" customWidth="1"/>
    <col min="83" max="83" width="8" bestFit="1" customWidth="1"/>
    <col min="84" max="84" width="17.33203125" bestFit="1" customWidth="1"/>
    <col min="85" max="85" width="8.77734375" bestFit="1" customWidth="1"/>
    <col min="86" max="86" width="17.33203125" bestFit="1" customWidth="1"/>
    <col min="87" max="87" width="8.77734375" bestFit="1" customWidth="1"/>
    <col min="88" max="88" width="17.33203125" bestFit="1" customWidth="1"/>
    <col min="89" max="89" width="8" bestFit="1" customWidth="1"/>
    <col min="90" max="90" width="17.33203125" bestFit="1" customWidth="1"/>
    <col min="91" max="91" width="8.21875" bestFit="1" customWidth="1"/>
    <col min="92" max="92" width="17.33203125" bestFit="1" customWidth="1"/>
    <col min="93" max="93" width="8.33203125" bestFit="1" customWidth="1"/>
    <col min="94" max="94" width="17.33203125" bestFit="1" customWidth="1"/>
    <col min="95" max="95" width="9.33203125" bestFit="1" customWidth="1"/>
    <col min="96" max="96" width="17.33203125" bestFit="1" customWidth="1"/>
    <col min="97" max="97" width="8.6640625" bestFit="1" customWidth="1"/>
    <col min="98" max="98" width="17.33203125" bestFit="1" customWidth="1"/>
    <col min="100" max="100" width="17.33203125" bestFit="1" customWidth="1"/>
    <col min="101" max="101" width="9.44140625" bestFit="1" customWidth="1"/>
    <col min="102" max="102" width="17.33203125" bestFit="1" customWidth="1"/>
    <col min="103" max="103" width="8.33203125" bestFit="1" customWidth="1"/>
    <col min="104" max="104" width="17.33203125" bestFit="1" customWidth="1"/>
    <col min="105" max="105" width="8.6640625" bestFit="1" customWidth="1"/>
    <col min="106" max="106" width="17.33203125" bestFit="1" customWidth="1"/>
    <col min="107" max="107" width="8.5546875" bestFit="1" customWidth="1"/>
    <col min="108" max="108" width="17.33203125" bestFit="1" customWidth="1"/>
    <col min="109" max="109" width="8.5546875" bestFit="1" customWidth="1"/>
    <col min="110" max="110" width="17.33203125" bestFit="1" customWidth="1"/>
    <col min="111" max="111" width="8.21875" bestFit="1" customWidth="1"/>
    <col min="112" max="112" width="17.33203125" bestFit="1" customWidth="1"/>
    <col min="113" max="113" width="8.77734375" bestFit="1" customWidth="1"/>
    <col min="114" max="114" width="17.33203125" bestFit="1" customWidth="1"/>
    <col min="115" max="115" width="9.21875" bestFit="1" customWidth="1"/>
    <col min="116" max="116" width="17.33203125" bestFit="1" customWidth="1"/>
    <col min="117" max="117" width="9.88671875" bestFit="1" customWidth="1"/>
    <col min="118" max="118" width="17.33203125" bestFit="1" customWidth="1"/>
    <col min="119" max="119" width="10.109375" bestFit="1" customWidth="1"/>
    <col min="120" max="120" width="17.33203125" bestFit="1" customWidth="1"/>
    <col min="121" max="121" width="10.109375" bestFit="1" customWidth="1"/>
    <col min="122" max="122" width="17.33203125" bestFit="1" customWidth="1"/>
    <col min="123" max="123" width="9.88671875" bestFit="1" customWidth="1"/>
    <col min="124" max="124" width="17.33203125" bestFit="1" customWidth="1"/>
    <col min="125" max="125" width="9" bestFit="1" customWidth="1"/>
    <col min="126" max="126" width="17.33203125" bestFit="1" customWidth="1"/>
    <col min="127" max="127" width="10" bestFit="1" customWidth="1"/>
    <col min="128" max="128" width="17.33203125" bestFit="1" customWidth="1"/>
    <col min="129" max="129" width="9.77734375" bestFit="1" customWidth="1"/>
    <col min="130" max="130" width="17.33203125" bestFit="1" customWidth="1"/>
    <col min="131" max="131" width="8.109375" bestFit="1" customWidth="1"/>
    <col min="132" max="132" width="17.33203125" bestFit="1" customWidth="1"/>
    <col min="133" max="133" width="8.33203125" bestFit="1" customWidth="1"/>
    <col min="134" max="134" width="17.33203125" bestFit="1" customWidth="1"/>
    <col min="135" max="135" width="9" bestFit="1" customWidth="1"/>
    <col min="136" max="136" width="17.33203125" bestFit="1" customWidth="1"/>
    <col min="137" max="137" width="9.33203125" bestFit="1" customWidth="1"/>
    <col min="138" max="138" width="17.33203125" bestFit="1" customWidth="1"/>
    <col min="139" max="139" width="9.21875" bestFit="1" customWidth="1"/>
    <col min="140" max="140" width="17.33203125" bestFit="1" customWidth="1"/>
    <col min="141" max="141" width="8.5546875" bestFit="1" customWidth="1"/>
    <col min="142" max="142" width="17.33203125" bestFit="1" customWidth="1"/>
    <col min="143" max="143" width="8.44140625" bestFit="1" customWidth="1"/>
    <col min="144" max="144" width="17.33203125" bestFit="1" customWidth="1"/>
    <col min="145" max="145" width="8.33203125" bestFit="1" customWidth="1"/>
    <col min="146" max="146" width="17.33203125" bestFit="1" customWidth="1"/>
    <col min="147" max="147" width="8.77734375" bestFit="1" customWidth="1"/>
    <col min="148" max="148" width="17.33203125" bestFit="1" customWidth="1"/>
    <col min="149" max="149" width="8.44140625" bestFit="1" customWidth="1"/>
  </cols>
  <sheetData>
    <row r="1" spans="1:76">
      <c r="A1" s="2" t="s">
        <v>0</v>
      </c>
      <c r="B1" s="2" t="s">
        <v>208</v>
      </c>
      <c r="C1" s="2" t="s">
        <v>251</v>
      </c>
      <c r="D1" s="2" t="s">
        <v>3</v>
      </c>
      <c r="E1" s="2" t="s">
        <v>735</v>
      </c>
      <c r="F1" s="2" t="s">
        <v>4</v>
      </c>
      <c r="G1" s="2" t="s">
        <v>252</v>
      </c>
      <c r="H1" s="2" t="s">
        <v>5</v>
      </c>
      <c r="I1" s="2" t="s">
        <v>736</v>
      </c>
      <c r="J1" s="2" t="s">
        <v>6</v>
      </c>
      <c r="K1" s="2" t="s">
        <v>2</v>
      </c>
      <c r="L1" s="2" t="s">
        <v>7</v>
      </c>
      <c r="M1" s="2" t="s">
        <v>217</v>
      </c>
      <c r="N1" s="2" t="s">
        <v>8</v>
      </c>
      <c r="O1" s="2" t="s">
        <v>218</v>
      </c>
      <c r="P1" s="2" t="s">
        <v>9</v>
      </c>
      <c r="Q1" s="2" t="s">
        <v>219</v>
      </c>
      <c r="R1" s="2" t="s">
        <v>10</v>
      </c>
      <c r="S1" s="2" t="s">
        <v>220</v>
      </c>
      <c r="T1" s="2" t="s">
        <v>11</v>
      </c>
      <c r="U1" s="2" t="s">
        <v>221</v>
      </c>
      <c r="V1" s="2" t="s">
        <v>12</v>
      </c>
      <c r="W1" s="2" t="s">
        <v>222</v>
      </c>
      <c r="X1" s="2" t="s">
        <v>13</v>
      </c>
      <c r="Y1" s="2" t="s">
        <v>223</v>
      </c>
      <c r="Z1" s="2" t="s">
        <v>14</v>
      </c>
      <c r="AA1" s="2" t="s">
        <v>224</v>
      </c>
      <c r="AB1" s="2" t="s">
        <v>15</v>
      </c>
      <c r="AC1" s="2" t="s">
        <v>225</v>
      </c>
      <c r="AD1" s="2" t="s">
        <v>16</v>
      </c>
      <c r="AE1" s="2" t="s">
        <v>226</v>
      </c>
      <c r="AF1" s="2" t="s">
        <v>17</v>
      </c>
      <c r="AG1" s="2" t="s">
        <v>227</v>
      </c>
      <c r="AH1" s="2" t="s">
        <v>18</v>
      </c>
      <c r="AI1" s="2" t="s">
        <v>228</v>
      </c>
      <c r="AJ1" s="2" t="s">
        <v>19</v>
      </c>
      <c r="AK1" s="2" t="s">
        <v>229</v>
      </c>
      <c r="AL1" s="2" t="s">
        <v>20</v>
      </c>
      <c r="AM1" s="2" t="s">
        <v>230</v>
      </c>
      <c r="AN1" s="2" t="s">
        <v>21</v>
      </c>
      <c r="AO1" s="2" t="s">
        <v>231</v>
      </c>
      <c r="AP1" s="2" t="s">
        <v>22</v>
      </c>
      <c r="AQ1" s="2" t="s">
        <v>232</v>
      </c>
      <c r="AR1" s="2" t="s">
        <v>23</v>
      </c>
      <c r="AS1" s="2" t="s">
        <v>233</v>
      </c>
      <c r="AT1" s="2" t="s">
        <v>24</v>
      </c>
      <c r="AU1" s="2" t="s">
        <v>234</v>
      </c>
      <c r="AV1" s="2" t="s">
        <v>25</v>
      </c>
      <c r="AW1" s="2" t="s">
        <v>235</v>
      </c>
      <c r="AX1" s="2" t="s">
        <v>26</v>
      </c>
      <c r="AY1" s="2" t="s">
        <v>236</v>
      </c>
      <c r="AZ1" s="2" t="s">
        <v>27</v>
      </c>
      <c r="BA1" s="2" t="s">
        <v>237</v>
      </c>
      <c r="BB1" s="2" t="s">
        <v>28</v>
      </c>
      <c r="BC1" s="2" t="s">
        <v>238</v>
      </c>
      <c r="BD1" s="2" t="s">
        <v>345</v>
      </c>
      <c r="BE1" s="2" t="s">
        <v>239</v>
      </c>
      <c r="BF1" s="2" t="s">
        <v>30</v>
      </c>
      <c r="BG1" s="2" t="s">
        <v>240</v>
      </c>
      <c r="BH1" s="2" t="s">
        <v>31</v>
      </c>
      <c r="BI1" s="2" t="s">
        <v>241</v>
      </c>
      <c r="BJ1" s="2" t="s">
        <v>32</v>
      </c>
      <c r="BK1" s="2" t="s">
        <v>242</v>
      </c>
      <c r="BL1" s="2" t="s">
        <v>33</v>
      </c>
      <c r="BM1" s="2" t="s">
        <v>243</v>
      </c>
      <c r="BN1" s="2" t="s">
        <v>34</v>
      </c>
      <c r="BO1" s="2" t="s">
        <v>244</v>
      </c>
      <c r="BP1" s="2" t="s">
        <v>35</v>
      </c>
      <c r="BQ1" s="2" t="s">
        <v>245</v>
      </c>
      <c r="BR1" s="2" t="s">
        <v>36</v>
      </c>
      <c r="BS1" s="2" t="s">
        <v>246</v>
      </c>
      <c r="BT1" s="2" t="s">
        <v>37</v>
      </c>
      <c r="BU1" s="2" t="s">
        <v>247</v>
      </c>
      <c r="BV1" s="1" t="s">
        <v>249</v>
      </c>
      <c r="BW1" s="1" t="s">
        <v>248</v>
      </c>
      <c r="BX1" s="1" t="s">
        <v>250</v>
      </c>
    </row>
    <row r="2" spans="1:76">
      <c r="A2" s="2" t="s">
        <v>1</v>
      </c>
      <c r="B2" s="2">
        <v>2</v>
      </c>
      <c r="C2" s="2" t="s">
        <v>38</v>
      </c>
      <c r="D2" s="2" t="s">
        <v>39</v>
      </c>
      <c r="E2" s="2" t="s">
        <v>38</v>
      </c>
      <c r="F2" s="2" t="s">
        <v>39</v>
      </c>
      <c r="G2" s="2" t="s">
        <v>38</v>
      </c>
      <c r="H2" s="2" t="s">
        <v>39</v>
      </c>
      <c r="I2" s="2" t="s">
        <v>38</v>
      </c>
      <c r="J2" s="2" t="s">
        <v>39</v>
      </c>
      <c r="K2" s="2" t="s">
        <v>38</v>
      </c>
      <c r="L2" s="2" t="s">
        <v>39</v>
      </c>
      <c r="M2" s="2" t="s">
        <v>38</v>
      </c>
      <c r="N2" s="2" t="s">
        <v>39</v>
      </c>
      <c r="O2" s="2" t="s">
        <v>38</v>
      </c>
      <c r="P2" s="2" t="s">
        <v>39</v>
      </c>
      <c r="Q2" s="2" t="s">
        <v>38</v>
      </c>
      <c r="R2" s="2" t="s">
        <v>39</v>
      </c>
      <c r="S2" s="2" t="s">
        <v>38</v>
      </c>
      <c r="T2" s="2" t="s">
        <v>39</v>
      </c>
      <c r="U2" s="2" t="s">
        <v>38</v>
      </c>
      <c r="V2" s="2" t="s">
        <v>39</v>
      </c>
      <c r="W2" s="2" t="s">
        <v>38</v>
      </c>
      <c r="X2" s="2" t="s">
        <v>39</v>
      </c>
      <c r="Y2" s="2" t="s">
        <v>38</v>
      </c>
      <c r="Z2" s="2" t="s">
        <v>39</v>
      </c>
      <c r="AA2" s="2" t="s">
        <v>38</v>
      </c>
      <c r="AB2" s="2" t="s">
        <v>39</v>
      </c>
      <c r="AC2" s="2" t="s">
        <v>38</v>
      </c>
      <c r="AD2" s="2" t="s">
        <v>39</v>
      </c>
      <c r="AE2" s="2" t="s">
        <v>38</v>
      </c>
      <c r="AF2" s="2" t="s">
        <v>39</v>
      </c>
      <c r="AG2" s="2" t="s">
        <v>38</v>
      </c>
      <c r="AH2" s="2" t="s">
        <v>39</v>
      </c>
      <c r="AI2" s="2" t="s">
        <v>38</v>
      </c>
      <c r="AJ2" s="2" t="s">
        <v>39</v>
      </c>
      <c r="AK2" s="2" t="s">
        <v>38</v>
      </c>
      <c r="AL2" s="2" t="s">
        <v>39</v>
      </c>
      <c r="AM2" s="2" t="s">
        <v>38</v>
      </c>
      <c r="AN2" s="2" t="s">
        <v>39</v>
      </c>
      <c r="AO2" s="2" t="s">
        <v>38</v>
      </c>
      <c r="AP2" s="2" t="s">
        <v>39</v>
      </c>
      <c r="AQ2" s="2" t="s">
        <v>38</v>
      </c>
      <c r="AR2" s="2" t="s">
        <v>39</v>
      </c>
      <c r="AS2" s="2" t="s">
        <v>38</v>
      </c>
      <c r="AT2" s="2" t="s">
        <v>39</v>
      </c>
      <c r="AU2" s="2" t="s">
        <v>38</v>
      </c>
      <c r="AV2" s="2" t="s">
        <v>39</v>
      </c>
      <c r="AW2" s="2" t="s">
        <v>38</v>
      </c>
      <c r="AX2" s="2" t="s">
        <v>39</v>
      </c>
      <c r="AY2" s="2" t="s">
        <v>38</v>
      </c>
      <c r="AZ2" s="2" t="s">
        <v>39</v>
      </c>
      <c r="BA2" s="2" t="s">
        <v>38</v>
      </c>
      <c r="BB2" s="2" t="s">
        <v>39</v>
      </c>
      <c r="BC2" s="2" t="s">
        <v>38</v>
      </c>
      <c r="BD2" s="2" t="s">
        <v>39</v>
      </c>
      <c r="BE2" s="2" t="s">
        <v>38</v>
      </c>
      <c r="BF2" s="2" t="s">
        <v>39</v>
      </c>
      <c r="BG2" s="2" t="s">
        <v>38</v>
      </c>
      <c r="BH2" s="2" t="s">
        <v>39</v>
      </c>
      <c r="BI2" s="2" t="s">
        <v>38</v>
      </c>
      <c r="BJ2" s="2" t="s">
        <v>39</v>
      </c>
      <c r="BK2" s="2" t="s">
        <v>38</v>
      </c>
      <c r="BL2" s="2" t="s">
        <v>39</v>
      </c>
      <c r="BM2" s="2" t="s">
        <v>38</v>
      </c>
      <c r="BN2" s="2" t="s">
        <v>39</v>
      </c>
      <c r="BO2" s="2" t="s">
        <v>38</v>
      </c>
      <c r="BP2" s="2" t="s">
        <v>39</v>
      </c>
      <c r="BQ2" s="2" t="s">
        <v>38</v>
      </c>
      <c r="BR2" s="2" t="s">
        <v>39</v>
      </c>
      <c r="BS2" s="2" t="s">
        <v>38</v>
      </c>
      <c r="BT2" s="2" t="s">
        <v>39</v>
      </c>
      <c r="BU2" s="2" t="s">
        <v>38</v>
      </c>
      <c r="BV2" s="1" t="s">
        <v>39</v>
      </c>
      <c r="BW2" s="1" t="s">
        <v>38</v>
      </c>
      <c r="BX2" s="1" t="s">
        <v>39</v>
      </c>
    </row>
    <row r="3" spans="1:76">
      <c r="A3" s="2" t="s">
        <v>1</v>
      </c>
      <c r="B3" s="2">
        <v>3</v>
      </c>
      <c r="C3" s="2" t="s">
        <v>145</v>
      </c>
      <c r="D3" s="2" t="s">
        <v>46</v>
      </c>
      <c r="E3" s="2" t="s">
        <v>145</v>
      </c>
      <c r="F3" s="2">
        <v>32.43</v>
      </c>
      <c r="G3" s="2" t="s">
        <v>145</v>
      </c>
      <c r="H3" s="2">
        <v>42.69</v>
      </c>
      <c r="I3" s="2" t="s">
        <v>145</v>
      </c>
      <c r="J3" s="2">
        <v>13.18</v>
      </c>
      <c r="K3" s="2" t="s">
        <v>145</v>
      </c>
      <c r="L3" s="2">
        <v>19.059999999999999</v>
      </c>
      <c r="M3" s="2" t="s">
        <v>145</v>
      </c>
      <c r="N3" s="2">
        <v>12.94</v>
      </c>
      <c r="O3" s="2" t="s">
        <v>145</v>
      </c>
      <c r="P3" s="2" t="s">
        <v>137</v>
      </c>
      <c r="Q3" s="2" t="s">
        <v>145</v>
      </c>
      <c r="R3" s="2">
        <v>24.25</v>
      </c>
      <c r="S3" s="2" t="s">
        <v>145</v>
      </c>
      <c r="T3" s="2">
        <v>19.239999999999998</v>
      </c>
      <c r="U3" s="2" t="s">
        <v>145</v>
      </c>
      <c r="V3" s="2">
        <v>4.79</v>
      </c>
      <c r="W3" s="2" t="s">
        <v>145</v>
      </c>
      <c r="X3" s="2">
        <v>112.1</v>
      </c>
      <c r="Y3" s="2" t="s">
        <v>145</v>
      </c>
      <c r="Z3" s="2">
        <v>27.1</v>
      </c>
      <c r="AA3" s="2" t="s">
        <v>145</v>
      </c>
      <c r="AB3" s="2">
        <v>24.52</v>
      </c>
      <c r="AC3" s="2" t="s">
        <v>145</v>
      </c>
      <c r="AD3" s="2">
        <v>20.329999999999998</v>
      </c>
      <c r="AE3" s="2" t="s">
        <v>145</v>
      </c>
      <c r="AF3" s="2">
        <v>35.82</v>
      </c>
      <c r="AG3" s="2" t="s">
        <v>145</v>
      </c>
      <c r="AH3" s="2">
        <v>51.7</v>
      </c>
      <c r="AI3" s="2" t="s">
        <v>145</v>
      </c>
      <c r="AJ3" s="2">
        <v>42.99</v>
      </c>
      <c r="AK3" s="2" t="s">
        <v>145</v>
      </c>
      <c r="AL3" s="2">
        <v>6.61</v>
      </c>
      <c r="AM3" s="2" t="s">
        <v>145</v>
      </c>
      <c r="AN3" s="2">
        <v>88.58</v>
      </c>
      <c r="AO3" s="2" t="s">
        <v>145</v>
      </c>
      <c r="AP3" s="2">
        <v>119.08</v>
      </c>
      <c r="AQ3" s="2" t="s">
        <v>145</v>
      </c>
      <c r="AR3" s="2">
        <v>11.37</v>
      </c>
      <c r="AS3" s="2" t="s">
        <v>145</v>
      </c>
      <c r="AT3" s="2">
        <v>1256.96</v>
      </c>
      <c r="AU3" s="2" t="s">
        <v>145</v>
      </c>
      <c r="AV3" s="2">
        <v>140.4</v>
      </c>
      <c r="AW3" s="2" t="s">
        <v>145</v>
      </c>
      <c r="AX3" s="2">
        <v>120.38</v>
      </c>
      <c r="AY3" s="2" t="s">
        <v>145</v>
      </c>
      <c r="AZ3" s="2">
        <v>3.62</v>
      </c>
      <c r="BA3" s="2" t="s">
        <v>145</v>
      </c>
      <c r="BB3" s="2">
        <v>148.16</v>
      </c>
      <c r="BC3" s="2" t="s">
        <v>145</v>
      </c>
      <c r="BD3" s="2">
        <v>15.81</v>
      </c>
      <c r="BE3" s="2" t="s">
        <v>145</v>
      </c>
      <c r="BF3" s="2">
        <v>9.5500000000000007</v>
      </c>
      <c r="BG3" s="2" t="s">
        <v>145</v>
      </c>
      <c r="BH3" s="2">
        <v>38.729999999999997</v>
      </c>
      <c r="BI3" s="2" t="s">
        <v>145</v>
      </c>
      <c r="BJ3" s="2">
        <v>152.6</v>
      </c>
      <c r="BK3" s="2" t="s">
        <v>145</v>
      </c>
      <c r="BL3" s="2">
        <v>21.36</v>
      </c>
      <c r="BM3" s="2" t="s">
        <v>145</v>
      </c>
      <c r="BN3" s="2">
        <v>37.590000000000003</v>
      </c>
      <c r="BO3" s="2" t="s">
        <v>145</v>
      </c>
      <c r="BP3" s="2">
        <v>27.23</v>
      </c>
      <c r="BQ3" s="2" t="s">
        <v>145</v>
      </c>
      <c r="BR3" s="2">
        <v>15.45</v>
      </c>
      <c r="BS3" s="2" t="s">
        <v>145</v>
      </c>
      <c r="BT3" s="2">
        <v>11.63</v>
      </c>
      <c r="BU3" s="2" t="s">
        <v>145</v>
      </c>
      <c r="BV3" s="1" t="s">
        <v>570</v>
      </c>
      <c r="BW3" s="1" t="s">
        <v>145</v>
      </c>
      <c r="BX3" s="1" t="s">
        <v>571</v>
      </c>
    </row>
    <row r="4" spans="1:76">
      <c r="A4" s="2" t="s">
        <v>1</v>
      </c>
      <c r="B4" s="2">
        <v>4</v>
      </c>
      <c r="C4" s="2" t="s">
        <v>146</v>
      </c>
      <c r="D4" s="2">
        <v>19.22</v>
      </c>
      <c r="E4" s="2" t="s">
        <v>146</v>
      </c>
      <c r="F4" s="2">
        <v>32.380000000000003</v>
      </c>
      <c r="G4" s="2" t="s">
        <v>146</v>
      </c>
      <c r="H4" s="2">
        <v>43.47</v>
      </c>
      <c r="I4" s="2" t="s">
        <v>146</v>
      </c>
      <c r="J4" s="2">
        <v>12.78</v>
      </c>
      <c r="K4" s="2" t="s">
        <v>146</v>
      </c>
      <c r="L4" s="2">
        <v>18.899999999999999</v>
      </c>
      <c r="M4" s="2" t="s">
        <v>146</v>
      </c>
      <c r="N4" s="2">
        <v>12.89</v>
      </c>
      <c r="O4" s="2" t="s">
        <v>146</v>
      </c>
      <c r="P4" s="2">
        <v>31.13</v>
      </c>
      <c r="Q4" s="2" t="s">
        <v>146</v>
      </c>
      <c r="R4" s="2">
        <v>24.72</v>
      </c>
      <c r="S4" s="2" t="s">
        <v>146</v>
      </c>
      <c r="T4" s="2">
        <v>19.57</v>
      </c>
      <c r="U4" s="2" t="s">
        <v>146</v>
      </c>
      <c r="V4" s="2">
        <v>4.9000000000000004</v>
      </c>
      <c r="W4" s="2" t="s">
        <v>146</v>
      </c>
      <c r="X4" s="2" t="s">
        <v>99</v>
      </c>
      <c r="Y4" s="2" t="s">
        <v>146</v>
      </c>
      <c r="Z4" s="2">
        <v>27.16</v>
      </c>
      <c r="AA4" s="2" t="s">
        <v>146</v>
      </c>
      <c r="AB4" s="2">
        <v>24.74</v>
      </c>
      <c r="AC4" s="2" t="s">
        <v>146</v>
      </c>
      <c r="AD4" s="2">
        <v>20.89</v>
      </c>
      <c r="AE4" s="2" t="s">
        <v>146</v>
      </c>
      <c r="AF4" s="2">
        <v>35.65</v>
      </c>
      <c r="AG4" s="2" t="s">
        <v>146</v>
      </c>
      <c r="AH4" s="2">
        <v>51.82</v>
      </c>
      <c r="AI4" s="2" t="s">
        <v>146</v>
      </c>
      <c r="AJ4" s="2">
        <v>42.25</v>
      </c>
      <c r="AK4" s="2" t="s">
        <v>146</v>
      </c>
      <c r="AL4" s="2">
        <v>6.69</v>
      </c>
      <c r="AM4" s="2" t="s">
        <v>146</v>
      </c>
      <c r="AN4" s="2">
        <v>89.39</v>
      </c>
      <c r="AO4" s="2" t="s">
        <v>146</v>
      </c>
      <c r="AP4" s="2">
        <v>119.75</v>
      </c>
      <c r="AQ4" s="2" t="s">
        <v>146</v>
      </c>
      <c r="AR4" s="2">
        <v>11.41</v>
      </c>
      <c r="AS4" s="2" t="s">
        <v>146</v>
      </c>
      <c r="AT4" s="2">
        <v>1268.98</v>
      </c>
      <c r="AU4" s="2" t="s">
        <v>146</v>
      </c>
      <c r="AV4" s="2">
        <v>141.81</v>
      </c>
      <c r="AW4" s="2" t="s">
        <v>146</v>
      </c>
      <c r="AX4" s="2">
        <v>121.1</v>
      </c>
      <c r="AY4" s="2" t="s">
        <v>146</v>
      </c>
      <c r="AZ4" s="2">
        <v>3.64</v>
      </c>
      <c r="BA4" s="2" t="s">
        <v>146</v>
      </c>
      <c r="BB4" s="2">
        <v>148.54</v>
      </c>
      <c r="BC4" s="2" t="s">
        <v>146</v>
      </c>
      <c r="BD4" s="2">
        <v>16.29</v>
      </c>
      <c r="BE4" s="2" t="s">
        <v>146</v>
      </c>
      <c r="BF4" s="2">
        <v>9.65</v>
      </c>
      <c r="BG4" s="2" t="s">
        <v>146</v>
      </c>
      <c r="BH4" s="2">
        <v>38.96</v>
      </c>
      <c r="BI4" s="2" t="s">
        <v>146</v>
      </c>
      <c r="BJ4" s="2">
        <v>154.22999999999999</v>
      </c>
      <c r="BK4" s="2" t="s">
        <v>146</v>
      </c>
      <c r="BL4" s="2">
        <v>21.36</v>
      </c>
      <c r="BM4" s="2" t="s">
        <v>146</v>
      </c>
      <c r="BN4" s="2">
        <v>37.46</v>
      </c>
      <c r="BO4" s="2" t="s">
        <v>146</v>
      </c>
      <c r="BP4" s="2">
        <v>27.41</v>
      </c>
      <c r="BQ4" s="2" t="s">
        <v>146</v>
      </c>
      <c r="BR4" s="2">
        <v>15.77</v>
      </c>
      <c r="BS4" s="2" t="s">
        <v>146</v>
      </c>
      <c r="BT4" s="2">
        <v>11.77</v>
      </c>
      <c r="BU4" s="2" t="s">
        <v>146</v>
      </c>
      <c r="BV4" s="1" t="s">
        <v>572</v>
      </c>
      <c r="BW4" s="1" t="s">
        <v>146</v>
      </c>
      <c r="BX4" s="1" t="s">
        <v>193</v>
      </c>
    </row>
    <row r="5" spans="1:76">
      <c r="A5" s="2" t="s">
        <v>1</v>
      </c>
      <c r="B5" s="2">
        <v>5</v>
      </c>
      <c r="C5" s="2" t="s">
        <v>147</v>
      </c>
      <c r="D5" s="2" t="s">
        <v>46</v>
      </c>
      <c r="E5" s="2" t="s">
        <v>147</v>
      </c>
      <c r="F5" s="2">
        <v>32.799999999999997</v>
      </c>
      <c r="G5" s="2" t="s">
        <v>147</v>
      </c>
      <c r="H5" s="2">
        <v>43.5</v>
      </c>
      <c r="I5" s="2" t="s">
        <v>147</v>
      </c>
      <c r="J5" s="2">
        <v>12.95</v>
      </c>
      <c r="K5" s="2" t="s">
        <v>147</v>
      </c>
      <c r="L5" s="2">
        <v>18.66</v>
      </c>
      <c r="M5" s="2" t="s">
        <v>147</v>
      </c>
      <c r="N5" s="2">
        <v>12.92</v>
      </c>
      <c r="O5" s="2" t="s">
        <v>147</v>
      </c>
      <c r="P5" s="2">
        <v>31.11</v>
      </c>
      <c r="Q5" s="2" t="s">
        <v>147</v>
      </c>
      <c r="R5" s="2">
        <v>24.98</v>
      </c>
      <c r="S5" s="2" t="s">
        <v>147</v>
      </c>
      <c r="T5" s="2">
        <v>19.12</v>
      </c>
      <c r="U5" s="2" t="s">
        <v>147</v>
      </c>
      <c r="V5" s="2">
        <v>4.8</v>
      </c>
      <c r="W5" s="2" t="s">
        <v>147</v>
      </c>
      <c r="X5" s="2">
        <v>111.48</v>
      </c>
      <c r="Y5" s="2" t="s">
        <v>147</v>
      </c>
      <c r="Z5" s="2">
        <v>27.4</v>
      </c>
      <c r="AA5" s="2" t="s">
        <v>147</v>
      </c>
      <c r="AB5" s="2">
        <v>24.55</v>
      </c>
      <c r="AC5" s="2" t="s">
        <v>147</v>
      </c>
      <c r="AD5" s="2" t="s">
        <v>68</v>
      </c>
      <c r="AE5" s="2" t="s">
        <v>147</v>
      </c>
      <c r="AF5" s="2">
        <v>35.49</v>
      </c>
      <c r="AG5" s="2" t="s">
        <v>147</v>
      </c>
      <c r="AH5" s="2">
        <v>53.65</v>
      </c>
      <c r="AI5" s="2" t="s">
        <v>147</v>
      </c>
      <c r="AJ5" s="2">
        <v>41.6</v>
      </c>
      <c r="AK5" s="2" t="s">
        <v>147</v>
      </c>
      <c r="AL5" s="2">
        <v>6.6</v>
      </c>
      <c r="AM5" s="2" t="s">
        <v>147</v>
      </c>
      <c r="AN5" s="2">
        <v>89.6</v>
      </c>
      <c r="AO5" s="2" t="s">
        <v>147</v>
      </c>
      <c r="AP5" s="2">
        <v>118.75</v>
      </c>
      <c r="AQ5" s="2" t="s">
        <v>147</v>
      </c>
      <c r="AR5" s="2">
        <v>11.27</v>
      </c>
      <c r="AS5" s="2" t="s">
        <v>147</v>
      </c>
      <c r="AT5" s="2">
        <v>1262.0899999999999</v>
      </c>
      <c r="AU5" s="2" t="s">
        <v>147</v>
      </c>
      <c r="AV5" s="2">
        <v>142.96</v>
      </c>
      <c r="AW5" s="2" t="s">
        <v>147</v>
      </c>
      <c r="AX5" s="2">
        <v>119.9</v>
      </c>
      <c r="AY5" s="2" t="s">
        <v>147</v>
      </c>
      <c r="AZ5" s="2">
        <v>3.63</v>
      </c>
      <c r="BA5" s="2" t="s">
        <v>147</v>
      </c>
      <c r="BB5" s="2">
        <v>151.63999999999999</v>
      </c>
      <c r="BC5" s="2" t="s">
        <v>147</v>
      </c>
      <c r="BD5" s="2">
        <v>16.04</v>
      </c>
      <c r="BE5" s="2" t="s">
        <v>147</v>
      </c>
      <c r="BF5" s="2">
        <v>9.74</v>
      </c>
      <c r="BG5" s="2" t="s">
        <v>147</v>
      </c>
      <c r="BH5" s="2">
        <v>38.729999999999997</v>
      </c>
      <c r="BI5" s="2" t="s">
        <v>147</v>
      </c>
      <c r="BJ5" s="2">
        <v>155.5</v>
      </c>
      <c r="BK5" s="2" t="s">
        <v>147</v>
      </c>
      <c r="BL5" s="2">
        <v>21.58</v>
      </c>
      <c r="BM5" s="2" t="s">
        <v>147</v>
      </c>
      <c r="BN5" s="2">
        <v>38.15</v>
      </c>
      <c r="BO5" s="2" t="s">
        <v>147</v>
      </c>
      <c r="BP5" s="2">
        <v>27.26</v>
      </c>
      <c r="BQ5" s="2" t="s">
        <v>147</v>
      </c>
      <c r="BR5" s="2">
        <v>15.91</v>
      </c>
      <c r="BS5" s="2" t="s">
        <v>147</v>
      </c>
      <c r="BT5" s="2">
        <v>11.9</v>
      </c>
      <c r="BU5" s="2" t="s">
        <v>147</v>
      </c>
      <c r="BV5" s="1" t="s">
        <v>573</v>
      </c>
      <c r="BW5" s="1" t="s">
        <v>147</v>
      </c>
      <c r="BX5" s="1" t="s">
        <v>574</v>
      </c>
    </row>
    <row r="6" spans="1:76">
      <c r="A6" s="2" t="s">
        <v>1</v>
      </c>
      <c r="B6" s="2">
        <v>6</v>
      </c>
      <c r="C6" s="2" t="s">
        <v>148</v>
      </c>
      <c r="D6" s="2">
        <v>18.82</v>
      </c>
      <c r="E6" s="2" t="s">
        <v>148</v>
      </c>
      <c r="F6" s="2">
        <v>32.6</v>
      </c>
      <c r="G6" s="2" t="s">
        <v>148</v>
      </c>
      <c r="H6" s="2">
        <v>43.71</v>
      </c>
      <c r="I6" s="2" t="s">
        <v>148</v>
      </c>
      <c r="J6" s="2">
        <v>12.87</v>
      </c>
      <c r="K6" s="2" t="s">
        <v>148</v>
      </c>
      <c r="L6" s="2">
        <v>18.850000000000001</v>
      </c>
      <c r="M6" s="2" t="s">
        <v>148</v>
      </c>
      <c r="N6" s="2">
        <v>12.78</v>
      </c>
      <c r="O6" s="2" t="s">
        <v>148</v>
      </c>
      <c r="P6" s="2">
        <v>30.8</v>
      </c>
      <c r="Q6" s="2" t="s">
        <v>148</v>
      </c>
      <c r="R6" s="2">
        <v>25.03</v>
      </c>
      <c r="S6" s="2" t="s">
        <v>148</v>
      </c>
      <c r="T6" s="2">
        <v>19.399999999999999</v>
      </c>
      <c r="U6" s="2" t="s">
        <v>148</v>
      </c>
      <c r="V6" s="2">
        <v>4.91</v>
      </c>
      <c r="W6" s="2" t="s">
        <v>148</v>
      </c>
      <c r="X6" s="2">
        <v>111.25</v>
      </c>
      <c r="Y6" s="2" t="s">
        <v>148</v>
      </c>
      <c r="Z6" s="2">
        <v>27.4</v>
      </c>
      <c r="AA6" s="2" t="s">
        <v>148</v>
      </c>
      <c r="AB6" s="2">
        <v>24.41</v>
      </c>
      <c r="AC6" s="2" t="s">
        <v>148</v>
      </c>
      <c r="AD6" s="2" t="s">
        <v>68</v>
      </c>
      <c r="AE6" s="2" t="s">
        <v>148</v>
      </c>
      <c r="AF6" s="2">
        <v>35.1</v>
      </c>
      <c r="AG6" s="2" t="s">
        <v>148</v>
      </c>
      <c r="AH6" s="2">
        <v>51.39</v>
      </c>
      <c r="AI6" s="2" t="s">
        <v>148</v>
      </c>
      <c r="AJ6" s="2">
        <v>42.72</v>
      </c>
      <c r="AK6" s="2" t="s">
        <v>148</v>
      </c>
      <c r="AL6" s="2">
        <v>6.48</v>
      </c>
      <c r="AM6" s="2" t="s">
        <v>148</v>
      </c>
      <c r="AN6" s="2">
        <v>89.73</v>
      </c>
      <c r="AO6" s="2" t="s">
        <v>148</v>
      </c>
      <c r="AP6" s="2">
        <v>118.05</v>
      </c>
      <c r="AQ6" s="2" t="s">
        <v>148</v>
      </c>
      <c r="AR6" s="2">
        <v>11.31</v>
      </c>
      <c r="AS6" s="2" t="s">
        <v>148</v>
      </c>
      <c r="AT6" s="2" t="s">
        <v>195</v>
      </c>
      <c r="AU6" s="2" t="s">
        <v>148</v>
      </c>
      <c r="AV6" s="2">
        <v>142.49</v>
      </c>
      <c r="AW6" s="2" t="s">
        <v>148</v>
      </c>
      <c r="AX6" s="2" t="s">
        <v>102</v>
      </c>
      <c r="AY6" s="2" t="s">
        <v>148</v>
      </c>
      <c r="AZ6" s="2">
        <v>3.63</v>
      </c>
      <c r="BA6" s="2" t="s">
        <v>148</v>
      </c>
      <c r="BB6" s="2">
        <v>152.38</v>
      </c>
      <c r="BC6" s="2" t="s">
        <v>148</v>
      </c>
      <c r="BD6" s="2">
        <v>15.8</v>
      </c>
      <c r="BE6" s="2" t="s">
        <v>148</v>
      </c>
      <c r="BF6" s="2">
        <v>9.94</v>
      </c>
      <c r="BG6" s="2" t="s">
        <v>148</v>
      </c>
      <c r="BH6" s="2">
        <v>39.5</v>
      </c>
      <c r="BI6" s="2" t="s">
        <v>148</v>
      </c>
      <c r="BJ6" s="2" t="s">
        <v>126</v>
      </c>
      <c r="BK6" s="2" t="s">
        <v>148</v>
      </c>
      <c r="BL6" s="2">
        <v>21.56</v>
      </c>
      <c r="BM6" s="2" t="s">
        <v>148</v>
      </c>
      <c r="BN6" s="2">
        <v>37.549999999999997</v>
      </c>
      <c r="BO6" s="2" t="s">
        <v>148</v>
      </c>
      <c r="BP6" s="2">
        <v>26.82</v>
      </c>
      <c r="BQ6" s="2" t="s">
        <v>148</v>
      </c>
      <c r="BR6" s="2">
        <v>15.67</v>
      </c>
      <c r="BS6" s="2" t="s">
        <v>148</v>
      </c>
      <c r="BT6" s="2">
        <v>11.53</v>
      </c>
      <c r="BU6" s="2" t="s">
        <v>148</v>
      </c>
      <c r="BV6" s="1" t="s">
        <v>575</v>
      </c>
      <c r="BW6" s="1" t="s">
        <v>148</v>
      </c>
      <c r="BX6" s="1" t="s">
        <v>569</v>
      </c>
    </row>
    <row r="7" spans="1:76">
      <c r="A7" s="2" t="s">
        <v>1</v>
      </c>
      <c r="B7" s="2">
        <v>7</v>
      </c>
      <c r="C7" s="2" t="s">
        <v>149</v>
      </c>
      <c r="D7" s="2">
        <v>18.78</v>
      </c>
      <c r="E7" s="2" t="s">
        <v>149</v>
      </c>
      <c r="F7" s="2">
        <v>32.770000000000003</v>
      </c>
      <c r="G7" s="2" t="s">
        <v>149</v>
      </c>
      <c r="H7" s="2">
        <v>44.06</v>
      </c>
      <c r="I7" s="2" t="s">
        <v>149</v>
      </c>
      <c r="J7" s="2">
        <v>12.8</v>
      </c>
      <c r="K7" s="2" t="s">
        <v>149</v>
      </c>
      <c r="L7" s="2">
        <v>19.3</v>
      </c>
      <c r="M7" s="2" t="s">
        <v>149</v>
      </c>
      <c r="N7" s="2">
        <v>12.98</v>
      </c>
      <c r="O7" s="2" t="s">
        <v>149</v>
      </c>
      <c r="P7" s="2">
        <v>31.22</v>
      </c>
      <c r="Q7" s="2" t="s">
        <v>149</v>
      </c>
      <c r="R7" s="2">
        <v>24.86</v>
      </c>
      <c r="S7" s="2" t="s">
        <v>149</v>
      </c>
      <c r="T7" s="2">
        <v>19.100000000000001</v>
      </c>
      <c r="U7" s="2" t="s">
        <v>149</v>
      </c>
      <c r="V7" s="2">
        <v>4.95</v>
      </c>
      <c r="W7" s="2" t="s">
        <v>149</v>
      </c>
      <c r="X7" s="2" t="s">
        <v>128</v>
      </c>
      <c r="Y7" s="2" t="s">
        <v>149</v>
      </c>
      <c r="Z7" s="2">
        <v>27.67</v>
      </c>
      <c r="AA7" s="2" t="s">
        <v>149</v>
      </c>
      <c r="AB7" s="2">
        <v>24.08</v>
      </c>
      <c r="AC7" s="2" t="s">
        <v>149</v>
      </c>
      <c r="AD7" s="2">
        <v>20.82</v>
      </c>
      <c r="AE7" s="2" t="s">
        <v>149</v>
      </c>
      <c r="AF7" s="2">
        <v>34.82</v>
      </c>
      <c r="AG7" s="2" t="s">
        <v>149</v>
      </c>
      <c r="AH7" s="2">
        <v>51.29</v>
      </c>
      <c r="AI7" s="2" t="s">
        <v>149</v>
      </c>
      <c r="AJ7" s="2" t="s">
        <v>84</v>
      </c>
      <c r="AK7" s="2" t="s">
        <v>149</v>
      </c>
      <c r="AL7" s="2">
        <v>6.57</v>
      </c>
      <c r="AM7" s="2" t="s">
        <v>149</v>
      </c>
      <c r="AN7" s="2">
        <v>90.87</v>
      </c>
      <c r="AO7" s="2" t="s">
        <v>149</v>
      </c>
      <c r="AP7" s="2">
        <v>118.5</v>
      </c>
      <c r="AQ7" s="2" t="s">
        <v>149</v>
      </c>
      <c r="AR7" s="2">
        <v>11.38</v>
      </c>
      <c r="AS7" s="2" t="s">
        <v>149</v>
      </c>
      <c r="AT7" s="2" t="s">
        <v>51</v>
      </c>
      <c r="AU7" s="2" t="s">
        <v>149</v>
      </c>
      <c r="AV7" s="2">
        <v>146.6</v>
      </c>
      <c r="AW7" s="2" t="s">
        <v>149</v>
      </c>
      <c r="AX7" s="2">
        <v>120.2</v>
      </c>
      <c r="AY7" s="2" t="s">
        <v>149</v>
      </c>
      <c r="AZ7" s="2">
        <v>3.64</v>
      </c>
      <c r="BA7" s="2" t="s">
        <v>149</v>
      </c>
      <c r="BB7" s="2">
        <v>153.5</v>
      </c>
      <c r="BC7" s="2" t="s">
        <v>149</v>
      </c>
      <c r="BD7" s="2" t="s">
        <v>82</v>
      </c>
      <c r="BE7" s="2" t="s">
        <v>149</v>
      </c>
      <c r="BF7" s="2">
        <v>10.08</v>
      </c>
      <c r="BG7" s="2" t="s">
        <v>149</v>
      </c>
      <c r="BH7" s="2">
        <v>39.65</v>
      </c>
      <c r="BI7" s="2" t="s">
        <v>149</v>
      </c>
      <c r="BJ7" s="2" t="s">
        <v>143</v>
      </c>
      <c r="BK7" s="2" t="s">
        <v>149</v>
      </c>
      <c r="BL7" s="2">
        <v>21.7</v>
      </c>
      <c r="BM7" s="2" t="s">
        <v>149</v>
      </c>
      <c r="BN7" s="2">
        <v>38.4</v>
      </c>
      <c r="BO7" s="2" t="s">
        <v>149</v>
      </c>
      <c r="BP7" s="2">
        <v>27.13</v>
      </c>
      <c r="BQ7" s="2" t="s">
        <v>149</v>
      </c>
      <c r="BR7" s="2">
        <v>16.09</v>
      </c>
      <c r="BS7" s="2" t="s">
        <v>149</v>
      </c>
      <c r="BT7" s="2">
        <v>11.78</v>
      </c>
      <c r="BU7" s="2" t="s">
        <v>149</v>
      </c>
      <c r="BV7" s="1" t="s">
        <v>576</v>
      </c>
      <c r="BW7" s="1" t="s">
        <v>149</v>
      </c>
      <c r="BX7" s="1" t="s">
        <v>577</v>
      </c>
    </row>
    <row r="8" spans="1:76">
      <c r="A8" s="2" t="s">
        <v>1</v>
      </c>
      <c r="B8" s="2">
        <v>8</v>
      </c>
      <c r="C8" s="2" t="s">
        <v>150</v>
      </c>
      <c r="D8" s="2">
        <v>19.350000000000001</v>
      </c>
      <c r="E8" s="2" t="s">
        <v>150</v>
      </c>
      <c r="F8" s="2">
        <v>33.090000000000003</v>
      </c>
      <c r="G8" s="2" t="s">
        <v>150</v>
      </c>
      <c r="H8" s="2">
        <v>44.34</v>
      </c>
      <c r="I8" s="2" t="s">
        <v>150</v>
      </c>
      <c r="J8" s="2">
        <v>12.97</v>
      </c>
      <c r="K8" s="2" t="s">
        <v>150</v>
      </c>
      <c r="L8" s="2">
        <v>19.62</v>
      </c>
      <c r="M8" s="2" t="s">
        <v>150</v>
      </c>
      <c r="N8" s="2">
        <v>13.15</v>
      </c>
      <c r="O8" s="2" t="s">
        <v>150</v>
      </c>
      <c r="P8" s="2">
        <v>31.53</v>
      </c>
      <c r="Q8" s="2" t="s">
        <v>150</v>
      </c>
      <c r="R8" s="2">
        <v>25.58</v>
      </c>
      <c r="S8" s="2" t="s">
        <v>150</v>
      </c>
      <c r="T8" s="2">
        <v>19.170000000000002</v>
      </c>
      <c r="U8" s="2" t="s">
        <v>150</v>
      </c>
      <c r="V8" s="2">
        <v>4.9800000000000004</v>
      </c>
      <c r="W8" s="2" t="s">
        <v>150</v>
      </c>
      <c r="X8" s="2">
        <v>110.97</v>
      </c>
      <c r="Y8" s="2" t="s">
        <v>150</v>
      </c>
      <c r="Z8" s="2">
        <v>27.78</v>
      </c>
      <c r="AA8" s="2" t="s">
        <v>150</v>
      </c>
      <c r="AB8" s="2">
        <v>24.07</v>
      </c>
      <c r="AC8" s="2" t="s">
        <v>150</v>
      </c>
      <c r="AD8" s="2">
        <v>20.89</v>
      </c>
      <c r="AE8" s="2" t="s">
        <v>150</v>
      </c>
      <c r="AF8" s="2">
        <v>35.11</v>
      </c>
      <c r="AG8" s="2" t="s">
        <v>150</v>
      </c>
      <c r="AH8" s="2">
        <v>51.67</v>
      </c>
      <c r="AI8" s="2" t="s">
        <v>150</v>
      </c>
      <c r="AJ8" s="2">
        <v>44.03</v>
      </c>
      <c r="AK8" s="2" t="s">
        <v>150</v>
      </c>
      <c r="AL8" s="2">
        <v>6.75</v>
      </c>
      <c r="AM8" s="2" t="s">
        <v>150</v>
      </c>
      <c r="AN8" s="2">
        <v>90.45</v>
      </c>
      <c r="AO8" s="2" t="s">
        <v>150</v>
      </c>
      <c r="AP8" s="2">
        <v>118.28</v>
      </c>
      <c r="AQ8" s="2" t="s">
        <v>150</v>
      </c>
      <c r="AR8" s="2">
        <v>11.47</v>
      </c>
      <c r="AS8" s="2" t="s">
        <v>150</v>
      </c>
      <c r="AT8" s="2" t="s">
        <v>49</v>
      </c>
      <c r="AU8" s="2" t="s">
        <v>150</v>
      </c>
      <c r="AV8" s="2">
        <v>144.69999999999999</v>
      </c>
      <c r="AW8" s="2" t="s">
        <v>150</v>
      </c>
      <c r="AX8" s="2" t="s">
        <v>102</v>
      </c>
      <c r="AY8" s="2" t="s">
        <v>150</v>
      </c>
      <c r="AZ8" s="2">
        <v>3.62</v>
      </c>
      <c r="BA8" s="2" t="s">
        <v>150</v>
      </c>
      <c r="BB8" s="2">
        <v>153.09</v>
      </c>
      <c r="BC8" s="2" t="s">
        <v>150</v>
      </c>
      <c r="BD8" s="2">
        <v>16.07</v>
      </c>
      <c r="BE8" s="2" t="s">
        <v>150</v>
      </c>
      <c r="BF8" s="2">
        <v>10.029999999999999</v>
      </c>
      <c r="BG8" s="2" t="s">
        <v>150</v>
      </c>
      <c r="BH8" s="2">
        <v>39.81</v>
      </c>
      <c r="BI8" s="2" t="s">
        <v>150</v>
      </c>
      <c r="BJ8" s="2" t="s">
        <v>136</v>
      </c>
      <c r="BK8" s="2" t="s">
        <v>150</v>
      </c>
      <c r="BL8" s="2">
        <v>22.2</v>
      </c>
      <c r="BM8" s="2" t="s">
        <v>150</v>
      </c>
      <c r="BN8" s="2">
        <v>39.74</v>
      </c>
      <c r="BO8" s="2" t="s">
        <v>150</v>
      </c>
      <c r="BP8" s="2">
        <v>27.39</v>
      </c>
      <c r="BQ8" s="2" t="s">
        <v>150</v>
      </c>
      <c r="BR8" s="2">
        <v>16.05</v>
      </c>
      <c r="BS8" s="2" t="s">
        <v>150</v>
      </c>
      <c r="BT8" s="2">
        <v>11.97</v>
      </c>
      <c r="BU8" s="2" t="s">
        <v>150</v>
      </c>
      <c r="BV8" s="1" t="s">
        <v>578</v>
      </c>
      <c r="BW8" s="1" t="s">
        <v>150</v>
      </c>
      <c r="BX8" s="1" t="s">
        <v>579</v>
      </c>
    </row>
    <row r="9" spans="1:76">
      <c r="A9" s="2" t="s">
        <v>1</v>
      </c>
      <c r="B9" s="2">
        <v>9</v>
      </c>
      <c r="C9" s="2" t="s">
        <v>151</v>
      </c>
      <c r="D9" s="2">
        <v>18.850000000000001</v>
      </c>
      <c r="E9" s="2" t="s">
        <v>151</v>
      </c>
      <c r="F9" s="2">
        <v>33.85</v>
      </c>
      <c r="G9" s="2" t="s">
        <v>151</v>
      </c>
      <c r="H9" s="2">
        <v>44.55</v>
      </c>
      <c r="I9" s="2" t="s">
        <v>151</v>
      </c>
      <c r="J9" s="2">
        <v>13.1</v>
      </c>
      <c r="K9" s="2" t="s">
        <v>151</v>
      </c>
      <c r="L9" s="2">
        <v>19.48</v>
      </c>
      <c r="M9" s="2" t="s">
        <v>151</v>
      </c>
      <c r="N9" s="2">
        <v>13.27</v>
      </c>
      <c r="O9" s="2" t="s">
        <v>151</v>
      </c>
      <c r="P9" s="2">
        <v>31.8</v>
      </c>
      <c r="Q9" s="2" t="s">
        <v>151</v>
      </c>
      <c r="R9" s="2">
        <v>25.59</v>
      </c>
      <c r="S9" s="2" t="s">
        <v>151</v>
      </c>
      <c r="T9" s="2">
        <v>19.350000000000001</v>
      </c>
      <c r="U9" s="2" t="s">
        <v>151</v>
      </c>
      <c r="V9" s="2">
        <v>4.8899999999999997</v>
      </c>
      <c r="W9" s="2" t="s">
        <v>151</v>
      </c>
      <c r="X9" s="2" t="s">
        <v>122</v>
      </c>
      <c r="Y9" s="2" t="s">
        <v>151</v>
      </c>
      <c r="Z9" s="2">
        <v>28.03</v>
      </c>
      <c r="AA9" s="2" t="s">
        <v>151</v>
      </c>
      <c r="AB9" s="2">
        <v>24.48</v>
      </c>
      <c r="AC9" s="2" t="s">
        <v>151</v>
      </c>
      <c r="AD9" s="2">
        <v>20.88</v>
      </c>
      <c r="AE9" s="2" t="s">
        <v>151</v>
      </c>
      <c r="AF9" s="2">
        <v>35.1</v>
      </c>
      <c r="AG9" s="2" t="s">
        <v>151</v>
      </c>
      <c r="AH9" s="2">
        <v>50.36</v>
      </c>
      <c r="AI9" s="2" t="s">
        <v>151</v>
      </c>
      <c r="AJ9" s="2">
        <v>43.65</v>
      </c>
      <c r="AK9" s="2" t="s">
        <v>151</v>
      </c>
      <c r="AL9" s="2">
        <v>6.69</v>
      </c>
      <c r="AM9" s="2" t="s">
        <v>151</v>
      </c>
      <c r="AN9" s="2">
        <v>90.51</v>
      </c>
      <c r="AO9" s="2" t="s">
        <v>151</v>
      </c>
      <c r="AP9" s="2">
        <v>118.61</v>
      </c>
      <c r="AQ9" s="2" t="s">
        <v>151</v>
      </c>
      <c r="AR9" s="2">
        <v>11.63</v>
      </c>
      <c r="AS9" s="2" t="s">
        <v>151</v>
      </c>
      <c r="AT9" s="2">
        <v>1289.8900000000001</v>
      </c>
      <c r="AU9" s="2" t="s">
        <v>151</v>
      </c>
      <c r="AV9" s="2">
        <v>144.6</v>
      </c>
      <c r="AW9" s="2" t="s">
        <v>151</v>
      </c>
      <c r="AX9" s="2">
        <v>120.3</v>
      </c>
      <c r="AY9" s="2" t="s">
        <v>151</v>
      </c>
      <c r="AZ9" s="2">
        <v>3.63</v>
      </c>
      <c r="BA9" s="2" t="s">
        <v>151</v>
      </c>
      <c r="BB9" s="2">
        <v>153.09</v>
      </c>
      <c r="BC9" s="2" t="s">
        <v>151</v>
      </c>
      <c r="BD9" s="2">
        <v>16.670000000000002</v>
      </c>
      <c r="BE9" s="2" t="s">
        <v>151</v>
      </c>
      <c r="BF9" s="2">
        <v>10.24</v>
      </c>
      <c r="BG9" s="2" t="s">
        <v>151</v>
      </c>
      <c r="BH9" s="2">
        <v>39.43</v>
      </c>
      <c r="BI9" s="2" t="s">
        <v>151</v>
      </c>
      <c r="BJ9" s="2">
        <v>152.99</v>
      </c>
      <c r="BK9" s="2" t="s">
        <v>151</v>
      </c>
      <c r="BL9" s="2">
        <v>22.4</v>
      </c>
      <c r="BM9" s="2" t="s">
        <v>151</v>
      </c>
      <c r="BN9" s="2">
        <v>40.4</v>
      </c>
      <c r="BO9" s="2" t="s">
        <v>151</v>
      </c>
      <c r="BP9" s="2">
        <v>27.4</v>
      </c>
      <c r="BQ9" s="2" t="s">
        <v>151</v>
      </c>
      <c r="BR9" s="2">
        <v>16.399999999999999</v>
      </c>
      <c r="BS9" s="2" t="s">
        <v>151</v>
      </c>
      <c r="BT9" s="2">
        <v>12.13</v>
      </c>
      <c r="BU9" s="2" t="s">
        <v>151</v>
      </c>
      <c r="BV9" s="1" t="s">
        <v>580</v>
      </c>
      <c r="BW9" s="1" t="s">
        <v>151</v>
      </c>
      <c r="BX9" s="1" t="s">
        <v>581</v>
      </c>
    </row>
    <row r="10" spans="1:76">
      <c r="A10" s="2" t="s">
        <v>1</v>
      </c>
      <c r="B10" s="2">
        <v>10</v>
      </c>
      <c r="C10" s="2" t="s">
        <v>152</v>
      </c>
      <c r="D10" s="2">
        <v>18.850000000000001</v>
      </c>
      <c r="E10" s="2" t="s">
        <v>152</v>
      </c>
      <c r="F10" s="2">
        <v>33.51</v>
      </c>
      <c r="G10" s="2" t="s">
        <v>152</v>
      </c>
      <c r="H10" s="2">
        <v>45.17</v>
      </c>
      <c r="I10" s="2" t="s">
        <v>152</v>
      </c>
      <c r="J10" s="2" t="s">
        <v>89</v>
      </c>
      <c r="K10" s="2" t="s">
        <v>152</v>
      </c>
      <c r="L10" s="2">
        <v>19.649999999999999</v>
      </c>
      <c r="M10" s="2" t="s">
        <v>152</v>
      </c>
      <c r="N10" s="2">
        <v>13.28</v>
      </c>
      <c r="O10" s="2" t="s">
        <v>152</v>
      </c>
      <c r="P10" s="2">
        <v>31.86</v>
      </c>
      <c r="Q10" s="2" t="s">
        <v>152</v>
      </c>
      <c r="R10" s="2">
        <v>25.52</v>
      </c>
      <c r="S10" s="2" t="s">
        <v>152</v>
      </c>
      <c r="T10" s="2">
        <v>19.63</v>
      </c>
      <c r="U10" s="2" t="s">
        <v>152</v>
      </c>
      <c r="V10" s="2">
        <v>5.15</v>
      </c>
      <c r="W10" s="2" t="s">
        <v>152</v>
      </c>
      <c r="X10" s="2" t="s">
        <v>122</v>
      </c>
      <c r="Y10" s="2" t="s">
        <v>152</v>
      </c>
      <c r="Z10" s="2">
        <v>28.34</v>
      </c>
      <c r="AA10" s="2" t="s">
        <v>152</v>
      </c>
      <c r="AB10" s="2">
        <v>25.12</v>
      </c>
      <c r="AC10" s="2" t="s">
        <v>152</v>
      </c>
      <c r="AD10" s="2">
        <v>20.47</v>
      </c>
      <c r="AE10" s="2" t="s">
        <v>152</v>
      </c>
      <c r="AF10" s="2" t="s">
        <v>120</v>
      </c>
      <c r="AG10" s="2" t="s">
        <v>152</v>
      </c>
      <c r="AH10" s="2">
        <v>50.95</v>
      </c>
      <c r="AI10" s="2" t="s">
        <v>152</v>
      </c>
      <c r="AJ10" s="2">
        <v>44.33</v>
      </c>
      <c r="AK10" s="2" t="s">
        <v>152</v>
      </c>
      <c r="AL10" s="2">
        <v>7.36</v>
      </c>
      <c r="AM10" s="2" t="s">
        <v>152</v>
      </c>
      <c r="AN10" s="2">
        <v>89.98</v>
      </c>
      <c r="AO10" s="2" t="s">
        <v>152</v>
      </c>
      <c r="AP10" s="2">
        <v>118.9</v>
      </c>
      <c r="AQ10" s="2" t="s">
        <v>152</v>
      </c>
      <c r="AR10" s="2">
        <v>11.61</v>
      </c>
      <c r="AS10" s="2" t="s">
        <v>152</v>
      </c>
      <c r="AT10" s="2">
        <v>1293.29</v>
      </c>
      <c r="AU10" s="2" t="s">
        <v>152</v>
      </c>
      <c r="AV10" s="2">
        <v>142.88999999999999</v>
      </c>
      <c r="AW10" s="2" t="s">
        <v>152</v>
      </c>
      <c r="AX10" s="2">
        <v>120.3</v>
      </c>
      <c r="AY10" s="2" t="s">
        <v>152</v>
      </c>
      <c r="AZ10" s="2">
        <v>3.64</v>
      </c>
      <c r="BA10" s="2" t="s">
        <v>152</v>
      </c>
      <c r="BB10" s="2">
        <v>152.1</v>
      </c>
      <c r="BC10" s="2" t="s">
        <v>152</v>
      </c>
      <c r="BD10" s="2">
        <v>17.27</v>
      </c>
      <c r="BE10" s="2" t="s">
        <v>152</v>
      </c>
      <c r="BF10" s="2">
        <v>10.58</v>
      </c>
      <c r="BG10" s="2" t="s">
        <v>152</v>
      </c>
      <c r="BH10" s="2">
        <v>38.71</v>
      </c>
      <c r="BI10" s="2" t="s">
        <v>152</v>
      </c>
      <c r="BJ10" s="2">
        <v>152.69999999999999</v>
      </c>
      <c r="BK10" s="2" t="s">
        <v>152</v>
      </c>
      <c r="BL10" s="2">
        <v>22.53</v>
      </c>
      <c r="BM10" s="2" t="s">
        <v>152</v>
      </c>
      <c r="BN10" s="2">
        <v>40.299999999999997</v>
      </c>
      <c r="BO10" s="2" t="s">
        <v>152</v>
      </c>
      <c r="BP10" s="2">
        <v>27.65</v>
      </c>
      <c r="BQ10" s="2" t="s">
        <v>152</v>
      </c>
      <c r="BR10" s="2" t="s">
        <v>69</v>
      </c>
      <c r="BS10" s="2" t="s">
        <v>152</v>
      </c>
      <c r="BT10" s="2">
        <v>12.5</v>
      </c>
      <c r="BU10" s="2" t="s">
        <v>152</v>
      </c>
      <c r="BV10" s="1" t="s">
        <v>582</v>
      </c>
      <c r="BW10" s="1" t="s">
        <v>152</v>
      </c>
      <c r="BX10" s="1" t="s">
        <v>583</v>
      </c>
    </row>
    <row r="11" spans="1:76">
      <c r="A11" s="2" t="s">
        <v>1</v>
      </c>
      <c r="B11" s="2">
        <v>11</v>
      </c>
      <c r="C11" s="2" t="s">
        <v>153</v>
      </c>
      <c r="D11" s="2">
        <v>19.2</v>
      </c>
      <c r="E11" s="2" t="s">
        <v>153</v>
      </c>
      <c r="F11" s="2">
        <v>33.74</v>
      </c>
      <c r="G11" s="2" t="s">
        <v>153</v>
      </c>
      <c r="H11" s="2">
        <v>46.16</v>
      </c>
      <c r="I11" s="2" t="s">
        <v>153</v>
      </c>
      <c r="J11" s="2">
        <v>13.9</v>
      </c>
      <c r="K11" s="2" t="s">
        <v>153</v>
      </c>
      <c r="L11" s="2">
        <v>19.96</v>
      </c>
      <c r="M11" s="2" t="s">
        <v>153</v>
      </c>
      <c r="N11" s="2">
        <v>13.34</v>
      </c>
      <c r="O11" s="2" t="s">
        <v>153</v>
      </c>
      <c r="P11" s="2">
        <v>31.57</v>
      </c>
      <c r="Q11" s="2" t="s">
        <v>153</v>
      </c>
      <c r="R11" s="2">
        <v>25.34</v>
      </c>
      <c r="S11" s="2" t="s">
        <v>153</v>
      </c>
      <c r="T11" s="2">
        <v>20.09</v>
      </c>
      <c r="U11" s="2" t="s">
        <v>153</v>
      </c>
      <c r="V11" s="2">
        <v>5.17</v>
      </c>
      <c r="W11" s="2" t="s">
        <v>153</v>
      </c>
      <c r="X11" s="2">
        <v>110.75</v>
      </c>
      <c r="Y11" s="2" t="s">
        <v>153</v>
      </c>
      <c r="Z11" s="2">
        <v>28.69</v>
      </c>
      <c r="AA11" s="2" t="s">
        <v>153</v>
      </c>
      <c r="AB11" s="2">
        <v>25.56</v>
      </c>
      <c r="AC11" s="2" t="s">
        <v>153</v>
      </c>
      <c r="AD11" s="2">
        <v>20.56</v>
      </c>
      <c r="AE11" s="2" t="s">
        <v>153</v>
      </c>
      <c r="AF11" s="2">
        <v>35.700000000000003</v>
      </c>
      <c r="AG11" s="2" t="s">
        <v>153</v>
      </c>
      <c r="AH11" s="2">
        <v>52.13</v>
      </c>
      <c r="AI11" s="2" t="s">
        <v>153</v>
      </c>
      <c r="AJ11" s="2">
        <v>45.9</v>
      </c>
      <c r="AK11" s="2" t="s">
        <v>153</v>
      </c>
      <c r="AL11" s="2">
        <v>7.32</v>
      </c>
      <c r="AM11" s="2" t="s">
        <v>153</v>
      </c>
      <c r="AN11" s="2">
        <v>89.95</v>
      </c>
      <c r="AO11" s="2" t="s">
        <v>153</v>
      </c>
      <c r="AP11" s="2">
        <v>118.51</v>
      </c>
      <c r="AQ11" s="2" t="s">
        <v>153</v>
      </c>
      <c r="AR11" s="2">
        <v>11.6</v>
      </c>
      <c r="AS11" s="2" t="s">
        <v>153</v>
      </c>
      <c r="AT11" s="2" t="s">
        <v>196</v>
      </c>
      <c r="AU11" s="2" t="s">
        <v>153</v>
      </c>
      <c r="AV11" s="2">
        <v>142.53</v>
      </c>
      <c r="AW11" s="2" t="s">
        <v>153</v>
      </c>
      <c r="AX11" s="2">
        <v>119.96</v>
      </c>
      <c r="AY11" s="2" t="s">
        <v>153</v>
      </c>
      <c r="AZ11" s="2">
        <v>3.64</v>
      </c>
      <c r="BA11" s="2" t="s">
        <v>153</v>
      </c>
      <c r="BB11" s="2">
        <v>151.22</v>
      </c>
      <c r="BC11" s="2" t="s">
        <v>153</v>
      </c>
      <c r="BD11" s="2">
        <v>17.2</v>
      </c>
      <c r="BE11" s="2" t="s">
        <v>153</v>
      </c>
      <c r="BF11" s="2">
        <v>11.24</v>
      </c>
      <c r="BG11" s="2" t="s">
        <v>153</v>
      </c>
      <c r="BH11" s="2">
        <v>39.86</v>
      </c>
      <c r="BI11" s="2" t="s">
        <v>153</v>
      </c>
      <c r="BJ11" s="2">
        <v>152.47</v>
      </c>
      <c r="BK11" s="2" t="s">
        <v>153</v>
      </c>
      <c r="BL11" s="2">
        <v>23.69</v>
      </c>
      <c r="BM11" s="2" t="s">
        <v>153</v>
      </c>
      <c r="BN11" s="2">
        <v>42.1</v>
      </c>
      <c r="BO11" s="2" t="s">
        <v>153</v>
      </c>
      <c r="BP11" s="2">
        <v>28.07</v>
      </c>
      <c r="BQ11" s="2" t="s">
        <v>153</v>
      </c>
      <c r="BR11" s="2">
        <v>18.170000000000002</v>
      </c>
      <c r="BS11" s="2" t="s">
        <v>153</v>
      </c>
      <c r="BT11" s="2">
        <v>12.6</v>
      </c>
      <c r="BU11" s="2" t="s">
        <v>153</v>
      </c>
      <c r="BV11" s="1" t="s">
        <v>584</v>
      </c>
      <c r="BW11" s="1" t="s">
        <v>153</v>
      </c>
      <c r="BX11" s="1" t="s">
        <v>585</v>
      </c>
    </row>
    <row r="12" spans="1:76">
      <c r="A12" s="2" t="s">
        <v>1</v>
      </c>
      <c r="B12" s="2">
        <v>12</v>
      </c>
      <c r="C12" s="2" t="s">
        <v>154</v>
      </c>
      <c r="D12" s="2">
        <v>18.670000000000002</v>
      </c>
      <c r="E12" s="2" t="s">
        <v>154</v>
      </c>
      <c r="F12" s="2">
        <v>33.17</v>
      </c>
      <c r="G12" s="2" t="s">
        <v>154</v>
      </c>
      <c r="H12" s="2">
        <v>46.03</v>
      </c>
      <c r="I12" s="2" t="s">
        <v>154</v>
      </c>
      <c r="J12" s="2">
        <v>13.75</v>
      </c>
      <c r="K12" s="2" t="s">
        <v>154</v>
      </c>
      <c r="L12" s="2">
        <v>19.899999999999999</v>
      </c>
      <c r="M12" s="2" t="s">
        <v>154</v>
      </c>
      <c r="N12" s="2">
        <v>13.2</v>
      </c>
      <c r="O12" s="2" t="s">
        <v>154</v>
      </c>
      <c r="P12" s="2">
        <v>31.55</v>
      </c>
      <c r="Q12" s="2" t="s">
        <v>154</v>
      </c>
      <c r="R12" s="2">
        <v>25.46</v>
      </c>
      <c r="S12" s="2" t="s">
        <v>154</v>
      </c>
      <c r="T12" s="2">
        <v>19.98</v>
      </c>
      <c r="U12" s="2" t="s">
        <v>154</v>
      </c>
      <c r="V12" s="2">
        <v>5.22</v>
      </c>
      <c r="W12" s="2" t="s">
        <v>154</v>
      </c>
      <c r="X12" s="2">
        <v>109.77</v>
      </c>
      <c r="Y12" s="2" t="s">
        <v>154</v>
      </c>
      <c r="Z12" s="2">
        <v>28.96</v>
      </c>
      <c r="AA12" s="2" t="s">
        <v>154</v>
      </c>
      <c r="AB12" s="2">
        <v>25.63</v>
      </c>
      <c r="AC12" s="2" t="s">
        <v>154</v>
      </c>
      <c r="AD12" s="2">
        <v>20.440000000000001</v>
      </c>
      <c r="AE12" s="2" t="s">
        <v>154</v>
      </c>
      <c r="AF12" s="2">
        <v>35.64</v>
      </c>
      <c r="AG12" s="2" t="s">
        <v>154</v>
      </c>
      <c r="AH12" s="2">
        <v>52.05</v>
      </c>
      <c r="AI12" s="2" t="s">
        <v>154</v>
      </c>
      <c r="AJ12" s="2">
        <v>45.06</v>
      </c>
      <c r="AK12" s="2" t="s">
        <v>154</v>
      </c>
      <c r="AL12" s="2">
        <v>7.3</v>
      </c>
      <c r="AM12" s="2" t="s">
        <v>154</v>
      </c>
      <c r="AN12" s="2">
        <v>90.4</v>
      </c>
      <c r="AO12" s="2" t="s">
        <v>154</v>
      </c>
      <c r="AP12" s="2" t="s">
        <v>96</v>
      </c>
      <c r="AQ12" s="2" t="s">
        <v>154</v>
      </c>
      <c r="AR12" s="2">
        <v>11.51</v>
      </c>
      <c r="AS12" s="2" t="s">
        <v>154</v>
      </c>
      <c r="AT12" s="2" t="s">
        <v>197</v>
      </c>
      <c r="AU12" s="2" t="s">
        <v>154</v>
      </c>
      <c r="AV12" s="2">
        <v>143.49</v>
      </c>
      <c r="AW12" s="2" t="s">
        <v>154</v>
      </c>
      <c r="AX12" s="2">
        <v>118.71</v>
      </c>
      <c r="AY12" s="2" t="s">
        <v>154</v>
      </c>
      <c r="AZ12" s="2">
        <v>3.65</v>
      </c>
      <c r="BA12" s="2" t="s">
        <v>154</v>
      </c>
      <c r="BB12" s="2">
        <v>151.38</v>
      </c>
      <c r="BC12" s="2" t="s">
        <v>154</v>
      </c>
      <c r="BD12" s="2">
        <v>17.28</v>
      </c>
      <c r="BE12" s="2" t="s">
        <v>154</v>
      </c>
      <c r="BF12" s="2">
        <v>11.22</v>
      </c>
      <c r="BG12" s="2" t="s">
        <v>154</v>
      </c>
      <c r="BH12" s="2">
        <v>41.19</v>
      </c>
      <c r="BI12" s="2" t="s">
        <v>154</v>
      </c>
      <c r="BJ12" s="2">
        <v>151.4</v>
      </c>
      <c r="BK12" s="2" t="s">
        <v>154</v>
      </c>
      <c r="BL12" s="2">
        <v>23.6</v>
      </c>
      <c r="BM12" s="2" t="s">
        <v>154</v>
      </c>
      <c r="BN12" s="2">
        <v>41.16</v>
      </c>
      <c r="BO12" s="2" t="s">
        <v>154</v>
      </c>
      <c r="BP12" s="2">
        <v>28.4</v>
      </c>
      <c r="BQ12" s="2" t="s">
        <v>154</v>
      </c>
      <c r="BR12" s="2">
        <v>18.28</v>
      </c>
      <c r="BS12" s="2" t="s">
        <v>154</v>
      </c>
      <c r="BT12" s="2">
        <v>12.53</v>
      </c>
      <c r="BU12" s="2" t="s">
        <v>154</v>
      </c>
      <c r="BV12" s="1" t="s">
        <v>586</v>
      </c>
      <c r="BW12" s="1" t="s">
        <v>154</v>
      </c>
      <c r="BX12" s="1" t="s">
        <v>587</v>
      </c>
    </row>
    <row r="13" spans="1:76">
      <c r="A13" s="2" t="s">
        <v>1</v>
      </c>
      <c r="B13" s="2">
        <v>13</v>
      </c>
      <c r="C13" s="2" t="s">
        <v>155</v>
      </c>
      <c r="D13" s="2">
        <v>18.61</v>
      </c>
      <c r="E13" s="2" t="s">
        <v>155</v>
      </c>
      <c r="F13" s="2">
        <v>33.42</v>
      </c>
      <c r="G13" s="2" t="s">
        <v>155</v>
      </c>
      <c r="H13" s="2">
        <v>46.5</v>
      </c>
      <c r="I13" s="2" t="s">
        <v>155</v>
      </c>
      <c r="J13" s="2">
        <v>14.02</v>
      </c>
      <c r="K13" s="2" t="s">
        <v>155</v>
      </c>
      <c r="L13" s="2">
        <v>19.64</v>
      </c>
      <c r="M13" s="2" t="s">
        <v>155</v>
      </c>
      <c r="N13" s="2" t="s">
        <v>64</v>
      </c>
      <c r="O13" s="2" t="s">
        <v>155</v>
      </c>
      <c r="P13" s="2">
        <v>31.38</v>
      </c>
      <c r="Q13" s="2" t="s">
        <v>155</v>
      </c>
      <c r="R13" s="2">
        <v>25.22</v>
      </c>
      <c r="S13" s="2" t="s">
        <v>155</v>
      </c>
      <c r="T13" s="2">
        <v>19.43</v>
      </c>
      <c r="U13" s="2" t="s">
        <v>155</v>
      </c>
      <c r="V13" s="2">
        <v>5.1100000000000003</v>
      </c>
      <c r="W13" s="2" t="s">
        <v>155</v>
      </c>
      <c r="X13" s="2">
        <v>110.95</v>
      </c>
      <c r="Y13" s="2" t="s">
        <v>155</v>
      </c>
      <c r="Z13" s="2">
        <v>28.48</v>
      </c>
      <c r="AA13" s="2" t="s">
        <v>155</v>
      </c>
      <c r="AB13" s="2">
        <v>25.61</v>
      </c>
      <c r="AC13" s="2" t="s">
        <v>155</v>
      </c>
      <c r="AD13" s="2">
        <v>20.41</v>
      </c>
      <c r="AE13" s="2" t="s">
        <v>155</v>
      </c>
      <c r="AF13" s="2">
        <v>35.29</v>
      </c>
      <c r="AG13" s="2" t="s">
        <v>155</v>
      </c>
      <c r="AH13" s="2">
        <v>51.81</v>
      </c>
      <c r="AI13" s="2" t="s">
        <v>155</v>
      </c>
      <c r="AJ13" s="2">
        <v>44.83</v>
      </c>
      <c r="AK13" s="2" t="s">
        <v>155</v>
      </c>
      <c r="AL13" s="2">
        <v>7.1</v>
      </c>
      <c r="AM13" s="2" t="s">
        <v>155</v>
      </c>
      <c r="AN13" s="2">
        <v>90.69</v>
      </c>
      <c r="AO13" s="2" t="s">
        <v>155</v>
      </c>
      <c r="AP13" s="2" t="s">
        <v>96</v>
      </c>
      <c r="AQ13" s="2" t="s">
        <v>155</v>
      </c>
      <c r="AR13" s="2">
        <v>11.57</v>
      </c>
      <c r="AS13" s="2" t="s">
        <v>155</v>
      </c>
      <c r="AT13" s="2">
        <v>1278.6400000000001</v>
      </c>
      <c r="AU13" s="2" t="s">
        <v>155</v>
      </c>
      <c r="AV13" s="2">
        <v>141.9</v>
      </c>
      <c r="AW13" s="2" t="s">
        <v>155</v>
      </c>
      <c r="AX13" s="2">
        <v>119.09</v>
      </c>
      <c r="AY13" s="2" t="s">
        <v>155</v>
      </c>
      <c r="AZ13" s="2">
        <v>3.67</v>
      </c>
      <c r="BA13" s="2" t="s">
        <v>155</v>
      </c>
      <c r="BB13" s="2" t="s">
        <v>119</v>
      </c>
      <c r="BC13" s="2" t="s">
        <v>155</v>
      </c>
      <c r="BD13" s="2">
        <v>17.21</v>
      </c>
      <c r="BE13" s="2" t="s">
        <v>155</v>
      </c>
      <c r="BF13" s="2">
        <v>11.24</v>
      </c>
      <c r="BG13" s="2" t="s">
        <v>155</v>
      </c>
      <c r="BH13" s="2" t="s">
        <v>105</v>
      </c>
      <c r="BI13" s="2" t="s">
        <v>155</v>
      </c>
      <c r="BJ13" s="2">
        <v>152.30000000000001</v>
      </c>
      <c r="BK13" s="2" t="s">
        <v>155</v>
      </c>
      <c r="BL13" s="2">
        <v>23.09</v>
      </c>
      <c r="BM13" s="2" t="s">
        <v>155</v>
      </c>
      <c r="BN13" s="2">
        <v>39.700000000000003</v>
      </c>
      <c r="BO13" s="2" t="s">
        <v>155</v>
      </c>
      <c r="BP13" s="2">
        <v>28.53</v>
      </c>
      <c r="BQ13" s="2" t="s">
        <v>155</v>
      </c>
      <c r="BR13" s="2">
        <v>18.77</v>
      </c>
      <c r="BS13" s="2" t="s">
        <v>155</v>
      </c>
      <c r="BT13" s="2">
        <v>12.63</v>
      </c>
      <c r="BU13" s="2" t="s">
        <v>155</v>
      </c>
      <c r="BV13" s="1" t="s">
        <v>588</v>
      </c>
      <c r="BW13" s="1" t="s">
        <v>155</v>
      </c>
      <c r="BX13" s="1" t="s">
        <v>589</v>
      </c>
    </row>
    <row r="14" spans="1:76">
      <c r="A14" s="2" t="s">
        <v>1</v>
      </c>
      <c r="B14" s="2">
        <v>14</v>
      </c>
      <c r="C14" s="2" t="s">
        <v>156</v>
      </c>
      <c r="D14" s="2">
        <v>18.14</v>
      </c>
      <c r="E14" s="2" t="s">
        <v>156</v>
      </c>
      <c r="F14" s="2">
        <v>33.369999999999997</v>
      </c>
      <c r="G14" s="2" t="s">
        <v>156</v>
      </c>
      <c r="H14" s="2">
        <v>45.99</v>
      </c>
      <c r="I14" s="2" t="s">
        <v>156</v>
      </c>
      <c r="J14" s="2">
        <v>13.85</v>
      </c>
      <c r="K14" s="2" t="s">
        <v>156</v>
      </c>
      <c r="L14" s="2">
        <v>19.399999999999999</v>
      </c>
      <c r="M14" s="2" t="s">
        <v>156</v>
      </c>
      <c r="N14" s="2">
        <v>12.95</v>
      </c>
      <c r="O14" s="2" t="s">
        <v>156</v>
      </c>
      <c r="P14" s="2">
        <v>31.05</v>
      </c>
      <c r="Q14" s="2" t="s">
        <v>156</v>
      </c>
      <c r="R14" s="2" t="s">
        <v>52</v>
      </c>
      <c r="S14" s="2" t="s">
        <v>156</v>
      </c>
      <c r="T14" s="2">
        <v>19.27</v>
      </c>
      <c r="U14" s="2" t="s">
        <v>156</v>
      </c>
      <c r="V14" s="2">
        <v>5.13</v>
      </c>
      <c r="W14" s="2" t="s">
        <v>156</v>
      </c>
      <c r="X14" s="2">
        <v>110.29</v>
      </c>
      <c r="Y14" s="2" t="s">
        <v>156</v>
      </c>
      <c r="Z14" s="2">
        <v>28.03</v>
      </c>
      <c r="AA14" s="2" t="s">
        <v>156</v>
      </c>
      <c r="AB14" s="2">
        <v>25.2</v>
      </c>
      <c r="AC14" s="2" t="s">
        <v>156</v>
      </c>
      <c r="AD14" s="2">
        <v>20.55</v>
      </c>
      <c r="AE14" s="2" t="s">
        <v>156</v>
      </c>
      <c r="AF14" s="2">
        <v>35.1</v>
      </c>
      <c r="AG14" s="2" t="s">
        <v>156</v>
      </c>
      <c r="AH14" s="2">
        <v>52.69</v>
      </c>
      <c r="AI14" s="2" t="s">
        <v>156</v>
      </c>
      <c r="AJ14" s="2">
        <v>45.74</v>
      </c>
      <c r="AK14" s="2" t="s">
        <v>156</v>
      </c>
      <c r="AL14" s="2">
        <v>6.96</v>
      </c>
      <c r="AM14" s="2" t="s">
        <v>156</v>
      </c>
      <c r="AN14" s="2">
        <v>90.8</v>
      </c>
      <c r="AO14" s="2" t="s">
        <v>156</v>
      </c>
      <c r="AP14" s="2">
        <v>118.73</v>
      </c>
      <c r="AQ14" s="2" t="s">
        <v>156</v>
      </c>
      <c r="AR14" s="2">
        <v>11.63</v>
      </c>
      <c r="AS14" s="2" t="s">
        <v>156</v>
      </c>
      <c r="AT14" s="2" t="s">
        <v>198</v>
      </c>
      <c r="AU14" s="2" t="s">
        <v>156</v>
      </c>
      <c r="AV14" s="2">
        <v>141.18</v>
      </c>
      <c r="AW14" s="2" t="s">
        <v>156</v>
      </c>
      <c r="AX14" s="2" t="s">
        <v>96</v>
      </c>
      <c r="AY14" s="2" t="s">
        <v>156</v>
      </c>
      <c r="AZ14" s="2">
        <v>3.7</v>
      </c>
      <c r="BA14" s="2" t="s">
        <v>156</v>
      </c>
      <c r="BB14" s="2">
        <v>152.97999999999999</v>
      </c>
      <c r="BC14" s="2" t="s">
        <v>156</v>
      </c>
      <c r="BD14" s="2">
        <v>16.920000000000002</v>
      </c>
      <c r="BE14" s="2" t="s">
        <v>156</v>
      </c>
      <c r="BF14" s="2">
        <v>11.7</v>
      </c>
      <c r="BG14" s="2" t="s">
        <v>156</v>
      </c>
      <c r="BH14" s="2">
        <v>38.799999999999997</v>
      </c>
      <c r="BI14" s="2" t="s">
        <v>156</v>
      </c>
      <c r="BJ14" s="2">
        <v>152.5</v>
      </c>
      <c r="BK14" s="2" t="s">
        <v>156</v>
      </c>
      <c r="BL14" s="2">
        <v>22.4</v>
      </c>
      <c r="BM14" s="2" t="s">
        <v>156</v>
      </c>
      <c r="BN14" s="2">
        <v>39.74</v>
      </c>
      <c r="BO14" s="2" t="s">
        <v>156</v>
      </c>
      <c r="BP14" s="2">
        <v>28.18</v>
      </c>
      <c r="BQ14" s="2" t="s">
        <v>156</v>
      </c>
      <c r="BR14" s="2">
        <v>19.260000000000002</v>
      </c>
      <c r="BS14" s="2" t="s">
        <v>156</v>
      </c>
      <c r="BT14" s="2">
        <v>12.69</v>
      </c>
      <c r="BU14" s="2" t="s">
        <v>156</v>
      </c>
      <c r="BV14" s="1" t="s">
        <v>590</v>
      </c>
      <c r="BW14" s="1" t="s">
        <v>156</v>
      </c>
      <c r="BX14" s="1" t="s">
        <v>591</v>
      </c>
    </row>
    <row r="15" spans="1:76">
      <c r="A15" s="2" t="s">
        <v>1</v>
      </c>
      <c r="B15" s="2">
        <v>15</v>
      </c>
      <c r="C15" s="2" t="s">
        <v>157</v>
      </c>
      <c r="D15" s="2">
        <v>18.18</v>
      </c>
      <c r="E15" s="2" t="s">
        <v>157</v>
      </c>
      <c r="F15" s="2">
        <v>33.39</v>
      </c>
      <c r="G15" s="2" t="s">
        <v>157</v>
      </c>
      <c r="H15" s="2">
        <v>46.4</v>
      </c>
      <c r="I15" s="2" t="s">
        <v>157</v>
      </c>
      <c r="J15" s="2">
        <v>13.75</v>
      </c>
      <c r="K15" s="2" t="s">
        <v>157</v>
      </c>
      <c r="L15" s="2">
        <v>19.149999999999999</v>
      </c>
      <c r="M15" s="2" t="s">
        <v>157</v>
      </c>
      <c r="N15" s="2">
        <v>12.89</v>
      </c>
      <c r="O15" s="2" t="s">
        <v>157</v>
      </c>
      <c r="P15" s="2">
        <v>31.16</v>
      </c>
      <c r="Q15" s="2" t="s">
        <v>157</v>
      </c>
      <c r="R15" s="2">
        <v>24.95</v>
      </c>
      <c r="S15" s="2" t="s">
        <v>157</v>
      </c>
      <c r="T15" s="2">
        <v>19.55</v>
      </c>
      <c r="U15" s="2" t="s">
        <v>157</v>
      </c>
      <c r="V15" s="2">
        <v>5.13</v>
      </c>
      <c r="W15" s="2" t="s">
        <v>157</v>
      </c>
      <c r="X15" s="2">
        <v>110.4</v>
      </c>
      <c r="Y15" s="2" t="s">
        <v>157</v>
      </c>
      <c r="Z15" s="2">
        <v>27.82</v>
      </c>
      <c r="AA15" s="2" t="s">
        <v>157</v>
      </c>
      <c r="AB15" s="2">
        <v>25.35</v>
      </c>
      <c r="AC15" s="2" t="s">
        <v>157</v>
      </c>
      <c r="AD15" s="2">
        <v>20.05</v>
      </c>
      <c r="AE15" s="2" t="s">
        <v>157</v>
      </c>
      <c r="AF15" s="2">
        <v>34.49</v>
      </c>
      <c r="AG15" s="2" t="s">
        <v>157</v>
      </c>
      <c r="AH15" s="2">
        <v>53.05</v>
      </c>
      <c r="AI15" s="2" t="s">
        <v>157</v>
      </c>
      <c r="AJ15" s="2">
        <v>46.17</v>
      </c>
      <c r="AK15" s="2" t="s">
        <v>157</v>
      </c>
      <c r="AL15" s="2">
        <v>6.98</v>
      </c>
      <c r="AM15" s="2" t="s">
        <v>157</v>
      </c>
      <c r="AN15" s="2" t="s">
        <v>88</v>
      </c>
      <c r="AO15" s="2" t="s">
        <v>157</v>
      </c>
      <c r="AP15" s="2">
        <v>118.35</v>
      </c>
      <c r="AQ15" s="2" t="s">
        <v>157</v>
      </c>
      <c r="AR15" s="2">
        <v>11.68</v>
      </c>
      <c r="AS15" s="2" t="s">
        <v>157</v>
      </c>
      <c r="AT15" s="2">
        <v>1266.99</v>
      </c>
      <c r="AU15" s="2" t="s">
        <v>157</v>
      </c>
      <c r="AV15" s="2">
        <v>141.82</v>
      </c>
      <c r="AW15" s="2" t="s">
        <v>157</v>
      </c>
      <c r="AX15" s="2">
        <v>119.5</v>
      </c>
      <c r="AY15" s="2" t="s">
        <v>157</v>
      </c>
      <c r="AZ15" s="2">
        <v>3.71</v>
      </c>
      <c r="BA15" s="2" t="s">
        <v>157</v>
      </c>
      <c r="BB15" s="2">
        <v>156.38</v>
      </c>
      <c r="BC15" s="2" t="s">
        <v>157</v>
      </c>
      <c r="BD15" s="2">
        <v>17.3</v>
      </c>
      <c r="BE15" s="2" t="s">
        <v>157</v>
      </c>
      <c r="BF15" s="2">
        <v>11.93</v>
      </c>
      <c r="BG15" s="2" t="s">
        <v>157</v>
      </c>
      <c r="BH15" s="2">
        <v>38.04</v>
      </c>
      <c r="BI15" s="2" t="s">
        <v>157</v>
      </c>
      <c r="BJ15" s="2">
        <v>152.5</v>
      </c>
      <c r="BK15" s="2" t="s">
        <v>157</v>
      </c>
      <c r="BL15" s="2">
        <v>22.51</v>
      </c>
      <c r="BM15" s="2" t="s">
        <v>157</v>
      </c>
      <c r="BN15" s="2" t="s">
        <v>109</v>
      </c>
      <c r="BO15" s="2" t="s">
        <v>157</v>
      </c>
      <c r="BP15" s="2">
        <v>27.83</v>
      </c>
      <c r="BQ15" s="2" t="s">
        <v>157</v>
      </c>
      <c r="BR15" s="2">
        <v>18.3</v>
      </c>
      <c r="BS15" s="2" t="s">
        <v>157</v>
      </c>
      <c r="BT15" s="2">
        <v>12.64</v>
      </c>
      <c r="BU15" s="2" t="s">
        <v>157</v>
      </c>
      <c r="BV15" s="1" t="s">
        <v>592</v>
      </c>
      <c r="BW15" s="1" t="s">
        <v>157</v>
      </c>
      <c r="BX15" s="1" t="s">
        <v>593</v>
      </c>
    </row>
    <row r="16" spans="1:76">
      <c r="A16" s="2" t="s">
        <v>1</v>
      </c>
      <c r="B16" s="2">
        <v>16</v>
      </c>
      <c r="C16" s="2" t="s">
        <v>159</v>
      </c>
      <c r="D16" s="2">
        <v>18.16</v>
      </c>
      <c r="E16" s="2" t="s">
        <v>159</v>
      </c>
      <c r="F16" s="2">
        <v>33.81</v>
      </c>
      <c r="G16" s="2" t="s">
        <v>159</v>
      </c>
      <c r="H16" s="2">
        <v>46.7</v>
      </c>
      <c r="I16" s="2" t="s">
        <v>159</v>
      </c>
      <c r="J16" s="2">
        <v>13.5</v>
      </c>
      <c r="K16" s="2" t="s">
        <v>159</v>
      </c>
      <c r="L16" s="2">
        <v>19.25</v>
      </c>
      <c r="M16" s="2" t="s">
        <v>159</v>
      </c>
      <c r="N16" s="2">
        <v>12.93</v>
      </c>
      <c r="O16" s="2" t="s">
        <v>159</v>
      </c>
      <c r="P16" s="2" t="s">
        <v>137</v>
      </c>
      <c r="Q16" s="2" t="s">
        <v>159</v>
      </c>
      <c r="R16" s="2">
        <v>25.35</v>
      </c>
      <c r="S16" s="2" t="s">
        <v>159</v>
      </c>
      <c r="T16" s="2">
        <v>19.32</v>
      </c>
      <c r="U16" s="2" t="s">
        <v>159</v>
      </c>
      <c r="V16" s="2">
        <v>5.15</v>
      </c>
      <c r="W16" s="2" t="s">
        <v>159</v>
      </c>
      <c r="X16" s="2">
        <v>111.39</v>
      </c>
      <c r="Y16" s="2" t="s">
        <v>159</v>
      </c>
      <c r="Z16" s="2">
        <v>27.88</v>
      </c>
      <c r="AA16" s="2" t="s">
        <v>159</v>
      </c>
      <c r="AB16" s="2">
        <v>25.4</v>
      </c>
      <c r="AC16" s="2" t="s">
        <v>159</v>
      </c>
      <c r="AD16" s="2">
        <v>19.8</v>
      </c>
      <c r="AE16" s="2" t="s">
        <v>159</v>
      </c>
      <c r="AF16" s="2">
        <v>34.450000000000003</v>
      </c>
      <c r="AG16" s="2" t="s">
        <v>159</v>
      </c>
      <c r="AH16" s="2">
        <v>52.69</v>
      </c>
      <c r="AI16" s="2" t="s">
        <v>159</v>
      </c>
      <c r="AJ16" s="2">
        <v>46.65</v>
      </c>
      <c r="AK16" s="2" t="s">
        <v>159</v>
      </c>
      <c r="AL16" s="2">
        <v>7.16</v>
      </c>
      <c r="AM16" s="2" t="s">
        <v>159</v>
      </c>
      <c r="AN16" s="2" t="s">
        <v>97</v>
      </c>
      <c r="AO16" s="2" t="s">
        <v>159</v>
      </c>
      <c r="AP16" s="2" t="s">
        <v>95</v>
      </c>
      <c r="AQ16" s="2" t="s">
        <v>159</v>
      </c>
      <c r="AR16" s="2">
        <v>11.74</v>
      </c>
      <c r="AS16" s="2" t="s">
        <v>159</v>
      </c>
      <c r="AT16" s="2" t="s">
        <v>181</v>
      </c>
      <c r="AU16" s="2" t="s">
        <v>159</v>
      </c>
      <c r="AV16" s="2" t="s">
        <v>199</v>
      </c>
      <c r="AW16" s="2" t="s">
        <v>159</v>
      </c>
      <c r="AX16" s="2">
        <v>119.18</v>
      </c>
      <c r="AY16" s="2" t="s">
        <v>159</v>
      </c>
      <c r="AZ16" s="2">
        <v>3.9</v>
      </c>
      <c r="BA16" s="2" t="s">
        <v>159</v>
      </c>
      <c r="BB16" s="2">
        <v>155.9</v>
      </c>
      <c r="BC16" s="2" t="s">
        <v>159</v>
      </c>
      <c r="BD16" s="2">
        <v>17.27</v>
      </c>
      <c r="BE16" s="2" t="s">
        <v>159</v>
      </c>
      <c r="BF16" s="2">
        <v>12.28</v>
      </c>
      <c r="BG16" s="2" t="s">
        <v>159</v>
      </c>
      <c r="BH16" s="2">
        <v>37.85</v>
      </c>
      <c r="BI16" s="2" t="s">
        <v>159</v>
      </c>
      <c r="BJ16" s="2">
        <v>152.44999999999999</v>
      </c>
      <c r="BK16" s="2" t="s">
        <v>159</v>
      </c>
      <c r="BL16" s="2">
        <v>22.53</v>
      </c>
      <c r="BM16" s="2" t="s">
        <v>159</v>
      </c>
      <c r="BN16" s="2">
        <v>41.29</v>
      </c>
      <c r="BO16" s="2" t="s">
        <v>159</v>
      </c>
      <c r="BP16" s="2">
        <v>27.68</v>
      </c>
      <c r="BQ16" s="2" t="s">
        <v>159</v>
      </c>
      <c r="BR16" s="2">
        <v>18.23</v>
      </c>
      <c r="BS16" s="2" t="s">
        <v>159</v>
      </c>
      <c r="BT16" s="2">
        <v>12.69</v>
      </c>
      <c r="BU16" s="2" t="s">
        <v>159</v>
      </c>
      <c r="BV16" s="1" t="s">
        <v>594</v>
      </c>
      <c r="BW16" s="1" t="s">
        <v>159</v>
      </c>
      <c r="BX16" s="1" t="s">
        <v>595</v>
      </c>
    </row>
    <row r="17" spans="1:76">
      <c r="A17" s="2" t="s">
        <v>1</v>
      </c>
      <c r="B17" s="2">
        <v>17</v>
      </c>
      <c r="C17" s="2" t="s">
        <v>160</v>
      </c>
      <c r="D17" s="2">
        <v>18.399999999999999</v>
      </c>
      <c r="E17" s="2" t="s">
        <v>160</v>
      </c>
      <c r="F17" s="2">
        <v>33.6</v>
      </c>
      <c r="G17" s="2" t="s">
        <v>160</v>
      </c>
      <c r="H17" s="2">
        <v>46.74</v>
      </c>
      <c r="I17" s="2" t="s">
        <v>160</v>
      </c>
      <c r="J17" s="2">
        <v>13.59</v>
      </c>
      <c r="K17" s="2" t="s">
        <v>160</v>
      </c>
      <c r="L17" s="2">
        <v>19.239999999999998</v>
      </c>
      <c r="M17" s="2" t="s">
        <v>160</v>
      </c>
      <c r="N17" s="2">
        <v>13.21</v>
      </c>
      <c r="O17" s="2" t="s">
        <v>160</v>
      </c>
      <c r="P17" s="2">
        <v>31.73</v>
      </c>
      <c r="Q17" s="2" t="s">
        <v>160</v>
      </c>
      <c r="R17" s="2">
        <v>25.18</v>
      </c>
      <c r="S17" s="2" t="s">
        <v>160</v>
      </c>
      <c r="T17" s="2">
        <v>19.87</v>
      </c>
      <c r="U17" s="2" t="s">
        <v>160</v>
      </c>
      <c r="V17" s="2">
        <v>5.23</v>
      </c>
      <c r="W17" s="2" t="s">
        <v>160</v>
      </c>
      <c r="X17" s="2">
        <v>111.36</v>
      </c>
      <c r="Y17" s="2" t="s">
        <v>160</v>
      </c>
      <c r="Z17" s="2">
        <v>28.15</v>
      </c>
      <c r="AA17" s="2" t="s">
        <v>160</v>
      </c>
      <c r="AB17" s="2">
        <v>25.65</v>
      </c>
      <c r="AC17" s="2" t="s">
        <v>160</v>
      </c>
      <c r="AD17" s="2">
        <v>19.79</v>
      </c>
      <c r="AE17" s="2" t="s">
        <v>160</v>
      </c>
      <c r="AF17" s="2">
        <v>34.69</v>
      </c>
      <c r="AG17" s="2" t="s">
        <v>160</v>
      </c>
      <c r="AH17" s="2">
        <v>52.59</v>
      </c>
      <c r="AI17" s="2" t="s">
        <v>160</v>
      </c>
      <c r="AJ17" s="2">
        <v>45.74</v>
      </c>
      <c r="AK17" s="2" t="s">
        <v>160</v>
      </c>
      <c r="AL17" s="2">
        <v>7.46</v>
      </c>
      <c r="AM17" s="2" t="s">
        <v>160</v>
      </c>
      <c r="AN17" s="2">
        <v>91.8</v>
      </c>
      <c r="AO17" s="2" t="s">
        <v>160</v>
      </c>
      <c r="AP17" s="2">
        <v>118.5</v>
      </c>
      <c r="AQ17" s="2" t="s">
        <v>160</v>
      </c>
      <c r="AR17" s="2">
        <v>11.74</v>
      </c>
      <c r="AS17" s="2" t="s">
        <v>160</v>
      </c>
      <c r="AT17" s="2" t="s">
        <v>183</v>
      </c>
      <c r="AU17" s="2" t="s">
        <v>160</v>
      </c>
      <c r="AV17" s="2">
        <v>142.5</v>
      </c>
      <c r="AW17" s="2" t="s">
        <v>160</v>
      </c>
      <c r="AX17" s="2">
        <v>119.16</v>
      </c>
      <c r="AY17" s="2" t="s">
        <v>160</v>
      </c>
      <c r="AZ17" s="2">
        <v>3.89</v>
      </c>
      <c r="BA17" s="2" t="s">
        <v>160</v>
      </c>
      <c r="BB17" s="2">
        <v>155.81</v>
      </c>
      <c r="BC17" s="2" t="s">
        <v>160</v>
      </c>
      <c r="BD17" s="2">
        <v>17.329999999999998</v>
      </c>
      <c r="BE17" s="2" t="s">
        <v>160</v>
      </c>
      <c r="BF17" s="2">
        <v>13.23</v>
      </c>
      <c r="BG17" s="2" t="s">
        <v>160</v>
      </c>
      <c r="BH17" s="2">
        <v>38.01</v>
      </c>
      <c r="BI17" s="2" t="s">
        <v>160</v>
      </c>
      <c r="BJ17" s="2">
        <v>152.5</v>
      </c>
      <c r="BK17" s="2" t="s">
        <v>160</v>
      </c>
      <c r="BL17" s="2">
        <v>22.75</v>
      </c>
      <c r="BM17" s="2" t="s">
        <v>160</v>
      </c>
      <c r="BN17" s="2">
        <v>41.03</v>
      </c>
      <c r="BO17" s="2" t="s">
        <v>160</v>
      </c>
      <c r="BP17" s="2">
        <v>27.51</v>
      </c>
      <c r="BQ17" s="2" t="s">
        <v>160</v>
      </c>
      <c r="BR17" s="2">
        <v>18.170000000000002</v>
      </c>
      <c r="BS17" s="2" t="s">
        <v>160</v>
      </c>
      <c r="BT17" s="2">
        <v>12.83</v>
      </c>
      <c r="BU17" s="2" t="s">
        <v>160</v>
      </c>
      <c r="BV17" s="1" t="s">
        <v>596</v>
      </c>
      <c r="BW17" s="1" t="s">
        <v>160</v>
      </c>
      <c r="BX17" s="1" t="s">
        <v>597</v>
      </c>
    </row>
    <row r="18" spans="1:76">
      <c r="A18" s="2" t="s">
        <v>1</v>
      </c>
      <c r="B18" s="2">
        <v>18</v>
      </c>
      <c r="C18" s="2" t="s">
        <v>162</v>
      </c>
      <c r="D18" s="2">
        <v>18.29</v>
      </c>
      <c r="E18" s="2" t="s">
        <v>162</v>
      </c>
      <c r="F18" s="2">
        <v>32.700000000000003</v>
      </c>
      <c r="G18" s="2" t="s">
        <v>162</v>
      </c>
      <c r="H18" s="2">
        <v>46.9</v>
      </c>
      <c r="I18" s="2" t="s">
        <v>162</v>
      </c>
      <c r="J18" s="2">
        <v>13.38</v>
      </c>
      <c r="K18" s="2" t="s">
        <v>162</v>
      </c>
      <c r="L18" s="2">
        <v>19.190000000000001</v>
      </c>
      <c r="M18" s="2" t="s">
        <v>162</v>
      </c>
      <c r="N18" s="2">
        <v>13.05</v>
      </c>
      <c r="O18" s="2" t="s">
        <v>162</v>
      </c>
      <c r="P18" s="2">
        <v>31.11</v>
      </c>
      <c r="Q18" s="2" t="s">
        <v>162</v>
      </c>
      <c r="R18" s="2">
        <v>24.8</v>
      </c>
      <c r="S18" s="2" t="s">
        <v>162</v>
      </c>
      <c r="T18" s="2">
        <v>19.02</v>
      </c>
      <c r="U18" s="2" t="s">
        <v>162</v>
      </c>
      <c r="V18" s="2">
        <v>5.22</v>
      </c>
      <c r="W18" s="2" t="s">
        <v>162</v>
      </c>
      <c r="X18" s="2" t="s">
        <v>75</v>
      </c>
      <c r="Y18" s="2" t="s">
        <v>162</v>
      </c>
      <c r="Z18" s="2">
        <v>28.17</v>
      </c>
      <c r="AA18" s="2" t="s">
        <v>162</v>
      </c>
      <c r="AB18" s="2">
        <v>25.6</v>
      </c>
      <c r="AC18" s="2" t="s">
        <v>162</v>
      </c>
      <c r="AD18" s="2">
        <v>19.670000000000002</v>
      </c>
      <c r="AE18" s="2" t="s">
        <v>162</v>
      </c>
      <c r="AF18" s="2">
        <v>34.64</v>
      </c>
      <c r="AG18" s="2" t="s">
        <v>162</v>
      </c>
      <c r="AH18" s="2">
        <v>52.72</v>
      </c>
      <c r="AI18" s="2" t="s">
        <v>162</v>
      </c>
      <c r="AJ18" s="2">
        <v>45.37</v>
      </c>
      <c r="AK18" s="2" t="s">
        <v>162</v>
      </c>
      <c r="AL18" s="2">
        <v>7.35</v>
      </c>
      <c r="AM18" s="2" t="s">
        <v>162</v>
      </c>
      <c r="AN18" s="2">
        <v>92.8</v>
      </c>
      <c r="AO18" s="2" t="s">
        <v>162</v>
      </c>
      <c r="AP18" s="2" t="s">
        <v>95</v>
      </c>
      <c r="AQ18" s="2" t="s">
        <v>162</v>
      </c>
      <c r="AR18" s="2">
        <v>11.75</v>
      </c>
      <c r="AS18" s="2" t="s">
        <v>162</v>
      </c>
      <c r="AT18" s="2">
        <v>1250.0999999999999</v>
      </c>
      <c r="AU18" s="2" t="s">
        <v>162</v>
      </c>
      <c r="AV18" s="2" t="s">
        <v>108</v>
      </c>
      <c r="AW18" s="2" t="s">
        <v>162</v>
      </c>
      <c r="AX18" s="2" t="s">
        <v>96</v>
      </c>
      <c r="AY18" s="2" t="s">
        <v>162</v>
      </c>
      <c r="AZ18" s="2">
        <v>3.9</v>
      </c>
      <c r="BA18" s="2" t="s">
        <v>162</v>
      </c>
      <c r="BB18" s="2">
        <v>154.51</v>
      </c>
      <c r="BC18" s="2" t="s">
        <v>162</v>
      </c>
      <c r="BD18" s="2">
        <v>16.97</v>
      </c>
      <c r="BE18" s="2" t="s">
        <v>162</v>
      </c>
      <c r="BF18" s="2">
        <v>14.1</v>
      </c>
      <c r="BG18" s="2" t="s">
        <v>162</v>
      </c>
      <c r="BH18" s="2">
        <v>38.65</v>
      </c>
      <c r="BI18" s="2" t="s">
        <v>162</v>
      </c>
      <c r="BJ18" s="2">
        <v>152.4</v>
      </c>
      <c r="BK18" s="2" t="s">
        <v>162</v>
      </c>
      <c r="BL18" s="2">
        <v>22.79</v>
      </c>
      <c r="BM18" s="2" t="s">
        <v>162</v>
      </c>
      <c r="BN18" s="2">
        <v>40.380000000000003</v>
      </c>
      <c r="BO18" s="2" t="s">
        <v>162</v>
      </c>
      <c r="BP18" s="2">
        <v>27.44</v>
      </c>
      <c r="BQ18" s="2" t="s">
        <v>162</v>
      </c>
      <c r="BR18" s="2">
        <v>17.899999999999999</v>
      </c>
      <c r="BS18" s="2" t="s">
        <v>162</v>
      </c>
      <c r="BT18" s="2">
        <v>12.59</v>
      </c>
      <c r="BU18" s="2" t="s">
        <v>162</v>
      </c>
      <c r="BV18" s="1" t="s">
        <v>598</v>
      </c>
      <c r="BW18" s="1" t="s">
        <v>162</v>
      </c>
      <c r="BX18" s="1" t="s">
        <v>599</v>
      </c>
    </row>
    <row r="19" spans="1:76">
      <c r="A19" s="2" t="s">
        <v>1</v>
      </c>
      <c r="B19" s="2">
        <v>19</v>
      </c>
      <c r="C19" s="2" t="s">
        <v>163</v>
      </c>
      <c r="D19" s="2">
        <v>18.440000000000001</v>
      </c>
      <c r="E19" s="2" t="s">
        <v>163</v>
      </c>
      <c r="F19" s="2">
        <v>33.119999999999997</v>
      </c>
      <c r="G19" s="2" t="s">
        <v>163</v>
      </c>
      <c r="H19" s="2">
        <v>47.05</v>
      </c>
      <c r="I19" s="2" t="s">
        <v>163</v>
      </c>
      <c r="J19" s="2">
        <v>13.46</v>
      </c>
      <c r="K19" s="2" t="s">
        <v>163</v>
      </c>
      <c r="L19" s="2">
        <v>19.62</v>
      </c>
      <c r="M19" s="2" t="s">
        <v>163</v>
      </c>
      <c r="N19" s="2">
        <v>13.25</v>
      </c>
      <c r="O19" s="2" t="s">
        <v>163</v>
      </c>
      <c r="P19" s="2">
        <v>31.55</v>
      </c>
      <c r="Q19" s="2" t="s">
        <v>163</v>
      </c>
      <c r="R19" s="2">
        <v>24.84</v>
      </c>
      <c r="S19" s="2" t="s">
        <v>163</v>
      </c>
      <c r="T19" s="2">
        <v>18.47</v>
      </c>
      <c r="U19" s="2" t="s">
        <v>163</v>
      </c>
      <c r="V19" s="2">
        <v>5.22</v>
      </c>
      <c r="W19" s="2" t="s">
        <v>163</v>
      </c>
      <c r="X19" s="2">
        <v>109.2</v>
      </c>
      <c r="Y19" s="2" t="s">
        <v>163</v>
      </c>
      <c r="Z19" s="2">
        <v>28.42</v>
      </c>
      <c r="AA19" s="2" t="s">
        <v>163</v>
      </c>
      <c r="AB19" s="2">
        <v>26.11</v>
      </c>
      <c r="AC19" s="2" t="s">
        <v>163</v>
      </c>
      <c r="AD19" s="2">
        <v>19.739999999999998</v>
      </c>
      <c r="AE19" s="2" t="s">
        <v>163</v>
      </c>
      <c r="AF19" s="2">
        <v>34.69</v>
      </c>
      <c r="AG19" s="2" t="s">
        <v>163</v>
      </c>
      <c r="AH19" s="2">
        <v>52.45</v>
      </c>
      <c r="AI19" s="2" t="s">
        <v>163</v>
      </c>
      <c r="AJ19" s="2">
        <v>45.28</v>
      </c>
      <c r="AK19" s="2" t="s">
        <v>163</v>
      </c>
      <c r="AL19" s="2">
        <v>7.28</v>
      </c>
      <c r="AM19" s="2" t="s">
        <v>163</v>
      </c>
      <c r="AN19" s="2">
        <v>92.3</v>
      </c>
      <c r="AO19" s="2" t="s">
        <v>163</v>
      </c>
      <c r="AP19" s="2">
        <v>118.53</v>
      </c>
      <c r="AQ19" s="2" t="s">
        <v>163</v>
      </c>
      <c r="AR19" s="2">
        <v>11.82</v>
      </c>
      <c r="AS19" s="2" t="s">
        <v>163</v>
      </c>
      <c r="AT19" s="2" t="s">
        <v>200</v>
      </c>
      <c r="AU19" s="2" t="s">
        <v>163</v>
      </c>
      <c r="AV19" s="2">
        <v>144.1</v>
      </c>
      <c r="AW19" s="2" t="s">
        <v>163</v>
      </c>
      <c r="AX19" s="2">
        <v>119.03</v>
      </c>
      <c r="AY19" s="2" t="s">
        <v>163</v>
      </c>
      <c r="AZ19" s="2">
        <v>3.95</v>
      </c>
      <c r="BA19" s="2" t="s">
        <v>163</v>
      </c>
      <c r="BB19" s="2">
        <v>157.1</v>
      </c>
      <c r="BC19" s="2" t="s">
        <v>163</v>
      </c>
      <c r="BD19" s="2">
        <v>16.96</v>
      </c>
      <c r="BE19" s="2" t="s">
        <v>163</v>
      </c>
      <c r="BF19" s="2">
        <v>13.27</v>
      </c>
      <c r="BG19" s="2" t="s">
        <v>163</v>
      </c>
      <c r="BH19" s="2" t="s">
        <v>104</v>
      </c>
      <c r="BI19" s="2" t="s">
        <v>163</v>
      </c>
      <c r="BJ19" s="2">
        <v>152.4</v>
      </c>
      <c r="BK19" s="2" t="s">
        <v>163</v>
      </c>
      <c r="BL19" s="2">
        <v>22.6</v>
      </c>
      <c r="BM19" s="2" t="s">
        <v>163</v>
      </c>
      <c r="BN19" s="2">
        <v>41.35</v>
      </c>
      <c r="BO19" s="2" t="s">
        <v>163</v>
      </c>
      <c r="BP19" s="2">
        <v>27.49</v>
      </c>
      <c r="BQ19" s="2" t="s">
        <v>163</v>
      </c>
      <c r="BR19" s="2">
        <v>17.920000000000002</v>
      </c>
      <c r="BS19" s="2" t="s">
        <v>163</v>
      </c>
      <c r="BT19" s="2">
        <v>12.65</v>
      </c>
      <c r="BU19" s="2" t="s">
        <v>163</v>
      </c>
      <c r="BV19" s="1" t="s">
        <v>600</v>
      </c>
      <c r="BW19" s="1" t="s">
        <v>163</v>
      </c>
      <c r="BX19" s="1" t="s">
        <v>601</v>
      </c>
    </row>
    <row r="20" spans="1:76">
      <c r="A20" s="2" t="s">
        <v>1</v>
      </c>
      <c r="B20" s="2">
        <v>20</v>
      </c>
      <c r="C20" s="2" t="s">
        <v>165</v>
      </c>
      <c r="D20" s="2">
        <v>18.510000000000002</v>
      </c>
      <c r="E20" s="2" t="s">
        <v>165</v>
      </c>
      <c r="F20" s="2">
        <v>32.869999999999997</v>
      </c>
      <c r="G20" s="2" t="s">
        <v>165</v>
      </c>
      <c r="H20" s="2">
        <v>46.6</v>
      </c>
      <c r="I20" s="2" t="s">
        <v>165</v>
      </c>
      <c r="J20" s="2">
        <v>13.5</v>
      </c>
      <c r="K20" s="2" t="s">
        <v>165</v>
      </c>
      <c r="L20" s="2">
        <v>19.670000000000002</v>
      </c>
      <c r="M20" s="2" t="s">
        <v>165</v>
      </c>
      <c r="N20" s="2">
        <v>13.32</v>
      </c>
      <c r="O20" s="2" t="s">
        <v>165</v>
      </c>
      <c r="P20" s="2">
        <v>31.57</v>
      </c>
      <c r="Q20" s="2" t="s">
        <v>165</v>
      </c>
      <c r="R20" s="2">
        <v>24.9</v>
      </c>
      <c r="S20" s="2" t="s">
        <v>165</v>
      </c>
      <c r="T20" s="2">
        <v>18.73</v>
      </c>
      <c r="U20" s="2" t="s">
        <v>165</v>
      </c>
      <c r="V20" s="2">
        <v>5.27</v>
      </c>
      <c r="W20" s="2" t="s">
        <v>165</v>
      </c>
      <c r="X20" s="2" t="s">
        <v>75</v>
      </c>
      <c r="Y20" s="2" t="s">
        <v>165</v>
      </c>
      <c r="Z20" s="2">
        <v>28.43</v>
      </c>
      <c r="AA20" s="2" t="s">
        <v>165</v>
      </c>
      <c r="AB20" s="2">
        <v>26.07</v>
      </c>
      <c r="AC20" s="2" t="s">
        <v>165</v>
      </c>
      <c r="AD20" s="2">
        <v>19.82</v>
      </c>
      <c r="AE20" s="2" t="s">
        <v>165</v>
      </c>
      <c r="AF20" s="2">
        <v>34.299999999999997</v>
      </c>
      <c r="AG20" s="2" t="s">
        <v>165</v>
      </c>
      <c r="AH20" s="2">
        <v>51.76</v>
      </c>
      <c r="AI20" s="2" t="s">
        <v>165</v>
      </c>
      <c r="AJ20" s="2">
        <v>46.39</v>
      </c>
      <c r="AK20" s="2" t="s">
        <v>165</v>
      </c>
      <c r="AL20" s="2">
        <v>7.2</v>
      </c>
      <c r="AM20" s="2" t="s">
        <v>165</v>
      </c>
      <c r="AN20" s="2">
        <v>93.3</v>
      </c>
      <c r="AO20" s="2" t="s">
        <v>165</v>
      </c>
      <c r="AP20" s="2">
        <v>119.71</v>
      </c>
      <c r="AQ20" s="2" t="s">
        <v>165</v>
      </c>
      <c r="AR20" s="2">
        <v>11.79</v>
      </c>
      <c r="AS20" s="2" t="s">
        <v>165</v>
      </c>
      <c r="AT20" s="2" t="s">
        <v>201</v>
      </c>
      <c r="AU20" s="2" t="s">
        <v>165</v>
      </c>
      <c r="AV20" s="2">
        <v>143.88</v>
      </c>
      <c r="AW20" s="2" t="s">
        <v>165</v>
      </c>
      <c r="AX20" s="2">
        <v>119.35</v>
      </c>
      <c r="AY20" s="2" t="s">
        <v>165</v>
      </c>
      <c r="AZ20" s="2">
        <v>3.99</v>
      </c>
      <c r="BA20" s="2" t="s">
        <v>165</v>
      </c>
      <c r="BB20" s="2">
        <v>158.19</v>
      </c>
      <c r="BC20" s="2" t="s">
        <v>165</v>
      </c>
      <c r="BD20" s="2">
        <v>16.920000000000002</v>
      </c>
      <c r="BE20" s="2" t="s">
        <v>165</v>
      </c>
      <c r="BF20" s="2">
        <v>13.08</v>
      </c>
      <c r="BG20" s="2" t="s">
        <v>165</v>
      </c>
      <c r="BH20" s="2">
        <v>38.31</v>
      </c>
      <c r="BI20" s="2" t="s">
        <v>165</v>
      </c>
      <c r="BJ20" s="2">
        <v>152.19999999999999</v>
      </c>
      <c r="BK20" s="2" t="s">
        <v>165</v>
      </c>
      <c r="BL20" s="2">
        <v>22.58</v>
      </c>
      <c r="BM20" s="2" t="s">
        <v>165</v>
      </c>
      <c r="BN20" s="2">
        <v>40.75</v>
      </c>
      <c r="BO20" s="2" t="s">
        <v>165</v>
      </c>
      <c r="BP20" s="2">
        <v>27.52</v>
      </c>
      <c r="BQ20" s="2" t="s">
        <v>165</v>
      </c>
      <c r="BR20" s="2">
        <v>17.899999999999999</v>
      </c>
      <c r="BS20" s="2" t="s">
        <v>165</v>
      </c>
      <c r="BT20" s="2">
        <v>12.73</v>
      </c>
      <c r="BU20" s="2" t="s">
        <v>165</v>
      </c>
      <c r="BV20" s="1" t="s">
        <v>602</v>
      </c>
      <c r="BW20" s="1" t="s">
        <v>165</v>
      </c>
      <c r="BX20" s="1" t="s">
        <v>603</v>
      </c>
    </row>
    <row r="21" spans="1:76">
      <c r="A21" s="2" t="s">
        <v>1</v>
      </c>
      <c r="B21" s="2">
        <v>21</v>
      </c>
      <c r="C21" s="2" t="s">
        <v>166</v>
      </c>
      <c r="D21" s="2">
        <v>18.670000000000002</v>
      </c>
      <c r="E21" s="2" t="s">
        <v>166</v>
      </c>
      <c r="F21" s="2">
        <v>32.53</v>
      </c>
      <c r="G21" s="2" t="s">
        <v>166</v>
      </c>
      <c r="H21" s="2">
        <v>46.95</v>
      </c>
      <c r="I21" s="2" t="s">
        <v>166</v>
      </c>
      <c r="J21" s="2">
        <v>13.16</v>
      </c>
      <c r="K21" s="2" t="s">
        <v>166</v>
      </c>
      <c r="L21" s="2">
        <v>19.55</v>
      </c>
      <c r="M21" s="2" t="s">
        <v>166</v>
      </c>
      <c r="N21" s="2">
        <v>13.3</v>
      </c>
      <c r="O21" s="2" t="s">
        <v>166</v>
      </c>
      <c r="P21" s="2">
        <v>31.68</v>
      </c>
      <c r="Q21" s="2" t="s">
        <v>166</v>
      </c>
      <c r="R21" s="2">
        <v>24.76</v>
      </c>
      <c r="S21" s="2" t="s">
        <v>166</v>
      </c>
      <c r="T21" s="2">
        <v>18.8</v>
      </c>
      <c r="U21" s="2" t="s">
        <v>166</v>
      </c>
      <c r="V21" s="2">
        <v>5.17</v>
      </c>
      <c r="W21" s="2" t="s">
        <v>166</v>
      </c>
      <c r="X21" s="2">
        <v>105.01</v>
      </c>
      <c r="Y21" s="2" t="s">
        <v>166</v>
      </c>
      <c r="Z21" s="2">
        <v>28.38</v>
      </c>
      <c r="AA21" s="2" t="s">
        <v>166</v>
      </c>
      <c r="AB21" s="2">
        <v>25.95</v>
      </c>
      <c r="AC21" s="2" t="s">
        <v>166</v>
      </c>
      <c r="AD21" s="2">
        <v>20.05</v>
      </c>
      <c r="AE21" s="2" t="s">
        <v>166</v>
      </c>
      <c r="AF21" s="2">
        <v>34.700000000000003</v>
      </c>
      <c r="AG21" s="2" t="s">
        <v>166</v>
      </c>
      <c r="AH21" s="2">
        <v>50.65</v>
      </c>
      <c r="AI21" s="2" t="s">
        <v>166</v>
      </c>
      <c r="AJ21" s="2">
        <v>45.4</v>
      </c>
      <c r="AK21" s="2" t="s">
        <v>166</v>
      </c>
      <c r="AL21" s="2">
        <v>7.08</v>
      </c>
      <c r="AM21" s="2" t="s">
        <v>166</v>
      </c>
      <c r="AN21" s="2">
        <v>92.78</v>
      </c>
      <c r="AO21" s="2" t="s">
        <v>166</v>
      </c>
      <c r="AP21" s="2">
        <v>119.29</v>
      </c>
      <c r="AQ21" s="2" t="s">
        <v>166</v>
      </c>
      <c r="AR21" s="2">
        <v>11.78</v>
      </c>
      <c r="AS21" s="2" t="s">
        <v>166</v>
      </c>
      <c r="AT21" s="2" t="s">
        <v>202</v>
      </c>
      <c r="AU21" s="2" t="s">
        <v>166</v>
      </c>
      <c r="AV21" s="2">
        <v>143.28</v>
      </c>
      <c r="AW21" s="2" t="s">
        <v>166</v>
      </c>
      <c r="AX21" s="2">
        <v>119.68</v>
      </c>
      <c r="AY21" s="2" t="s">
        <v>166</v>
      </c>
      <c r="AZ21" s="2">
        <v>4.25</v>
      </c>
      <c r="BA21" s="2" t="s">
        <v>166</v>
      </c>
      <c r="BB21" s="2">
        <v>158.59</v>
      </c>
      <c r="BC21" s="2" t="s">
        <v>166</v>
      </c>
      <c r="BD21" s="2">
        <v>16.670000000000002</v>
      </c>
      <c r="BE21" s="2" t="s">
        <v>166</v>
      </c>
      <c r="BF21" s="2">
        <v>12.73</v>
      </c>
      <c r="BG21" s="2" t="s">
        <v>166</v>
      </c>
      <c r="BH21" s="2">
        <v>38.68</v>
      </c>
      <c r="BI21" s="2" t="s">
        <v>166</v>
      </c>
      <c r="BJ21" s="2">
        <v>152.46</v>
      </c>
      <c r="BK21" s="2" t="s">
        <v>166</v>
      </c>
      <c r="BL21" s="2" t="s">
        <v>79</v>
      </c>
      <c r="BM21" s="2" t="s">
        <v>166</v>
      </c>
      <c r="BN21" s="2">
        <v>42.53</v>
      </c>
      <c r="BO21" s="2" t="s">
        <v>166</v>
      </c>
      <c r="BP21" s="2">
        <v>27.35</v>
      </c>
      <c r="BQ21" s="2" t="s">
        <v>166</v>
      </c>
      <c r="BR21" s="2">
        <v>18.27</v>
      </c>
      <c r="BS21" s="2" t="s">
        <v>166</v>
      </c>
      <c r="BT21" s="2">
        <v>12.65</v>
      </c>
      <c r="BU21" s="2" t="s">
        <v>166</v>
      </c>
      <c r="BV21" s="1" t="s">
        <v>604</v>
      </c>
      <c r="BW21" s="1" t="s">
        <v>166</v>
      </c>
      <c r="BX21" s="1" t="s">
        <v>605</v>
      </c>
    </row>
    <row r="22" spans="1:76">
      <c r="A22" s="2" t="s">
        <v>1</v>
      </c>
      <c r="B22" s="2">
        <v>22</v>
      </c>
      <c r="C22" s="2" t="s">
        <v>168</v>
      </c>
      <c r="D22" s="2">
        <v>18.16</v>
      </c>
      <c r="E22" s="2" t="s">
        <v>168</v>
      </c>
      <c r="F22" s="2">
        <v>32.49</v>
      </c>
      <c r="G22" s="2" t="s">
        <v>168</v>
      </c>
      <c r="H22" s="2">
        <v>46.73</v>
      </c>
      <c r="I22" s="2" t="s">
        <v>168</v>
      </c>
      <c r="J22" s="2">
        <v>13.12</v>
      </c>
      <c r="K22" s="2" t="s">
        <v>168</v>
      </c>
      <c r="L22" s="2">
        <v>19.07</v>
      </c>
      <c r="M22" s="2" t="s">
        <v>168</v>
      </c>
      <c r="N22" s="2">
        <v>12.9</v>
      </c>
      <c r="O22" s="2" t="s">
        <v>168</v>
      </c>
      <c r="P22" s="2">
        <v>30.74</v>
      </c>
      <c r="Q22" s="2" t="s">
        <v>168</v>
      </c>
      <c r="R22" s="2">
        <v>24.9</v>
      </c>
      <c r="S22" s="2" t="s">
        <v>168</v>
      </c>
      <c r="T22" s="2">
        <v>18.600000000000001</v>
      </c>
      <c r="U22" s="2" t="s">
        <v>168</v>
      </c>
      <c r="V22" s="2">
        <v>5.18</v>
      </c>
      <c r="W22" s="2" t="s">
        <v>168</v>
      </c>
      <c r="X22" s="2">
        <v>108.19</v>
      </c>
      <c r="Y22" s="2" t="s">
        <v>168</v>
      </c>
      <c r="Z22" s="2">
        <v>28.1</v>
      </c>
      <c r="AA22" s="2" t="s">
        <v>168</v>
      </c>
      <c r="AB22" s="2">
        <v>25.7</v>
      </c>
      <c r="AC22" s="2" t="s">
        <v>168</v>
      </c>
      <c r="AD22" s="2">
        <v>20.04</v>
      </c>
      <c r="AE22" s="2" t="s">
        <v>168</v>
      </c>
      <c r="AF22" s="2">
        <v>34.1</v>
      </c>
      <c r="AG22" s="2" t="s">
        <v>168</v>
      </c>
      <c r="AH22" s="2">
        <v>50.49</v>
      </c>
      <c r="AI22" s="2" t="s">
        <v>168</v>
      </c>
      <c r="AJ22" s="2">
        <v>44.96</v>
      </c>
      <c r="AK22" s="2" t="s">
        <v>168</v>
      </c>
      <c r="AL22" s="2" t="s">
        <v>94</v>
      </c>
      <c r="AM22" s="2" t="s">
        <v>168</v>
      </c>
      <c r="AN22" s="2">
        <v>93.5</v>
      </c>
      <c r="AO22" s="2" t="s">
        <v>168</v>
      </c>
      <c r="AP22" s="2">
        <v>117.42</v>
      </c>
      <c r="AQ22" s="2" t="s">
        <v>168</v>
      </c>
      <c r="AR22" s="2">
        <v>11.77</v>
      </c>
      <c r="AS22" s="2" t="s">
        <v>168</v>
      </c>
      <c r="AT22" s="2" t="s">
        <v>200</v>
      </c>
      <c r="AU22" s="2" t="s">
        <v>168</v>
      </c>
      <c r="AV22" s="2">
        <v>141.97999999999999</v>
      </c>
      <c r="AW22" s="2" t="s">
        <v>168</v>
      </c>
      <c r="AX22" s="2">
        <v>119.89</v>
      </c>
      <c r="AY22" s="2" t="s">
        <v>168</v>
      </c>
      <c r="AZ22" s="2">
        <v>4.2</v>
      </c>
      <c r="BA22" s="2" t="s">
        <v>168</v>
      </c>
      <c r="BB22" s="2">
        <v>158.69999999999999</v>
      </c>
      <c r="BC22" s="2" t="s">
        <v>168</v>
      </c>
      <c r="BD22" s="2">
        <v>16.489999999999998</v>
      </c>
      <c r="BE22" s="2" t="s">
        <v>168</v>
      </c>
      <c r="BF22" s="2" t="s">
        <v>64</v>
      </c>
      <c r="BG22" s="2" t="s">
        <v>168</v>
      </c>
      <c r="BH22" s="2">
        <v>38.4</v>
      </c>
      <c r="BI22" s="2" t="s">
        <v>168</v>
      </c>
      <c r="BJ22" s="2">
        <v>150.01</v>
      </c>
      <c r="BK22" s="2" t="s">
        <v>168</v>
      </c>
      <c r="BL22" s="2">
        <v>22.79</v>
      </c>
      <c r="BM22" s="2" t="s">
        <v>168</v>
      </c>
      <c r="BN22" s="2">
        <v>41.9</v>
      </c>
      <c r="BO22" s="2" t="s">
        <v>168</v>
      </c>
      <c r="BP22" s="2">
        <v>26.89</v>
      </c>
      <c r="BQ22" s="2" t="s">
        <v>168</v>
      </c>
      <c r="BR22" s="2">
        <v>17.8</v>
      </c>
      <c r="BS22" s="2" t="s">
        <v>168</v>
      </c>
      <c r="BT22" s="2">
        <v>12.64</v>
      </c>
      <c r="BU22" s="2" t="s">
        <v>168</v>
      </c>
      <c r="BV22" s="1" t="s">
        <v>606</v>
      </c>
      <c r="BW22" s="1" t="s">
        <v>168</v>
      </c>
      <c r="BX22" s="1" t="s">
        <v>568</v>
      </c>
    </row>
    <row r="23" spans="1:76">
      <c r="A23" s="2" t="s">
        <v>1</v>
      </c>
      <c r="B23" s="2">
        <v>23</v>
      </c>
      <c r="C23" s="2" t="s">
        <v>169</v>
      </c>
      <c r="D23" s="2">
        <v>18.3</v>
      </c>
      <c r="E23" s="2" t="s">
        <v>169</v>
      </c>
      <c r="F23" s="2">
        <v>32.6</v>
      </c>
      <c r="G23" s="2" t="s">
        <v>169</v>
      </c>
      <c r="H23" s="2">
        <v>47.81</v>
      </c>
      <c r="I23" s="2" t="s">
        <v>169</v>
      </c>
      <c r="J23" s="2">
        <v>12.99</v>
      </c>
      <c r="K23" s="2" t="s">
        <v>169</v>
      </c>
      <c r="L23" s="2">
        <v>19.260000000000002</v>
      </c>
      <c r="M23" s="2" t="s">
        <v>169</v>
      </c>
      <c r="N23" s="2">
        <v>13.01</v>
      </c>
      <c r="O23" s="2" t="s">
        <v>169</v>
      </c>
      <c r="P23" s="2">
        <v>31.1</v>
      </c>
      <c r="Q23" s="2" t="s">
        <v>169</v>
      </c>
      <c r="R23" s="2">
        <v>24.8</v>
      </c>
      <c r="S23" s="2" t="s">
        <v>169</v>
      </c>
      <c r="T23" s="2">
        <v>19.329999999999998</v>
      </c>
      <c r="U23" s="2" t="s">
        <v>169</v>
      </c>
      <c r="V23" s="2">
        <v>5.2</v>
      </c>
      <c r="W23" s="2" t="s">
        <v>169</v>
      </c>
      <c r="X23" s="2" t="s">
        <v>121</v>
      </c>
      <c r="Y23" s="2" t="s">
        <v>169</v>
      </c>
      <c r="Z23" s="2">
        <v>27.88</v>
      </c>
      <c r="AA23" s="2" t="s">
        <v>169</v>
      </c>
      <c r="AB23" s="2">
        <v>24.75</v>
      </c>
      <c r="AC23" s="2" t="s">
        <v>169</v>
      </c>
      <c r="AD23" s="2">
        <v>19.899999999999999</v>
      </c>
      <c r="AE23" s="2" t="s">
        <v>169</v>
      </c>
      <c r="AF23" s="2">
        <v>33.86</v>
      </c>
      <c r="AG23" s="2" t="s">
        <v>169</v>
      </c>
      <c r="AH23" s="2">
        <v>50.23</v>
      </c>
      <c r="AI23" s="2" t="s">
        <v>169</v>
      </c>
      <c r="AJ23" s="2">
        <v>44.7</v>
      </c>
      <c r="AK23" s="2" t="s">
        <v>169</v>
      </c>
      <c r="AL23" s="2">
        <v>6.95</v>
      </c>
      <c r="AM23" s="2" t="s">
        <v>169</v>
      </c>
      <c r="AN23" s="2">
        <v>93.9</v>
      </c>
      <c r="AO23" s="2" t="s">
        <v>169</v>
      </c>
      <c r="AP23" s="2">
        <v>118.23</v>
      </c>
      <c r="AQ23" s="2" t="s">
        <v>169</v>
      </c>
      <c r="AR23" s="2">
        <v>11.81</v>
      </c>
      <c r="AS23" s="2" t="s">
        <v>169</v>
      </c>
      <c r="AT23" s="2">
        <v>1230.5</v>
      </c>
      <c r="AU23" s="2" t="s">
        <v>169</v>
      </c>
      <c r="AV23" s="2">
        <v>143.12</v>
      </c>
      <c r="AW23" s="2" t="s">
        <v>169</v>
      </c>
      <c r="AX23" s="2" t="s">
        <v>102</v>
      </c>
      <c r="AY23" s="2" t="s">
        <v>169</v>
      </c>
      <c r="AZ23" s="2">
        <v>4.03</v>
      </c>
      <c r="BA23" s="2" t="s">
        <v>169</v>
      </c>
      <c r="BB23" s="2">
        <v>158.9</v>
      </c>
      <c r="BC23" s="2" t="s">
        <v>169</v>
      </c>
      <c r="BD23" s="2">
        <v>16.39</v>
      </c>
      <c r="BE23" s="2" t="s">
        <v>169</v>
      </c>
      <c r="BF23" s="2">
        <v>13.08</v>
      </c>
      <c r="BG23" s="2" t="s">
        <v>169</v>
      </c>
      <c r="BH23" s="2">
        <v>38.049999999999997</v>
      </c>
      <c r="BI23" s="2" t="s">
        <v>169</v>
      </c>
      <c r="BJ23" s="2" t="s">
        <v>119</v>
      </c>
      <c r="BK23" s="2" t="s">
        <v>169</v>
      </c>
      <c r="BL23" s="2">
        <v>23.36</v>
      </c>
      <c r="BM23" s="2" t="s">
        <v>169</v>
      </c>
      <c r="BN23" s="2">
        <v>42.14</v>
      </c>
      <c r="BO23" s="2" t="s">
        <v>169</v>
      </c>
      <c r="BP23" s="2">
        <v>26.14</v>
      </c>
      <c r="BQ23" s="2" t="s">
        <v>169</v>
      </c>
      <c r="BR23" s="2">
        <v>17.760000000000002</v>
      </c>
      <c r="BS23" s="2" t="s">
        <v>169</v>
      </c>
      <c r="BT23" s="2">
        <v>12.6</v>
      </c>
      <c r="BU23" s="2" t="s">
        <v>169</v>
      </c>
      <c r="BV23" s="1" t="s">
        <v>607</v>
      </c>
      <c r="BW23" s="1" t="s">
        <v>169</v>
      </c>
      <c r="BX23" s="1" t="s">
        <v>81</v>
      </c>
    </row>
    <row r="24" spans="1:76">
      <c r="A24" s="2" t="s">
        <v>1</v>
      </c>
      <c r="B24" s="2">
        <v>24</v>
      </c>
      <c r="C24" s="2" t="s">
        <v>170</v>
      </c>
      <c r="D24" s="2">
        <v>18.3</v>
      </c>
      <c r="E24" s="2" t="s">
        <v>170</v>
      </c>
      <c r="F24" s="2">
        <v>32.61</v>
      </c>
      <c r="G24" s="2" t="s">
        <v>170</v>
      </c>
      <c r="H24" s="2">
        <v>48.53</v>
      </c>
      <c r="I24" s="2" t="s">
        <v>170</v>
      </c>
      <c r="J24" s="2">
        <v>12.79</v>
      </c>
      <c r="K24" s="2" t="s">
        <v>170</v>
      </c>
      <c r="L24" s="2">
        <v>19.3</v>
      </c>
      <c r="M24" s="2" t="s">
        <v>170</v>
      </c>
      <c r="N24" s="2">
        <v>12.99</v>
      </c>
      <c r="O24" s="2" t="s">
        <v>170</v>
      </c>
      <c r="P24" s="2">
        <v>31.12</v>
      </c>
      <c r="Q24" s="2" t="s">
        <v>170</v>
      </c>
      <c r="R24" s="2">
        <v>24.81</v>
      </c>
      <c r="S24" s="2" t="s">
        <v>170</v>
      </c>
      <c r="T24" s="2">
        <v>19.59</v>
      </c>
      <c r="U24" s="2" t="s">
        <v>170</v>
      </c>
      <c r="V24" s="2">
        <v>5.18</v>
      </c>
      <c r="W24" s="2" t="s">
        <v>170</v>
      </c>
      <c r="X24" s="2">
        <v>110.4</v>
      </c>
      <c r="Y24" s="2" t="s">
        <v>170</v>
      </c>
      <c r="Z24" s="2">
        <v>27.68</v>
      </c>
      <c r="AA24" s="2" t="s">
        <v>170</v>
      </c>
      <c r="AB24" s="2">
        <v>24.46</v>
      </c>
      <c r="AC24" s="2" t="s">
        <v>170</v>
      </c>
      <c r="AD24" s="2">
        <v>19.989999999999998</v>
      </c>
      <c r="AE24" s="2" t="s">
        <v>170</v>
      </c>
      <c r="AF24" s="2">
        <v>33.36</v>
      </c>
      <c r="AG24" s="2" t="s">
        <v>170</v>
      </c>
      <c r="AH24" s="2">
        <v>50.26</v>
      </c>
      <c r="AI24" s="2" t="s">
        <v>170</v>
      </c>
      <c r="AJ24" s="2">
        <v>44.27</v>
      </c>
      <c r="AK24" s="2" t="s">
        <v>170</v>
      </c>
      <c r="AL24" s="2">
        <v>6.82</v>
      </c>
      <c r="AM24" s="2" t="s">
        <v>170</v>
      </c>
      <c r="AN24" s="2" t="s">
        <v>115</v>
      </c>
      <c r="AO24" s="2" t="s">
        <v>170</v>
      </c>
      <c r="AP24" s="2">
        <v>116.9</v>
      </c>
      <c r="AQ24" s="2" t="s">
        <v>170</v>
      </c>
      <c r="AR24" s="2">
        <v>11.84</v>
      </c>
      <c r="AS24" s="2" t="s">
        <v>170</v>
      </c>
      <c r="AT24" s="2">
        <v>1225.01</v>
      </c>
      <c r="AU24" s="2" t="s">
        <v>170</v>
      </c>
      <c r="AV24" s="2" t="s">
        <v>108</v>
      </c>
      <c r="AW24" s="2" t="s">
        <v>170</v>
      </c>
      <c r="AX24" s="2">
        <v>120.37</v>
      </c>
      <c r="AY24" s="2" t="s">
        <v>170</v>
      </c>
      <c r="AZ24" s="2">
        <v>4.1500000000000004</v>
      </c>
      <c r="BA24" s="2" t="s">
        <v>170</v>
      </c>
      <c r="BB24" s="2">
        <v>159.75</v>
      </c>
      <c r="BC24" s="2" t="s">
        <v>170</v>
      </c>
      <c r="BD24" s="2">
        <v>16.62</v>
      </c>
      <c r="BE24" s="2" t="s">
        <v>170</v>
      </c>
      <c r="BF24" s="2">
        <v>12.92</v>
      </c>
      <c r="BG24" s="2" t="s">
        <v>170</v>
      </c>
      <c r="BH24" s="2">
        <v>39.08</v>
      </c>
      <c r="BI24" s="2" t="s">
        <v>170</v>
      </c>
      <c r="BJ24" s="2">
        <v>152.65</v>
      </c>
      <c r="BK24" s="2" t="s">
        <v>170</v>
      </c>
      <c r="BL24" s="2">
        <v>23.58</v>
      </c>
      <c r="BM24" s="2" t="s">
        <v>170</v>
      </c>
      <c r="BN24" s="2">
        <v>42.62</v>
      </c>
      <c r="BO24" s="2" t="s">
        <v>170</v>
      </c>
      <c r="BP24" s="2">
        <v>26.38</v>
      </c>
      <c r="BQ24" s="2" t="s">
        <v>170</v>
      </c>
      <c r="BR24" s="2">
        <v>17.66</v>
      </c>
      <c r="BS24" s="2" t="s">
        <v>170</v>
      </c>
      <c r="BT24" s="2">
        <v>12.55</v>
      </c>
      <c r="BU24" s="2" t="s">
        <v>170</v>
      </c>
      <c r="BV24" s="1" t="s">
        <v>608</v>
      </c>
      <c r="BW24" s="1" t="s">
        <v>170</v>
      </c>
      <c r="BX24" s="1" t="s">
        <v>609</v>
      </c>
    </row>
    <row r="25" spans="1:76">
      <c r="A25" s="2" t="s">
        <v>1</v>
      </c>
      <c r="B25" s="2">
        <v>25</v>
      </c>
      <c r="C25" s="2" t="s">
        <v>171</v>
      </c>
      <c r="D25" s="2">
        <v>18.260000000000002</v>
      </c>
      <c r="E25" s="2" t="s">
        <v>171</v>
      </c>
      <c r="F25" s="2">
        <v>32.520000000000003</v>
      </c>
      <c r="G25" s="2" t="s">
        <v>171</v>
      </c>
      <c r="H25" s="2">
        <v>48.85</v>
      </c>
      <c r="I25" s="2" t="s">
        <v>171</v>
      </c>
      <c r="J25" s="2">
        <v>13.22</v>
      </c>
      <c r="K25" s="2" t="s">
        <v>171</v>
      </c>
      <c r="L25" s="2">
        <v>19.28</v>
      </c>
      <c r="M25" s="2" t="s">
        <v>171</v>
      </c>
      <c r="N25" s="2">
        <v>12.78</v>
      </c>
      <c r="O25" s="2" t="s">
        <v>171</v>
      </c>
      <c r="P25" s="2">
        <v>30.37</v>
      </c>
      <c r="Q25" s="2" t="s">
        <v>171</v>
      </c>
      <c r="R25" s="2">
        <v>24.8</v>
      </c>
      <c r="S25" s="2" t="s">
        <v>171</v>
      </c>
      <c r="T25" s="2">
        <v>20.059999999999999</v>
      </c>
      <c r="U25" s="2" t="s">
        <v>171</v>
      </c>
      <c r="V25" s="2">
        <v>5.3</v>
      </c>
      <c r="W25" s="2" t="s">
        <v>171</v>
      </c>
      <c r="X25" s="2">
        <v>112.1</v>
      </c>
      <c r="Y25" s="2" t="s">
        <v>171</v>
      </c>
      <c r="Z25" s="2">
        <v>27.97</v>
      </c>
      <c r="AA25" s="2" t="s">
        <v>171</v>
      </c>
      <c r="AB25" s="2">
        <v>24.5</v>
      </c>
      <c r="AC25" s="2" t="s">
        <v>171</v>
      </c>
      <c r="AD25" s="2">
        <v>20.11</v>
      </c>
      <c r="AE25" s="2" t="s">
        <v>171</v>
      </c>
      <c r="AF25" s="2">
        <v>33.75</v>
      </c>
      <c r="AG25" s="2" t="s">
        <v>171</v>
      </c>
      <c r="AH25" s="2">
        <v>50.01</v>
      </c>
      <c r="AI25" s="2" t="s">
        <v>171</v>
      </c>
      <c r="AJ25" s="2">
        <v>44.2</v>
      </c>
      <c r="AK25" s="2" t="s">
        <v>171</v>
      </c>
      <c r="AL25" s="2">
        <v>6.99</v>
      </c>
      <c r="AM25" s="2" t="s">
        <v>171</v>
      </c>
      <c r="AN25" s="2">
        <v>94.5</v>
      </c>
      <c r="AO25" s="2" t="s">
        <v>171</v>
      </c>
      <c r="AP25" s="2">
        <v>115.95</v>
      </c>
      <c r="AQ25" s="2" t="s">
        <v>171</v>
      </c>
      <c r="AR25" s="2">
        <v>11.93</v>
      </c>
      <c r="AS25" s="2" t="s">
        <v>171</v>
      </c>
      <c r="AT25" s="2">
        <v>1224.5</v>
      </c>
      <c r="AU25" s="2" t="s">
        <v>171</v>
      </c>
      <c r="AV25" s="2">
        <v>144.32</v>
      </c>
      <c r="AW25" s="2" t="s">
        <v>171</v>
      </c>
      <c r="AX25" s="2">
        <v>120.45</v>
      </c>
      <c r="AY25" s="2" t="s">
        <v>171</v>
      </c>
      <c r="AZ25" s="2">
        <v>4.1399999999999997</v>
      </c>
      <c r="BA25" s="2" t="s">
        <v>171</v>
      </c>
      <c r="BB25" s="2">
        <v>159.80000000000001</v>
      </c>
      <c r="BC25" s="2" t="s">
        <v>171</v>
      </c>
      <c r="BD25" s="2">
        <v>16.66</v>
      </c>
      <c r="BE25" s="2" t="s">
        <v>171</v>
      </c>
      <c r="BF25" s="2">
        <v>12.65</v>
      </c>
      <c r="BG25" s="2" t="s">
        <v>171</v>
      </c>
      <c r="BH25" s="2">
        <v>39.479999999999997</v>
      </c>
      <c r="BI25" s="2" t="s">
        <v>171</v>
      </c>
      <c r="BJ25" s="2">
        <v>152.85</v>
      </c>
      <c r="BK25" s="2" t="s">
        <v>171</v>
      </c>
      <c r="BL25" s="2" t="s">
        <v>47</v>
      </c>
      <c r="BM25" s="2" t="s">
        <v>171</v>
      </c>
      <c r="BN25" s="2">
        <v>43.13</v>
      </c>
      <c r="BO25" s="2" t="s">
        <v>171</v>
      </c>
      <c r="BP25" s="2">
        <v>26.24</v>
      </c>
      <c r="BQ25" s="2" t="s">
        <v>171</v>
      </c>
      <c r="BR25" s="2">
        <v>17.84</v>
      </c>
      <c r="BS25" s="2" t="s">
        <v>171</v>
      </c>
      <c r="BT25" s="2">
        <v>12.79</v>
      </c>
      <c r="BU25" s="2" t="s">
        <v>171</v>
      </c>
      <c r="BV25" s="1" t="s">
        <v>610</v>
      </c>
      <c r="BW25" s="1" t="s">
        <v>171</v>
      </c>
      <c r="BX25" s="1" t="s">
        <v>611</v>
      </c>
    </row>
    <row r="26" spans="1:76">
      <c r="A26" s="2" t="s">
        <v>1</v>
      </c>
      <c r="B26" s="2">
        <v>26</v>
      </c>
      <c r="C26" s="2" t="s">
        <v>172</v>
      </c>
      <c r="D26" s="2">
        <v>17.93</v>
      </c>
      <c r="E26" s="2" t="s">
        <v>172</v>
      </c>
      <c r="F26" s="2">
        <v>32.450000000000003</v>
      </c>
      <c r="G26" s="2" t="s">
        <v>172</v>
      </c>
      <c r="H26" s="2">
        <v>48.27</v>
      </c>
      <c r="I26" s="2" t="s">
        <v>172</v>
      </c>
      <c r="J26" s="2">
        <v>13.25</v>
      </c>
      <c r="K26" s="2" t="s">
        <v>172</v>
      </c>
      <c r="L26" s="2">
        <v>19.29</v>
      </c>
      <c r="M26" s="2" t="s">
        <v>172</v>
      </c>
      <c r="N26" s="2">
        <v>12.47</v>
      </c>
      <c r="O26" s="2" t="s">
        <v>172</v>
      </c>
      <c r="P26" s="2">
        <v>29.9</v>
      </c>
      <c r="Q26" s="2" t="s">
        <v>172</v>
      </c>
      <c r="R26" s="2">
        <v>24.63</v>
      </c>
      <c r="S26" s="2" t="s">
        <v>172</v>
      </c>
      <c r="T26" s="2">
        <v>20.28</v>
      </c>
      <c r="U26" s="2" t="s">
        <v>172</v>
      </c>
      <c r="V26" s="2">
        <v>5.31</v>
      </c>
      <c r="W26" s="2" t="s">
        <v>172</v>
      </c>
      <c r="X26" s="2" t="s">
        <v>99</v>
      </c>
      <c r="Y26" s="2" t="s">
        <v>172</v>
      </c>
      <c r="Z26" s="2">
        <v>27.82</v>
      </c>
      <c r="AA26" s="2" t="s">
        <v>172</v>
      </c>
      <c r="AB26" s="2">
        <v>24.2</v>
      </c>
      <c r="AC26" s="2" t="s">
        <v>172</v>
      </c>
      <c r="AD26" s="2">
        <v>19.21</v>
      </c>
      <c r="AE26" s="2" t="s">
        <v>172</v>
      </c>
      <c r="AF26" s="2">
        <v>33.71</v>
      </c>
      <c r="AG26" s="2" t="s">
        <v>172</v>
      </c>
      <c r="AH26" s="2">
        <v>49.81</v>
      </c>
      <c r="AI26" s="2" t="s">
        <v>172</v>
      </c>
      <c r="AJ26" s="2" t="s">
        <v>83</v>
      </c>
      <c r="AK26" s="2" t="s">
        <v>172</v>
      </c>
      <c r="AL26" s="2">
        <v>7.1</v>
      </c>
      <c r="AM26" s="2" t="s">
        <v>172</v>
      </c>
      <c r="AN26" s="2">
        <v>96.99</v>
      </c>
      <c r="AO26" s="2" t="s">
        <v>172</v>
      </c>
      <c r="AP26" s="2">
        <v>116.05</v>
      </c>
      <c r="AQ26" s="2" t="s">
        <v>172</v>
      </c>
      <c r="AR26" s="2">
        <v>11.96</v>
      </c>
      <c r="AS26" s="2" t="s">
        <v>172</v>
      </c>
      <c r="AT26" s="2" t="s">
        <v>202</v>
      </c>
      <c r="AU26" s="2" t="s">
        <v>172</v>
      </c>
      <c r="AV26" s="2">
        <v>144.9</v>
      </c>
      <c r="AW26" s="2" t="s">
        <v>172</v>
      </c>
      <c r="AX26" s="2">
        <v>121.87</v>
      </c>
      <c r="AY26" s="2" t="s">
        <v>172</v>
      </c>
      <c r="AZ26" s="2">
        <v>4.25</v>
      </c>
      <c r="BA26" s="2" t="s">
        <v>172</v>
      </c>
      <c r="BB26" s="2">
        <v>159.85</v>
      </c>
      <c r="BC26" s="2" t="s">
        <v>172</v>
      </c>
      <c r="BD26" s="2">
        <v>16.670000000000002</v>
      </c>
      <c r="BE26" s="2" t="s">
        <v>172</v>
      </c>
      <c r="BF26" s="2">
        <v>12.58</v>
      </c>
      <c r="BG26" s="2" t="s">
        <v>172</v>
      </c>
      <c r="BH26" s="2">
        <v>39.130000000000003</v>
      </c>
      <c r="BI26" s="2" t="s">
        <v>172</v>
      </c>
      <c r="BJ26" s="2">
        <v>153.49</v>
      </c>
      <c r="BK26" s="2" t="s">
        <v>172</v>
      </c>
      <c r="BL26" s="2">
        <v>23.82</v>
      </c>
      <c r="BM26" s="2" t="s">
        <v>172</v>
      </c>
      <c r="BN26" s="2">
        <v>42.19</v>
      </c>
      <c r="BO26" s="2" t="s">
        <v>172</v>
      </c>
      <c r="BP26" s="2">
        <v>26.08</v>
      </c>
      <c r="BQ26" s="2" t="s">
        <v>172</v>
      </c>
      <c r="BR26" s="2">
        <v>17.600000000000001</v>
      </c>
      <c r="BS26" s="2" t="s">
        <v>172</v>
      </c>
      <c r="BT26" s="2">
        <v>12.79</v>
      </c>
      <c r="BU26" s="2" t="s">
        <v>172</v>
      </c>
      <c r="BV26" s="1" t="s">
        <v>612</v>
      </c>
      <c r="BW26" s="1" t="s">
        <v>172</v>
      </c>
      <c r="BX26" s="1" t="s">
        <v>613</v>
      </c>
    </row>
    <row r="27" spans="1:76">
      <c r="A27" s="2" t="s">
        <v>1</v>
      </c>
      <c r="B27" s="2">
        <v>27</v>
      </c>
      <c r="C27" s="2" t="s">
        <v>173</v>
      </c>
      <c r="D27" s="2">
        <v>17.7</v>
      </c>
      <c r="E27" s="2" t="s">
        <v>173</v>
      </c>
      <c r="F27" s="2">
        <v>32.18</v>
      </c>
      <c r="G27" s="2" t="s">
        <v>173</v>
      </c>
      <c r="H27" s="2">
        <v>48.1</v>
      </c>
      <c r="I27" s="2" t="s">
        <v>173</v>
      </c>
      <c r="J27" s="2">
        <v>12.7</v>
      </c>
      <c r="K27" s="2" t="s">
        <v>173</v>
      </c>
      <c r="L27" s="2">
        <v>19.600000000000001</v>
      </c>
      <c r="M27" s="2" t="s">
        <v>173</v>
      </c>
      <c r="N27" s="2">
        <v>12.55</v>
      </c>
      <c r="O27" s="2" t="s">
        <v>173</v>
      </c>
      <c r="P27" s="2">
        <v>29.99</v>
      </c>
      <c r="Q27" s="2" t="s">
        <v>173</v>
      </c>
      <c r="R27" s="2">
        <v>24.64</v>
      </c>
      <c r="S27" s="2" t="s">
        <v>173</v>
      </c>
      <c r="T27" s="2">
        <v>20.95</v>
      </c>
      <c r="U27" s="2" t="s">
        <v>173</v>
      </c>
      <c r="V27" s="2">
        <v>5.36</v>
      </c>
      <c r="W27" s="2" t="s">
        <v>173</v>
      </c>
      <c r="X27" s="2" t="s">
        <v>99</v>
      </c>
      <c r="Y27" s="2" t="s">
        <v>173</v>
      </c>
      <c r="Z27" s="2">
        <v>28.31</v>
      </c>
      <c r="AA27" s="2" t="s">
        <v>173</v>
      </c>
      <c r="AB27" s="2">
        <v>24.55</v>
      </c>
      <c r="AC27" s="2" t="s">
        <v>173</v>
      </c>
      <c r="AD27" s="2">
        <v>18.559999999999999</v>
      </c>
      <c r="AE27" s="2" t="s">
        <v>173</v>
      </c>
      <c r="AF27" s="2" t="s">
        <v>101</v>
      </c>
      <c r="AG27" s="2" t="s">
        <v>173</v>
      </c>
      <c r="AH27" s="2">
        <v>48.4</v>
      </c>
      <c r="AI27" s="2" t="s">
        <v>173</v>
      </c>
      <c r="AJ27" s="2">
        <v>45.01</v>
      </c>
      <c r="AK27" s="2" t="s">
        <v>173</v>
      </c>
      <c r="AL27" s="2">
        <v>7.06</v>
      </c>
      <c r="AM27" s="2" t="s">
        <v>173</v>
      </c>
      <c r="AN27" s="2">
        <v>97.11</v>
      </c>
      <c r="AO27" s="2" t="s">
        <v>173</v>
      </c>
      <c r="AP27" s="2" t="s">
        <v>107</v>
      </c>
      <c r="AQ27" s="2" t="s">
        <v>173</v>
      </c>
      <c r="AR27" s="2">
        <v>11.79</v>
      </c>
      <c r="AS27" s="2" t="s">
        <v>173</v>
      </c>
      <c r="AT27" s="2" t="s">
        <v>203</v>
      </c>
      <c r="AU27" s="2" t="s">
        <v>173</v>
      </c>
      <c r="AV27" s="2" t="s">
        <v>108</v>
      </c>
      <c r="AW27" s="2" t="s">
        <v>173</v>
      </c>
      <c r="AX27" s="2">
        <v>120.1</v>
      </c>
      <c r="AY27" s="2" t="s">
        <v>173</v>
      </c>
      <c r="AZ27" s="2">
        <v>4.28</v>
      </c>
      <c r="BA27" s="2" t="s">
        <v>173</v>
      </c>
      <c r="BB27" s="2">
        <v>154.97999999999999</v>
      </c>
      <c r="BC27" s="2" t="s">
        <v>173</v>
      </c>
      <c r="BD27" s="2">
        <v>17.329999999999998</v>
      </c>
      <c r="BE27" s="2" t="s">
        <v>173</v>
      </c>
      <c r="BF27" s="2">
        <v>12.88</v>
      </c>
      <c r="BG27" s="2" t="s">
        <v>173</v>
      </c>
      <c r="BH27" s="2">
        <v>39.520000000000003</v>
      </c>
      <c r="BI27" s="2" t="s">
        <v>173</v>
      </c>
      <c r="BJ27" s="2">
        <v>152.78</v>
      </c>
      <c r="BK27" s="2" t="s">
        <v>173</v>
      </c>
      <c r="BL27" s="2">
        <v>23.43</v>
      </c>
      <c r="BM27" s="2" t="s">
        <v>173</v>
      </c>
      <c r="BN27" s="2">
        <v>42.85</v>
      </c>
      <c r="BO27" s="2" t="s">
        <v>173</v>
      </c>
      <c r="BP27" s="2">
        <v>26.25</v>
      </c>
      <c r="BQ27" s="2" t="s">
        <v>173</v>
      </c>
      <c r="BR27" s="2">
        <v>17.149999999999999</v>
      </c>
      <c r="BS27" s="2" t="s">
        <v>173</v>
      </c>
      <c r="BT27" s="2">
        <v>12.74</v>
      </c>
      <c r="BU27" s="2" t="s">
        <v>173</v>
      </c>
      <c r="BV27" s="1" t="s">
        <v>614</v>
      </c>
      <c r="BW27" s="1" t="s">
        <v>173</v>
      </c>
      <c r="BX27" s="1" t="s">
        <v>615</v>
      </c>
    </row>
    <row r="28" spans="1:76">
      <c r="A28" s="2" t="s">
        <v>1</v>
      </c>
      <c r="B28" s="2">
        <v>28</v>
      </c>
      <c r="C28" s="2" t="s">
        <v>174</v>
      </c>
      <c r="D28" s="2">
        <v>17.86</v>
      </c>
      <c r="E28" s="2" t="s">
        <v>174</v>
      </c>
      <c r="F28" s="2">
        <v>32.4</v>
      </c>
      <c r="G28" s="2" t="s">
        <v>174</v>
      </c>
      <c r="H28" s="2">
        <v>48.33</v>
      </c>
      <c r="I28" s="2" t="s">
        <v>174</v>
      </c>
      <c r="J28" s="2">
        <v>12.62</v>
      </c>
      <c r="K28" s="2" t="s">
        <v>174</v>
      </c>
      <c r="L28" s="2">
        <v>19.850000000000001</v>
      </c>
      <c r="M28" s="2" t="s">
        <v>174</v>
      </c>
      <c r="N28" s="2">
        <v>12.46</v>
      </c>
      <c r="O28" s="2" t="s">
        <v>174</v>
      </c>
      <c r="P28" s="2">
        <v>29.96</v>
      </c>
      <c r="Q28" s="2" t="s">
        <v>174</v>
      </c>
      <c r="R28" s="2">
        <v>24.6</v>
      </c>
      <c r="S28" s="2" t="s">
        <v>174</v>
      </c>
      <c r="T28" s="2">
        <v>20.9</v>
      </c>
      <c r="U28" s="2" t="s">
        <v>174</v>
      </c>
      <c r="V28" s="2">
        <v>5.24</v>
      </c>
      <c r="W28" s="2" t="s">
        <v>174</v>
      </c>
      <c r="X28" s="2" t="s">
        <v>107</v>
      </c>
      <c r="Y28" s="2" t="s">
        <v>174</v>
      </c>
      <c r="Z28" s="2">
        <v>28.3</v>
      </c>
      <c r="AA28" s="2" t="s">
        <v>174</v>
      </c>
      <c r="AB28" s="2">
        <v>24.74</v>
      </c>
      <c r="AC28" s="2" t="s">
        <v>174</v>
      </c>
      <c r="AD28" s="2">
        <v>18.46</v>
      </c>
      <c r="AE28" s="2" t="s">
        <v>174</v>
      </c>
      <c r="AF28" s="2">
        <v>32.6</v>
      </c>
      <c r="AG28" s="2" t="s">
        <v>174</v>
      </c>
      <c r="AH28" s="2">
        <v>47.84</v>
      </c>
      <c r="AI28" s="2" t="s">
        <v>174</v>
      </c>
      <c r="AJ28" s="2">
        <v>45.59</v>
      </c>
      <c r="AK28" s="2" t="s">
        <v>174</v>
      </c>
      <c r="AL28" s="2">
        <v>6.97</v>
      </c>
      <c r="AM28" s="2" t="s">
        <v>174</v>
      </c>
      <c r="AN28" s="2">
        <v>98.6</v>
      </c>
      <c r="AO28" s="2" t="s">
        <v>174</v>
      </c>
      <c r="AP28" s="2">
        <v>115.78</v>
      </c>
      <c r="AQ28" s="2" t="s">
        <v>174</v>
      </c>
      <c r="AR28" s="2">
        <v>11.77</v>
      </c>
      <c r="AS28" s="2" t="s">
        <v>174</v>
      </c>
      <c r="AT28" s="2" t="s">
        <v>204</v>
      </c>
      <c r="AU28" s="2" t="s">
        <v>174</v>
      </c>
      <c r="AV28" s="2" t="s">
        <v>48</v>
      </c>
      <c r="AW28" s="2" t="s">
        <v>174</v>
      </c>
      <c r="AX28" s="2">
        <v>120.01</v>
      </c>
      <c r="AY28" s="2" t="s">
        <v>174</v>
      </c>
      <c r="AZ28" s="2">
        <v>4.28</v>
      </c>
      <c r="BA28" s="2" t="s">
        <v>174</v>
      </c>
      <c r="BB28" s="2">
        <v>154.02000000000001</v>
      </c>
      <c r="BC28" s="2" t="s">
        <v>174</v>
      </c>
      <c r="BD28" s="2">
        <v>17.13</v>
      </c>
      <c r="BE28" s="2" t="s">
        <v>174</v>
      </c>
      <c r="BF28" s="2">
        <v>12.94</v>
      </c>
      <c r="BG28" s="2" t="s">
        <v>174</v>
      </c>
      <c r="BH28" s="2">
        <v>39.6</v>
      </c>
      <c r="BI28" s="2" t="s">
        <v>174</v>
      </c>
      <c r="BJ28" s="2">
        <v>154.1</v>
      </c>
      <c r="BK28" s="2" t="s">
        <v>174</v>
      </c>
      <c r="BL28" s="2">
        <v>23.74</v>
      </c>
      <c r="BM28" s="2" t="s">
        <v>174</v>
      </c>
      <c r="BN28" s="2">
        <v>43.12</v>
      </c>
      <c r="BO28" s="2" t="s">
        <v>174</v>
      </c>
      <c r="BP28" s="2">
        <v>26.52</v>
      </c>
      <c r="BQ28" s="2" t="s">
        <v>174</v>
      </c>
      <c r="BR28" s="2">
        <v>17.8</v>
      </c>
      <c r="BS28" s="2" t="s">
        <v>174</v>
      </c>
      <c r="BT28" s="2">
        <v>12.79</v>
      </c>
      <c r="BU28" s="2" t="s">
        <v>174</v>
      </c>
      <c r="BV28" s="1" t="s">
        <v>616</v>
      </c>
      <c r="BW28" s="1" t="s">
        <v>174</v>
      </c>
      <c r="BX28" s="1" t="s">
        <v>617</v>
      </c>
    </row>
    <row r="29" spans="1:76">
      <c r="A29" s="2" t="s">
        <v>1</v>
      </c>
      <c r="B29" s="2">
        <v>29</v>
      </c>
      <c r="C29" s="2" t="s">
        <v>175</v>
      </c>
      <c r="D29" s="2">
        <v>18.25</v>
      </c>
      <c r="E29" s="2" t="s">
        <v>175</v>
      </c>
      <c r="F29" s="2">
        <v>31.59</v>
      </c>
      <c r="G29" s="2" t="s">
        <v>175</v>
      </c>
      <c r="H29" s="2">
        <v>47.4</v>
      </c>
      <c r="I29" s="2" t="s">
        <v>175</v>
      </c>
      <c r="J29" s="2">
        <v>12.22</v>
      </c>
      <c r="K29" s="2" t="s">
        <v>175</v>
      </c>
      <c r="L29" s="2">
        <v>19.760000000000002</v>
      </c>
      <c r="M29" s="2" t="s">
        <v>175</v>
      </c>
      <c r="N29" s="2">
        <v>12.26</v>
      </c>
      <c r="O29" s="2" t="s">
        <v>175</v>
      </c>
      <c r="P29" s="2">
        <v>29.67</v>
      </c>
      <c r="Q29" s="2" t="s">
        <v>175</v>
      </c>
      <c r="R29" s="2">
        <v>24.51</v>
      </c>
      <c r="S29" s="2" t="s">
        <v>175</v>
      </c>
      <c r="T29" s="2">
        <v>20.37</v>
      </c>
      <c r="U29" s="2" t="s">
        <v>175</v>
      </c>
      <c r="V29" s="2">
        <v>5.27</v>
      </c>
      <c r="W29" s="2" t="s">
        <v>175</v>
      </c>
      <c r="X29" s="2">
        <v>115.5</v>
      </c>
      <c r="Y29" s="2" t="s">
        <v>175</v>
      </c>
      <c r="Z29" s="2">
        <v>28.01</v>
      </c>
      <c r="AA29" s="2" t="s">
        <v>175</v>
      </c>
      <c r="AB29" s="2">
        <v>23.97</v>
      </c>
      <c r="AC29" s="2" t="s">
        <v>175</v>
      </c>
      <c r="AD29" s="2">
        <v>18.63</v>
      </c>
      <c r="AE29" s="2" t="s">
        <v>175</v>
      </c>
      <c r="AF29" s="2">
        <v>31.5</v>
      </c>
      <c r="AG29" s="2" t="s">
        <v>175</v>
      </c>
      <c r="AH29" s="2" t="s">
        <v>66</v>
      </c>
      <c r="AI29" s="2" t="s">
        <v>175</v>
      </c>
      <c r="AJ29" s="2">
        <v>44.01</v>
      </c>
      <c r="AK29" s="2" t="s">
        <v>175</v>
      </c>
      <c r="AL29" s="2">
        <v>6.91</v>
      </c>
      <c r="AM29" s="2" t="s">
        <v>175</v>
      </c>
      <c r="AN29" s="2">
        <v>98.51</v>
      </c>
      <c r="AO29" s="2" t="s">
        <v>175</v>
      </c>
      <c r="AP29" s="2">
        <v>116.16</v>
      </c>
      <c r="AQ29" s="2" t="s">
        <v>175</v>
      </c>
      <c r="AR29" s="2">
        <v>11.6</v>
      </c>
      <c r="AS29" s="2" t="s">
        <v>175</v>
      </c>
      <c r="AT29" s="2">
        <v>1235.98</v>
      </c>
      <c r="AU29" s="2" t="s">
        <v>175</v>
      </c>
      <c r="AV29" s="2">
        <v>141.5</v>
      </c>
      <c r="AW29" s="2" t="s">
        <v>175</v>
      </c>
      <c r="AX29" s="2">
        <v>119.93</v>
      </c>
      <c r="AY29" s="2" t="s">
        <v>175</v>
      </c>
      <c r="AZ29" s="2">
        <v>4.2300000000000004</v>
      </c>
      <c r="BA29" s="2" t="s">
        <v>175</v>
      </c>
      <c r="BB29" s="2">
        <v>153.80000000000001</v>
      </c>
      <c r="BC29" s="2" t="s">
        <v>175</v>
      </c>
      <c r="BD29" s="2" t="s">
        <v>44</v>
      </c>
      <c r="BE29" s="2" t="s">
        <v>175</v>
      </c>
      <c r="BF29" s="2">
        <v>12.75</v>
      </c>
      <c r="BG29" s="2" t="s">
        <v>175</v>
      </c>
      <c r="BH29" s="2">
        <v>38.799999999999997</v>
      </c>
      <c r="BI29" s="2" t="s">
        <v>175</v>
      </c>
      <c r="BJ29" s="2">
        <v>153.80000000000001</v>
      </c>
      <c r="BK29" s="2" t="s">
        <v>175</v>
      </c>
      <c r="BL29" s="2">
        <v>23.3</v>
      </c>
      <c r="BM29" s="2" t="s">
        <v>175</v>
      </c>
      <c r="BN29" s="2">
        <v>41.47</v>
      </c>
      <c r="BO29" s="2" t="s">
        <v>175</v>
      </c>
      <c r="BP29" s="2">
        <v>25.55</v>
      </c>
      <c r="BQ29" s="2" t="s">
        <v>175</v>
      </c>
      <c r="BR29" s="2">
        <v>17.62</v>
      </c>
      <c r="BS29" s="2" t="s">
        <v>175</v>
      </c>
      <c r="BT29" s="2">
        <v>12.53</v>
      </c>
      <c r="BU29" s="2" t="s">
        <v>175</v>
      </c>
      <c r="BV29" s="1" t="s">
        <v>618</v>
      </c>
      <c r="BW29" s="1" t="s">
        <v>175</v>
      </c>
      <c r="BX29" s="1" t="s">
        <v>619</v>
      </c>
    </row>
    <row r="30" spans="1:76">
      <c r="A30" s="2" t="s">
        <v>1</v>
      </c>
      <c r="B30" s="2">
        <v>30</v>
      </c>
      <c r="C30" s="2" t="s">
        <v>176</v>
      </c>
      <c r="D30" s="2">
        <v>19.12</v>
      </c>
      <c r="E30" s="2" t="s">
        <v>176</v>
      </c>
      <c r="F30" s="2">
        <v>32.36</v>
      </c>
      <c r="G30" s="2" t="s">
        <v>176</v>
      </c>
      <c r="H30" s="2">
        <v>48.5</v>
      </c>
      <c r="I30" s="2" t="s">
        <v>176</v>
      </c>
      <c r="J30" s="2">
        <v>12.15</v>
      </c>
      <c r="K30" s="2" t="s">
        <v>176</v>
      </c>
      <c r="L30" s="2">
        <v>20.3</v>
      </c>
      <c r="M30" s="2" t="s">
        <v>176</v>
      </c>
      <c r="N30" s="2">
        <v>12.66</v>
      </c>
      <c r="O30" s="2" t="s">
        <v>176</v>
      </c>
      <c r="P30" s="2">
        <v>30.6</v>
      </c>
      <c r="Q30" s="2" t="s">
        <v>176</v>
      </c>
      <c r="R30" s="2">
        <v>24.75</v>
      </c>
      <c r="S30" s="2" t="s">
        <v>176</v>
      </c>
      <c r="T30" s="2">
        <v>21.35</v>
      </c>
      <c r="U30" s="2" t="s">
        <v>176</v>
      </c>
      <c r="V30" s="2">
        <v>5.33</v>
      </c>
      <c r="W30" s="2" t="s">
        <v>176</v>
      </c>
      <c r="X30" s="2" t="s">
        <v>112</v>
      </c>
      <c r="Y30" s="2" t="s">
        <v>176</v>
      </c>
      <c r="Z30" s="2">
        <v>28.79</v>
      </c>
      <c r="AA30" s="2" t="s">
        <v>176</v>
      </c>
      <c r="AB30" s="2">
        <v>24.32</v>
      </c>
      <c r="AC30" s="2" t="s">
        <v>176</v>
      </c>
      <c r="AD30" s="2">
        <v>18.579999999999998</v>
      </c>
      <c r="AE30" s="2" t="s">
        <v>176</v>
      </c>
      <c r="AF30" s="2">
        <v>31.61</v>
      </c>
      <c r="AG30" s="2" t="s">
        <v>176</v>
      </c>
      <c r="AH30" s="2">
        <v>46.62</v>
      </c>
      <c r="AI30" s="2" t="s">
        <v>176</v>
      </c>
      <c r="AJ30" s="2">
        <v>44.59</v>
      </c>
      <c r="AK30" s="2" t="s">
        <v>176</v>
      </c>
      <c r="AL30" s="2">
        <v>7.25</v>
      </c>
      <c r="AM30" s="2" t="s">
        <v>176</v>
      </c>
      <c r="AN30" s="2">
        <v>98.85</v>
      </c>
      <c r="AO30" s="2" t="s">
        <v>176</v>
      </c>
      <c r="AP30" s="2">
        <v>116.25</v>
      </c>
      <c r="AQ30" s="2" t="s">
        <v>176</v>
      </c>
      <c r="AR30" s="2">
        <v>11.31</v>
      </c>
      <c r="AS30" s="2" t="s">
        <v>176</v>
      </c>
      <c r="AT30" s="2">
        <v>1230.1500000000001</v>
      </c>
      <c r="AU30" s="2" t="s">
        <v>176</v>
      </c>
      <c r="AV30" s="2">
        <v>141.05000000000001</v>
      </c>
      <c r="AW30" s="2" t="s">
        <v>176</v>
      </c>
      <c r="AX30" s="2" t="s">
        <v>102</v>
      </c>
      <c r="AY30" s="2" t="s">
        <v>176</v>
      </c>
      <c r="AZ30" s="2">
        <v>4.22</v>
      </c>
      <c r="BA30" s="2" t="s">
        <v>176</v>
      </c>
      <c r="BB30" s="2">
        <v>152.82</v>
      </c>
      <c r="BC30" s="2" t="s">
        <v>176</v>
      </c>
      <c r="BD30" s="2">
        <v>17.899999999999999</v>
      </c>
      <c r="BE30" s="2" t="s">
        <v>176</v>
      </c>
      <c r="BF30" s="2">
        <v>12.68</v>
      </c>
      <c r="BG30" s="2" t="s">
        <v>176</v>
      </c>
      <c r="BH30" s="2">
        <v>39.72</v>
      </c>
      <c r="BI30" s="2" t="s">
        <v>176</v>
      </c>
      <c r="BJ30" s="2">
        <v>154.6</v>
      </c>
      <c r="BK30" s="2" t="s">
        <v>176</v>
      </c>
      <c r="BL30" s="2">
        <v>23.9</v>
      </c>
      <c r="BM30" s="2" t="s">
        <v>176</v>
      </c>
      <c r="BN30" s="2">
        <v>42.8</v>
      </c>
      <c r="BO30" s="2" t="s">
        <v>176</v>
      </c>
      <c r="BP30" s="2">
        <v>25.88</v>
      </c>
      <c r="BQ30" s="2" t="s">
        <v>176</v>
      </c>
      <c r="BR30" s="2">
        <v>17.600000000000001</v>
      </c>
      <c r="BS30" s="2" t="s">
        <v>176</v>
      </c>
      <c r="BT30" s="2">
        <v>12.6</v>
      </c>
      <c r="BU30" s="2" t="s">
        <v>176</v>
      </c>
      <c r="BV30" s="1" t="s">
        <v>620</v>
      </c>
      <c r="BW30" s="1" t="s">
        <v>176</v>
      </c>
      <c r="BX30" s="1" t="s">
        <v>621</v>
      </c>
    </row>
    <row r="31" spans="1:76">
      <c r="A31" s="2" t="s">
        <v>1</v>
      </c>
      <c r="B31" s="2">
        <v>31</v>
      </c>
      <c r="C31" s="2" t="s">
        <v>177</v>
      </c>
      <c r="D31" s="2">
        <v>19.05</v>
      </c>
      <c r="E31" s="2" t="s">
        <v>177</v>
      </c>
      <c r="F31" s="2">
        <v>33.020000000000003</v>
      </c>
      <c r="G31" s="2" t="s">
        <v>177</v>
      </c>
      <c r="H31" s="2">
        <v>47.4</v>
      </c>
      <c r="I31" s="2" t="s">
        <v>177</v>
      </c>
      <c r="J31" s="2">
        <v>12.45</v>
      </c>
      <c r="K31" s="2" t="s">
        <v>177</v>
      </c>
      <c r="L31" s="2">
        <v>20.25</v>
      </c>
      <c r="M31" s="2" t="s">
        <v>177</v>
      </c>
      <c r="N31" s="2">
        <v>12.99</v>
      </c>
      <c r="O31" s="2" t="s">
        <v>177</v>
      </c>
      <c r="P31" s="2">
        <v>31.8</v>
      </c>
      <c r="Q31" s="2" t="s">
        <v>177</v>
      </c>
      <c r="R31" s="2">
        <v>24.8</v>
      </c>
      <c r="S31" s="2" t="s">
        <v>177</v>
      </c>
      <c r="T31" s="2">
        <v>21.65</v>
      </c>
      <c r="U31" s="2" t="s">
        <v>177</v>
      </c>
      <c r="V31" s="2">
        <v>5.25</v>
      </c>
      <c r="W31" s="2" t="s">
        <v>177</v>
      </c>
      <c r="X31" s="2">
        <v>115.5</v>
      </c>
      <c r="Y31" s="2" t="s">
        <v>177</v>
      </c>
      <c r="Z31" s="2">
        <v>28.69</v>
      </c>
      <c r="AA31" s="2" t="s">
        <v>177</v>
      </c>
      <c r="AB31" s="2">
        <v>24.53</v>
      </c>
      <c r="AC31" s="2" t="s">
        <v>177</v>
      </c>
      <c r="AD31" s="2">
        <v>18.559999999999999</v>
      </c>
      <c r="AE31" s="2" t="s">
        <v>177</v>
      </c>
      <c r="AF31" s="2" t="s">
        <v>137</v>
      </c>
      <c r="AG31" s="2" t="s">
        <v>177</v>
      </c>
      <c r="AH31" s="2">
        <v>46.48</v>
      </c>
      <c r="AI31" s="2" t="s">
        <v>177</v>
      </c>
      <c r="AJ31" s="2">
        <v>45.24</v>
      </c>
      <c r="AK31" s="2" t="s">
        <v>177</v>
      </c>
      <c r="AL31" s="2">
        <v>7.29</v>
      </c>
      <c r="AM31" s="2" t="s">
        <v>177</v>
      </c>
      <c r="AN31" s="2">
        <v>98.3</v>
      </c>
      <c r="AO31" s="2" t="s">
        <v>177</v>
      </c>
      <c r="AP31" s="2">
        <v>116.75</v>
      </c>
      <c r="AQ31" s="2" t="s">
        <v>177</v>
      </c>
      <c r="AR31" s="2">
        <v>11.32</v>
      </c>
      <c r="AS31" s="2" t="s">
        <v>177</v>
      </c>
      <c r="AT31" s="2" t="s">
        <v>203</v>
      </c>
      <c r="AU31" s="2" t="s">
        <v>177</v>
      </c>
      <c r="AV31" s="2">
        <v>142.4</v>
      </c>
      <c r="AW31" s="2" t="s">
        <v>177</v>
      </c>
      <c r="AX31" s="2" t="s">
        <v>102</v>
      </c>
      <c r="AY31" s="2" t="s">
        <v>177</v>
      </c>
      <c r="AZ31" s="2">
        <v>4.2300000000000004</v>
      </c>
      <c r="BA31" s="2" t="s">
        <v>177</v>
      </c>
      <c r="BB31" s="2">
        <v>150.88999999999999</v>
      </c>
      <c r="BC31" s="2" t="s">
        <v>177</v>
      </c>
      <c r="BD31" s="2">
        <v>18.23</v>
      </c>
      <c r="BE31" s="2" t="s">
        <v>177</v>
      </c>
      <c r="BF31" s="2">
        <v>13.13</v>
      </c>
      <c r="BG31" s="2" t="s">
        <v>177</v>
      </c>
      <c r="BH31" s="2">
        <v>39.65</v>
      </c>
      <c r="BI31" s="2" t="s">
        <v>177</v>
      </c>
      <c r="BJ31" s="2">
        <v>154.49</v>
      </c>
      <c r="BK31" s="2" t="s">
        <v>177</v>
      </c>
      <c r="BL31" s="2">
        <v>24.31</v>
      </c>
      <c r="BM31" s="2" t="s">
        <v>177</v>
      </c>
      <c r="BN31" s="2">
        <v>43.44</v>
      </c>
      <c r="BO31" s="2" t="s">
        <v>177</v>
      </c>
      <c r="BP31" s="2">
        <v>25.6</v>
      </c>
      <c r="BQ31" s="2" t="s">
        <v>177</v>
      </c>
      <c r="BR31" s="2">
        <v>17.43</v>
      </c>
      <c r="BS31" s="2" t="s">
        <v>177</v>
      </c>
      <c r="BT31" s="2">
        <v>12.55</v>
      </c>
      <c r="BU31" s="2" t="s">
        <v>177</v>
      </c>
      <c r="BV31" s="1" t="s">
        <v>622</v>
      </c>
      <c r="BW31" s="1" t="s">
        <v>177</v>
      </c>
      <c r="BX31" s="1" t="s">
        <v>623</v>
      </c>
    </row>
    <row r="32" spans="1:76">
      <c r="A32" s="2" t="s">
        <v>1</v>
      </c>
      <c r="B32" s="2">
        <v>32</v>
      </c>
      <c r="C32" s="2" t="s">
        <v>178</v>
      </c>
      <c r="D32" s="2">
        <v>18.97</v>
      </c>
      <c r="E32" s="2" t="s">
        <v>178</v>
      </c>
      <c r="F32" s="2">
        <v>34.44</v>
      </c>
      <c r="G32" s="2" t="s">
        <v>178</v>
      </c>
      <c r="H32" s="2">
        <v>47.5</v>
      </c>
      <c r="I32" s="2" t="s">
        <v>178</v>
      </c>
      <c r="J32" s="2">
        <v>12.01</v>
      </c>
      <c r="K32" s="2" t="s">
        <v>178</v>
      </c>
      <c r="L32" s="2">
        <v>20.56</v>
      </c>
      <c r="M32" s="2" t="s">
        <v>178</v>
      </c>
      <c r="N32" s="2">
        <v>13.12</v>
      </c>
      <c r="O32" s="2" t="s">
        <v>178</v>
      </c>
      <c r="P32" s="2">
        <v>31.81</v>
      </c>
      <c r="Q32" s="2" t="s">
        <v>178</v>
      </c>
      <c r="R32" s="2">
        <v>25.52</v>
      </c>
      <c r="S32" s="2" t="s">
        <v>178</v>
      </c>
      <c r="T32" s="2">
        <v>22.64</v>
      </c>
      <c r="U32" s="2" t="s">
        <v>178</v>
      </c>
      <c r="V32" s="2">
        <v>5.24</v>
      </c>
      <c r="W32" s="2" t="s">
        <v>178</v>
      </c>
      <c r="X32" s="2">
        <v>115.75</v>
      </c>
      <c r="Y32" s="2" t="s">
        <v>178</v>
      </c>
      <c r="Z32" s="2">
        <v>28.83</v>
      </c>
      <c r="AA32" s="2" t="s">
        <v>178</v>
      </c>
      <c r="AB32" s="2">
        <v>24.55</v>
      </c>
      <c r="AC32" s="2" t="s">
        <v>178</v>
      </c>
      <c r="AD32" s="2">
        <v>18.47</v>
      </c>
      <c r="AE32" s="2" t="s">
        <v>178</v>
      </c>
      <c r="AF32" s="2">
        <v>31.5</v>
      </c>
      <c r="AG32" s="2" t="s">
        <v>178</v>
      </c>
      <c r="AH32" s="2">
        <v>47.18</v>
      </c>
      <c r="AI32" s="2" t="s">
        <v>178</v>
      </c>
      <c r="AJ32" s="2">
        <v>45.6</v>
      </c>
      <c r="AK32" s="2" t="s">
        <v>178</v>
      </c>
      <c r="AL32" s="2">
        <v>7.71</v>
      </c>
      <c r="AM32" s="2" t="s">
        <v>178</v>
      </c>
      <c r="AN32" s="2">
        <v>95.3</v>
      </c>
      <c r="AO32" s="2" t="s">
        <v>178</v>
      </c>
      <c r="AP32" s="2">
        <v>117.09</v>
      </c>
      <c r="AQ32" s="2" t="s">
        <v>178</v>
      </c>
      <c r="AR32" s="2">
        <v>11.11</v>
      </c>
      <c r="AS32" s="2" t="s">
        <v>178</v>
      </c>
      <c r="AT32" s="2" t="s">
        <v>205</v>
      </c>
      <c r="AU32" s="2" t="s">
        <v>178</v>
      </c>
      <c r="AV32" s="2">
        <v>141.69999999999999</v>
      </c>
      <c r="AW32" s="2" t="s">
        <v>178</v>
      </c>
      <c r="AX32" s="2">
        <v>120.02</v>
      </c>
      <c r="AY32" s="2" t="s">
        <v>178</v>
      </c>
      <c r="AZ32" s="2">
        <v>4.22</v>
      </c>
      <c r="BA32" s="2" t="s">
        <v>178</v>
      </c>
      <c r="BB32" s="2">
        <v>151.83000000000001</v>
      </c>
      <c r="BC32" s="2" t="s">
        <v>178</v>
      </c>
      <c r="BD32" s="2">
        <v>19.100000000000001</v>
      </c>
      <c r="BE32" s="2" t="s">
        <v>178</v>
      </c>
      <c r="BF32" s="2">
        <v>13.43</v>
      </c>
      <c r="BG32" s="2" t="s">
        <v>178</v>
      </c>
      <c r="BH32" s="2">
        <v>40.200000000000003</v>
      </c>
      <c r="BI32" s="2" t="s">
        <v>178</v>
      </c>
      <c r="BJ32" s="2">
        <v>154.12</v>
      </c>
      <c r="BK32" s="2" t="s">
        <v>178</v>
      </c>
      <c r="BL32" s="2">
        <v>24.44</v>
      </c>
      <c r="BM32" s="2" t="s">
        <v>178</v>
      </c>
      <c r="BN32" s="2">
        <v>45.33</v>
      </c>
      <c r="BO32" s="2" t="s">
        <v>178</v>
      </c>
      <c r="BP32" s="2">
        <v>26.35</v>
      </c>
      <c r="BQ32" s="2" t="s">
        <v>178</v>
      </c>
      <c r="BR32" s="2">
        <v>17.48</v>
      </c>
      <c r="BS32" s="2" t="s">
        <v>178</v>
      </c>
      <c r="BT32" s="2">
        <v>12.51</v>
      </c>
      <c r="BU32" s="2" t="s">
        <v>178</v>
      </c>
      <c r="BV32" s="1" t="s">
        <v>624</v>
      </c>
      <c r="BW32" s="1" t="s">
        <v>178</v>
      </c>
      <c r="BX32" s="1" t="s">
        <v>625</v>
      </c>
    </row>
    <row r="33" spans="1:76">
      <c r="A33" s="2" t="s">
        <v>1</v>
      </c>
      <c r="B33" s="2">
        <v>33</v>
      </c>
      <c r="C33" s="2" t="s">
        <v>179</v>
      </c>
      <c r="D33" s="2">
        <v>19.309999999999999</v>
      </c>
      <c r="E33" s="2" t="s">
        <v>179</v>
      </c>
      <c r="F33" s="2">
        <v>35.450000000000003</v>
      </c>
      <c r="G33" s="2" t="s">
        <v>179</v>
      </c>
      <c r="H33" s="2">
        <v>47.86</v>
      </c>
      <c r="I33" s="2" t="s">
        <v>179</v>
      </c>
      <c r="J33" s="2">
        <v>11.85</v>
      </c>
      <c r="K33" s="2" t="s">
        <v>179</v>
      </c>
      <c r="L33" s="2">
        <v>20.61</v>
      </c>
      <c r="M33" s="2" t="s">
        <v>179</v>
      </c>
      <c r="N33" s="2">
        <v>13.06</v>
      </c>
      <c r="O33" s="2" t="s">
        <v>179</v>
      </c>
      <c r="P33" s="2">
        <v>31.81</v>
      </c>
      <c r="Q33" s="2" t="s">
        <v>179</v>
      </c>
      <c r="R33" s="2">
        <v>25.65</v>
      </c>
      <c r="S33" s="2" t="s">
        <v>179</v>
      </c>
      <c r="T33" s="2">
        <v>21.25</v>
      </c>
      <c r="U33" s="2" t="s">
        <v>179</v>
      </c>
      <c r="V33" s="2">
        <v>5.31</v>
      </c>
      <c r="W33" s="2" t="s">
        <v>179</v>
      </c>
      <c r="X33" s="2">
        <v>115.7</v>
      </c>
      <c r="Y33" s="2" t="s">
        <v>179</v>
      </c>
      <c r="Z33" s="2">
        <v>28.25</v>
      </c>
      <c r="AA33" s="2" t="s">
        <v>179</v>
      </c>
      <c r="AB33" s="2">
        <v>24.83</v>
      </c>
      <c r="AC33" s="2" t="s">
        <v>179</v>
      </c>
      <c r="AD33" s="2">
        <v>18.75</v>
      </c>
      <c r="AE33" s="2" t="s">
        <v>179</v>
      </c>
      <c r="AF33" s="2">
        <v>31.75</v>
      </c>
      <c r="AG33" s="2" t="s">
        <v>179</v>
      </c>
      <c r="AH33" s="2">
        <v>45.49</v>
      </c>
      <c r="AI33" s="2" t="s">
        <v>179</v>
      </c>
      <c r="AJ33" s="2">
        <v>44.83</v>
      </c>
      <c r="AK33" s="2" t="s">
        <v>179</v>
      </c>
      <c r="AL33" s="2">
        <v>7.72</v>
      </c>
      <c r="AM33" s="2" t="s">
        <v>179</v>
      </c>
      <c r="AN33" s="2" t="s">
        <v>97</v>
      </c>
      <c r="AO33" s="2" t="s">
        <v>179</v>
      </c>
      <c r="AP33" s="2">
        <v>116.95</v>
      </c>
      <c r="AQ33" s="2" t="s">
        <v>179</v>
      </c>
      <c r="AR33" s="2">
        <v>11.09</v>
      </c>
      <c r="AS33" s="2" t="s">
        <v>179</v>
      </c>
      <c r="AT33" s="2" t="s">
        <v>158</v>
      </c>
      <c r="AU33" s="2" t="s">
        <v>179</v>
      </c>
      <c r="AV33" s="2">
        <v>141.9</v>
      </c>
      <c r="AW33" s="2" t="s">
        <v>179</v>
      </c>
      <c r="AX33" s="2">
        <v>120.12</v>
      </c>
      <c r="AY33" s="2" t="s">
        <v>179</v>
      </c>
      <c r="AZ33" s="2">
        <v>4.21</v>
      </c>
      <c r="BA33" s="2" t="s">
        <v>179</v>
      </c>
      <c r="BB33" s="2">
        <v>150.5</v>
      </c>
      <c r="BC33" s="2" t="s">
        <v>179</v>
      </c>
      <c r="BD33" s="2">
        <v>18.7</v>
      </c>
      <c r="BE33" s="2" t="s">
        <v>179</v>
      </c>
      <c r="BF33" s="2">
        <v>13.49</v>
      </c>
      <c r="BG33" s="2" t="s">
        <v>179</v>
      </c>
      <c r="BH33" s="2">
        <v>42.25</v>
      </c>
      <c r="BI33" s="2" t="s">
        <v>179</v>
      </c>
      <c r="BJ33" s="2">
        <v>154.4</v>
      </c>
      <c r="BK33" s="2" t="s">
        <v>179</v>
      </c>
      <c r="BL33" s="2">
        <v>24.18</v>
      </c>
      <c r="BM33" s="2" t="s">
        <v>179</v>
      </c>
      <c r="BN33" s="2">
        <v>45.5</v>
      </c>
      <c r="BO33" s="2" t="s">
        <v>179</v>
      </c>
      <c r="BP33" s="2">
        <v>26.28</v>
      </c>
      <c r="BQ33" s="2" t="s">
        <v>179</v>
      </c>
      <c r="BR33" s="2">
        <v>17.61</v>
      </c>
      <c r="BS33" s="2" t="s">
        <v>179</v>
      </c>
      <c r="BT33" s="2">
        <v>12.63</v>
      </c>
      <c r="BU33" s="2" t="s">
        <v>179</v>
      </c>
      <c r="BV33" s="1" t="s">
        <v>626</v>
      </c>
      <c r="BW33" s="1" t="s">
        <v>179</v>
      </c>
      <c r="BX33" s="1" t="s">
        <v>601</v>
      </c>
    </row>
    <row r="34" spans="1:76">
      <c r="A34" s="2" t="s">
        <v>1</v>
      </c>
      <c r="B34" s="2">
        <v>34</v>
      </c>
      <c r="C34" s="2" t="s">
        <v>180</v>
      </c>
      <c r="D34" s="2">
        <v>19.649999999999999</v>
      </c>
      <c r="E34" s="2" t="s">
        <v>180</v>
      </c>
      <c r="F34" s="2">
        <v>33.700000000000003</v>
      </c>
      <c r="G34" s="2" t="s">
        <v>180</v>
      </c>
      <c r="H34" s="2">
        <v>47.2</v>
      </c>
      <c r="I34" s="2" t="s">
        <v>180</v>
      </c>
      <c r="J34" s="2">
        <v>11.84</v>
      </c>
      <c r="K34" s="2" t="s">
        <v>180</v>
      </c>
      <c r="L34" s="2">
        <v>20.420000000000002</v>
      </c>
      <c r="M34" s="2" t="s">
        <v>180</v>
      </c>
      <c r="N34" s="2">
        <v>12.6</v>
      </c>
      <c r="O34" s="2" t="s">
        <v>180</v>
      </c>
      <c r="P34" s="2">
        <v>30.66</v>
      </c>
      <c r="Q34" s="2" t="s">
        <v>180</v>
      </c>
      <c r="R34" s="2">
        <v>25.86</v>
      </c>
      <c r="S34" s="2" t="s">
        <v>180</v>
      </c>
      <c r="T34" s="2">
        <v>21.08</v>
      </c>
      <c r="U34" s="2" t="s">
        <v>180</v>
      </c>
      <c r="V34" s="2">
        <v>5.25</v>
      </c>
      <c r="W34" s="2" t="s">
        <v>180</v>
      </c>
      <c r="X34" s="2" t="s">
        <v>110</v>
      </c>
      <c r="Y34" s="2" t="s">
        <v>180</v>
      </c>
      <c r="Z34" s="2">
        <v>28.29</v>
      </c>
      <c r="AA34" s="2" t="s">
        <v>180</v>
      </c>
      <c r="AB34" s="2">
        <v>24.85</v>
      </c>
      <c r="AC34" s="2" t="s">
        <v>180</v>
      </c>
      <c r="AD34" s="2">
        <v>18.36</v>
      </c>
      <c r="AE34" s="2" t="s">
        <v>180</v>
      </c>
      <c r="AF34" s="2">
        <v>31.5</v>
      </c>
      <c r="AG34" s="2" t="s">
        <v>180</v>
      </c>
      <c r="AH34" s="2">
        <v>45.16</v>
      </c>
      <c r="AI34" s="2" t="s">
        <v>180</v>
      </c>
      <c r="AJ34" s="2">
        <v>44.99</v>
      </c>
      <c r="AK34" s="2" t="s">
        <v>180</v>
      </c>
      <c r="AL34" s="2">
        <v>7.47</v>
      </c>
      <c r="AM34" s="2" t="s">
        <v>180</v>
      </c>
      <c r="AN34" s="2">
        <v>93.37</v>
      </c>
      <c r="AO34" s="2" t="s">
        <v>180</v>
      </c>
      <c r="AP34" s="2" t="s">
        <v>107</v>
      </c>
      <c r="AQ34" s="2" t="s">
        <v>180</v>
      </c>
      <c r="AR34" s="2">
        <v>11.01</v>
      </c>
      <c r="AS34" s="2" t="s">
        <v>180</v>
      </c>
      <c r="AT34" s="2">
        <v>1190.0999999999999</v>
      </c>
      <c r="AU34" s="2" t="s">
        <v>180</v>
      </c>
      <c r="AV34" s="2">
        <v>140.94</v>
      </c>
      <c r="AW34" s="2" t="s">
        <v>180</v>
      </c>
      <c r="AX34" s="2">
        <v>120.05</v>
      </c>
      <c r="AY34" s="2" t="s">
        <v>180</v>
      </c>
      <c r="AZ34" s="2">
        <v>4.21</v>
      </c>
      <c r="BA34" s="2" t="s">
        <v>180</v>
      </c>
      <c r="BB34" s="2">
        <v>149.99</v>
      </c>
      <c r="BC34" s="2" t="s">
        <v>180</v>
      </c>
      <c r="BD34" s="2">
        <v>18.329999999999998</v>
      </c>
      <c r="BE34" s="2" t="s">
        <v>180</v>
      </c>
      <c r="BF34" s="2">
        <v>13.35</v>
      </c>
      <c r="BG34" s="2" t="s">
        <v>180</v>
      </c>
      <c r="BH34" s="2">
        <v>38.9</v>
      </c>
      <c r="BI34" s="2" t="s">
        <v>180</v>
      </c>
      <c r="BJ34" s="2">
        <v>155.4</v>
      </c>
      <c r="BK34" s="2" t="s">
        <v>180</v>
      </c>
      <c r="BL34" s="2">
        <v>23.75</v>
      </c>
      <c r="BM34" s="2" t="s">
        <v>180</v>
      </c>
      <c r="BN34" s="2">
        <v>44.24</v>
      </c>
      <c r="BO34" s="2" t="s">
        <v>180</v>
      </c>
      <c r="BP34" s="2">
        <v>25.65</v>
      </c>
      <c r="BQ34" s="2" t="s">
        <v>180</v>
      </c>
      <c r="BR34" s="2">
        <v>17.39</v>
      </c>
      <c r="BS34" s="2" t="s">
        <v>180</v>
      </c>
      <c r="BT34" s="2">
        <v>12.39</v>
      </c>
      <c r="BU34" s="2" t="s">
        <v>180</v>
      </c>
      <c r="BV34" s="1" t="s">
        <v>627</v>
      </c>
      <c r="BW34" s="1" t="s">
        <v>180</v>
      </c>
      <c r="BX34" s="1" t="s">
        <v>628</v>
      </c>
    </row>
    <row r="35" spans="1:76">
      <c r="A35" s="2" t="s">
        <v>1</v>
      </c>
      <c r="B35" s="2">
        <v>35</v>
      </c>
      <c r="C35" s="2" t="s">
        <v>182</v>
      </c>
      <c r="D35" s="2">
        <v>19.809999999999999</v>
      </c>
      <c r="E35" s="2" t="s">
        <v>182</v>
      </c>
      <c r="F35" s="2">
        <v>34.07</v>
      </c>
      <c r="G35" s="2" t="s">
        <v>182</v>
      </c>
      <c r="H35" s="2">
        <v>47.9</v>
      </c>
      <c r="I35" s="2" t="s">
        <v>182</v>
      </c>
      <c r="J35" s="2">
        <v>12.1</v>
      </c>
      <c r="K35" s="2" t="s">
        <v>182</v>
      </c>
      <c r="L35" s="2">
        <v>20.420000000000002</v>
      </c>
      <c r="M35" s="2" t="s">
        <v>182</v>
      </c>
      <c r="N35" s="2">
        <v>12.92</v>
      </c>
      <c r="O35" s="2" t="s">
        <v>182</v>
      </c>
      <c r="P35" s="2">
        <v>30.95</v>
      </c>
      <c r="Q35" s="2" t="s">
        <v>182</v>
      </c>
      <c r="R35" s="2">
        <v>25.2</v>
      </c>
      <c r="S35" s="2" t="s">
        <v>182</v>
      </c>
      <c r="T35" s="2">
        <v>20.27</v>
      </c>
      <c r="U35" s="2" t="s">
        <v>182</v>
      </c>
      <c r="V35" s="2">
        <v>5.22</v>
      </c>
      <c r="W35" s="2" t="s">
        <v>182</v>
      </c>
      <c r="X35" s="2" t="s">
        <v>110</v>
      </c>
      <c r="Y35" s="2" t="s">
        <v>182</v>
      </c>
      <c r="Z35" s="2">
        <v>28.78</v>
      </c>
      <c r="AA35" s="2" t="s">
        <v>182</v>
      </c>
      <c r="AB35" s="2">
        <v>24.99</v>
      </c>
      <c r="AC35" s="2" t="s">
        <v>182</v>
      </c>
      <c r="AD35" s="2">
        <v>18.649999999999999</v>
      </c>
      <c r="AE35" s="2" t="s">
        <v>182</v>
      </c>
      <c r="AF35" s="2">
        <v>31.91</v>
      </c>
      <c r="AG35" s="2" t="s">
        <v>182</v>
      </c>
      <c r="AH35" s="2">
        <v>46.5</v>
      </c>
      <c r="AI35" s="2" t="s">
        <v>182</v>
      </c>
      <c r="AJ35" s="2">
        <v>44.18</v>
      </c>
      <c r="AK35" s="2" t="s">
        <v>182</v>
      </c>
      <c r="AL35" s="2">
        <v>7.45</v>
      </c>
      <c r="AM35" s="2" t="s">
        <v>182</v>
      </c>
      <c r="AN35" s="2">
        <v>94.45</v>
      </c>
      <c r="AO35" s="2" t="s">
        <v>182</v>
      </c>
      <c r="AP35" s="2" t="s">
        <v>141</v>
      </c>
      <c r="AQ35" s="2" t="s">
        <v>182</v>
      </c>
      <c r="AR35" s="2">
        <v>10.99</v>
      </c>
      <c r="AS35" s="2" t="s">
        <v>182</v>
      </c>
      <c r="AT35" s="2">
        <v>1181.02</v>
      </c>
      <c r="AU35" s="2" t="s">
        <v>182</v>
      </c>
      <c r="AV35" s="2">
        <v>140.15</v>
      </c>
      <c r="AW35" s="2" t="s">
        <v>182</v>
      </c>
      <c r="AX35" s="2">
        <v>120.09</v>
      </c>
      <c r="AY35" s="2" t="s">
        <v>182</v>
      </c>
      <c r="AZ35" s="2">
        <v>4.1900000000000004</v>
      </c>
      <c r="BA35" s="2" t="s">
        <v>182</v>
      </c>
      <c r="BB35" s="2">
        <v>149.72</v>
      </c>
      <c r="BC35" s="2" t="s">
        <v>182</v>
      </c>
      <c r="BD35" s="2">
        <v>18.399999999999999</v>
      </c>
      <c r="BE35" s="2" t="s">
        <v>182</v>
      </c>
      <c r="BF35" s="2">
        <v>13.63</v>
      </c>
      <c r="BG35" s="2" t="s">
        <v>182</v>
      </c>
      <c r="BH35" s="2">
        <v>38.299999999999997</v>
      </c>
      <c r="BI35" s="2" t="s">
        <v>182</v>
      </c>
      <c r="BJ35" s="2">
        <v>154.01</v>
      </c>
      <c r="BK35" s="2" t="s">
        <v>182</v>
      </c>
      <c r="BL35" s="2">
        <v>24.28</v>
      </c>
      <c r="BM35" s="2" t="s">
        <v>182</v>
      </c>
      <c r="BN35" s="2">
        <v>45.86</v>
      </c>
      <c r="BO35" s="2" t="s">
        <v>182</v>
      </c>
      <c r="BP35" s="2">
        <v>25.79</v>
      </c>
      <c r="BQ35" s="2" t="s">
        <v>182</v>
      </c>
      <c r="BR35" s="2">
        <v>17.55</v>
      </c>
      <c r="BS35" s="2" t="s">
        <v>182</v>
      </c>
      <c r="BT35" s="2">
        <v>12.29</v>
      </c>
      <c r="BU35" s="2" t="s">
        <v>182</v>
      </c>
      <c r="BV35" s="1" t="s">
        <v>629</v>
      </c>
      <c r="BW35" s="1" t="s">
        <v>182</v>
      </c>
      <c r="BX35" s="1" t="s">
        <v>630</v>
      </c>
    </row>
    <row r="36" spans="1:76">
      <c r="A36" s="2" t="s">
        <v>1</v>
      </c>
      <c r="B36" s="2">
        <v>36</v>
      </c>
      <c r="C36" s="2" t="s">
        <v>184</v>
      </c>
      <c r="D36" s="2">
        <v>19.91</v>
      </c>
      <c r="E36" s="2" t="s">
        <v>184</v>
      </c>
      <c r="F36" s="2">
        <v>33.340000000000003</v>
      </c>
      <c r="G36" s="2" t="s">
        <v>184</v>
      </c>
      <c r="H36" s="2">
        <v>46.17</v>
      </c>
      <c r="I36" s="2" t="s">
        <v>184</v>
      </c>
      <c r="J36" s="2">
        <v>11.96</v>
      </c>
      <c r="K36" s="2" t="s">
        <v>184</v>
      </c>
      <c r="L36" s="2">
        <v>19.899999999999999</v>
      </c>
      <c r="M36" s="2" t="s">
        <v>184</v>
      </c>
      <c r="N36" s="2">
        <v>12.75</v>
      </c>
      <c r="O36" s="2" t="s">
        <v>184</v>
      </c>
      <c r="P36" s="2">
        <v>30.4</v>
      </c>
      <c r="Q36" s="2" t="s">
        <v>184</v>
      </c>
      <c r="R36" s="2">
        <v>24.56</v>
      </c>
      <c r="S36" s="2" t="s">
        <v>184</v>
      </c>
      <c r="T36" s="2">
        <v>19.36</v>
      </c>
      <c r="U36" s="2" t="s">
        <v>184</v>
      </c>
      <c r="V36" s="2">
        <v>5.13</v>
      </c>
      <c r="W36" s="2" t="s">
        <v>184</v>
      </c>
      <c r="X36" s="2" t="s">
        <v>110</v>
      </c>
      <c r="Y36" s="2" t="s">
        <v>184</v>
      </c>
      <c r="Z36" s="2">
        <v>28.07</v>
      </c>
      <c r="AA36" s="2" t="s">
        <v>184</v>
      </c>
      <c r="AB36" s="2">
        <v>24.78</v>
      </c>
      <c r="AC36" s="2" t="s">
        <v>184</v>
      </c>
      <c r="AD36" s="2">
        <v>18.190000000000001</v>
      </c>
      <c r="AE36" s="2" t="s">
        <v>184</v>
      </c>
      <c r="AF36" s="2">
        <v>29.95</v>
      </c>
      <c r="AG36" s="2" t="s">
        <v>184</v>
      </c>
      <c r="AH36" s="2">
        <v>44.88</v>
      </c>
      <c r="AI36" s="2" t="s">
        <v>184</v>
      </c>
      <c r="AJ36" s="2">
        <v>43.2</v>
      </c>
      <c r="AK36" s="2" t="s">
        <v>184</v>
      </c>
      <c r="AL36" s="2">
        <v>7.12</v>
      </c>
      <c r="AM36" s="2" t="s">
        <v>184</v>
      </c>
      <c r="AN36" s="2">
        <v>93.3</v>
      </c>
      <c r="AO36" s="2" t="s">
        <v>184</v>
      </c>
      <c r="AP36" s="2">
        <v>117.25</v>
      </c>
      <c r="AQ36" s="2" t="s">
        <v>184</v>
      </c>
      <c r="AR36" s="2">
        <v>10.99</v>
      </c>
      <c r="AS36" s="2" t="s">
        <v>184</v>
      </c>
      <c r="AT36" s="2" t="s">
        <v>158</v>
      </c>
      <c r="AU36" s="2" t="s">
        <v>184</v>
      </c>
      <c r="AV36" s="2">
        <v>140.16999999999999</v>
      </c>
      <c r="AW36" s="2" t="s">
        <v>184</v>
      </c>
      <c r="AX36" s="2" t="s">
        <v>102</v>
      </c>
      <c r="AY36" s="2" t="s">
        <v>184</v>
      </c>
      <c r="AZ36" s="2">
        <v>4.1900000000000004</v>
      </c>
      <c r="BA36" s="2" t="s">
        <v>184</v>
      </c>
      <c r="BB36" s="2">
        <v>150.84</v>
      </c>
      <c r="BC36" s="2" t="s">
        <v>184</v>
      </c>
      <c r="BD36" s="2">
        <v>17.940000000000001</v>
      </c>
      <c r="BE36" s="2" t="s">
        <v>184</v>
      </c>
      <c r="BF36" s="2">
        <v>13.38</v>
      </c>
      <c r="BG36" s="2" t="s">
        <v>184</v>
      </c>
      <c r="BH36" s="2">
        <v>37.450000000000003</v>
      </c>
      <c r="BI36" s="2" t="s">
        <v>184</v>
      </c>
      <c r="BJ36" s="2" t="s">
        <v>126</v>
      </c>
      <c r="BK36" s="2" t="s">
        <v>184</v>
      </c>
      <c r="BL36" s="2">
        <v>23.09</v>
      </c>
      <c r="BM36" s="2" t="s">
        <v>184</v>
      </c>
      <c r="BN36" s="2">
        <v>43.7</v>
      </c>
      <c r="BO36" s="2" t="s">
        <v>184</v>
      </c>
      <c r="BP36" s="2">
        <v>24.92</v>
      </c>
      <c r="BQ36" s="2" t="s">
        <v>184</v>
      </c>
      <c r="BR36" s="2">
        <v>17.13</v>
      </c>
      <c r="BS36" s="2" t="s">
        <v>184</v>
      </c>
      <c r="BT36" s="2">
        <v>11.98</v>
      </c>
      <c r="BU36" s="2" t="s">
        <v>184</v>
      </c>
      <c r="BV36" s="1" t="s">
        <v>631</v>
      </c>
      <c r="BW36" s="1" t="s">
        <v>184</v>
      </c>
      <c r="BX36" s="1" t="s">
        <v>632</v>
      </c>
    </row>
    <row r="37" spans="1:76">
      <c r="A37" s="2" t="s">
        <v>1</v>
      </c>
      <c r="B37" s="2">
        <v>37</v>
      </c>
      <c r="C37" s="2" t="s">
        <v>185</v>
      </c>
      <c r="D37" s="2">
        <v>19.079999999999998</v>
      </c>
      <c r="E37" s="2" t="s">
        <v>185</v>
      </c>
      <c r="F37" s="2">
        <v>33.1</v>
      </c>
      <c r="G37" s="2" t="s">
        <v>185</v>
      </c>
      <c r="H37" s="2">
        <v>45.35</v>
      </c>
      <c r="I37" s="2" t="s">
        <v>185</v>
      </c>
      <c r="J37" s="2">
        <v>11.53</v>
      </c>
      <c r="K37" s="2" t="s">
        <v>185</v>
      </c>
      <c r="L37" s="2">
        <v>19.48</v>
      </c>
      <c r="M37" s="2" t="s">
        <v>185</v>
      </c>
      <c r="N37" s="2">
        <v>12.8</v>
      </c>
      <c r="O37" s="2" t="s">
        <v>185</v>
      </c>
      <c r="P37" s="2">
        <v>30.19</v>
      </c>
      <c r="Q37" s="2" t="s">
        <v>185</v>
      </c>
      <c r="R37" s="2">
        <v>23.87</v>
      </c>
      <c r="S37" s="2" t="s">
        <v>185</v>
      </c>
      <c r="T37" s="2">
        <v>18.72</v>
      </c>
      <c r="U37" s="2" t="s">
        <v>185</v>
      </c>
      <c r="V37" s="2">
        <v>4.8899999999999997</v>
      </c>
      <c r="W37" s="2" t="s">
        <v>185</v>
      </c>
      <c r="X37" s="2" t="s">
        <v>110</v>
      </c>
      <c r="Y37" s="2" t="s">
        <v>185</v>
      </c>
      <c r="Z37" s="2">
        <v>27.6</v>
      </c>
      <c r="AA37" s="2" t="s">
        <v>185</v>
      </c>
      <c r="AB37" s="2">
        <v>23.93</v>
      </c>
      <c r="AC37" s="2" t="s">
        <v>185</v>
      </c>
      <c r="AD37" s="2">
        <v>17.77</v>
      </c>
      <c r="AE37" s="2" t="s">
        <v>185</v>
      </c>
      <c r="AF37" s="2">
        <v>27.3</v>
      </c>
      <c r="AG37" s="2" t="s">
        <v>185</v>
      </c>
      <c r="AH37" s="2">
        <v>43.89</v>
      </c>
      <c r="AI37" s="2" t="s">
        <v>185</v>
      </c>
      <c r="AJ37" s="2">
        <v>43.3</v>
      </c>
      <c r="AK37" s="2" t="s">
        <v>185</v>
      </c>
      <c r="AL37" s="2">
        <v>6.71</v>
      </c>
      <c r="AM37" s="2" t="s">
        <v>185</v>
      </c>
      <c r="AN37" s="2">
        <v>93.6</v>
      </c>
      <c r="AO37" s="2" t="s">
        <v>185</v>
      </c>
      <c r="AP37" s="2">
        <v>117.18</v>
      </c>
      <c r="AQ37" s="2" t="s">
        <v>185</v>
      </c>
      <c r="AR37" s="2">
        <v>10.9</v>
      </c>
      <c r="AS37" s="2" t="s">
        <v>185</v>
      </c>
      <c r="AT37" s="2">
        <v>1188.01</v>
      </c>
      <c r="AU37" s="2" t="s">
        <v>185</v>
      </c>
      <c r="AV37" s="2">
        <v>139.82</v>
      </c>
      <c r="AW37" s="2" t="s">
        <v>185</v>
      </c>
      <c r="AX37" s="2">
        <v>119.19</v>
      </c>
      <c r="AY37" s="2" t="s">
        <v>185</v>
      </c>
      <c r="AZ37" s="2">
        <v>4.25</v>
      </c>
      <c r="BA37" s="2" t="s">
        <v>185</v>
      </c>
      <c r="BB37" s="2">
        <v>150.25</v>
      </c>
      <c r="BC37" s="2" t="s">
        <v>185</v>
      </c>
      <c r="BD37" s="2">
        <v>17.59</v>
      </c>
      <c r="BE37" s="2" t="s">
        <v>185</v>
      </c>
      <c r="BF37" s="2">
        <v>12.78</v>
      </c>
      <c r="BG37" s="2" t="s">
        <v>185</v>
      </c>
      <c r="BH37" s="2">
        <v>36.4</v>
      </c>
      <c r="BI37" s="2" t="s">
        <v>185</v>
      </c>
      <c r="BJ37" s="2">
        <v>155.94999999999999</v>
      </c>
      <c r="BK37" s="2" t="s">
        <v>185</v>
      </c>
      <c r="BL37" s="2">
        <v>22.35</v>
      </c>
      <c r="BM37" s="2" t="s">
        <v>185</v>
      </c>
      <c r="BN37" s="2">
        <v>43.35</v>
      </c>
      <c r="BO37" s="2" t="s">
        <v>185</v>
      </c>
      <c r="BP37" s="2">
        <v>24.23</v>
      </c>
      <c r="BQ37" s="2" t="s">
        <v>185</v>
      </c>
      <c r="BR37" s="2">
        <v>16.7</v>
      </c>
      <c r="BS37" s="2" t="s">
        <v>185</v>
      </c>
      <c r="BT37" s="2">
        <v>11.68</v>
      </c>
      <c r="BU37" s="2" t="s">
        <v>185</v>
      </c>
      <c r="BV37" s="1" t="s">
        <v>633</v>
      </c>
      <c r="BW37" s="1" t="s">
        <v>185</v>
      </c>
      <c r="BX37" s="1" t="s">
        <v>634</v>
      </c>
    </row>
    <row r="38" spans="1:76">
      <c r="A38" s="2" t="s">
        <v>1</v>
      </c>
      <c r="B38" s="2">
        <v>38</v>
      </c>
      <c r="C38" s="2" t="s">
        <v>186</v>
      </c>
      <c r="D38" s="2">
        <v>18.97</v>
      </c>
      <c r="E38" s="2" t="s">
        <v>186</v>
      </c>
      <c r="F38" s="2">
        <v>33.24</v>
      </c>
      <c r="G38" s="2" t="s">
        <v>186</v>
      </c>
      <c r="H38" s="2">
        <v>45.15</v>
      </c>
      <c r="I38" s="2" t="s">
        <v>186</v>
      </c>
      <c r="J38" s="2">
        <v>11.25</v>
      </c>
      <c r="K38" s="2" t="s">
        <v>186</v>
      </c>
      <c r="L38" s="2">
        <v>19.850000000000001</v>
      </c>
      <c r="M38" s="2" t="s">
        <v>186</v>
      </c>
      <c r="N38" s="2">
        <v>12.51</v>
      </c>
      <c r="O38" s="2" t="s">
        <v>186</v>
      </c>
      <c r="P38" s="2">
        <v>29.52</v>
      </c>
      <c r="Q38" s="2" t="s">
        <v>186</v>
      </c>
      <c r="R38" s="2">
        <v>23.7</v>
      </c>
      <c r="S38" s="2" t="s">
        <v>186</v>
      </c>
      <c r="T38" s="2">
        <v>18.399999999999999</v>
      </c>
      <c r="U38" s="2" t="s">
        <v>186</v>
      </c>
      <c r="V38" s="2">
        <v>4.8600000000000003</v>
      </c>
      <c r="W38" s="2" t="s">
        <v>186</v>
      </c>
      <c r="X38" s="2">
        <v>114.86</v>
      </c>
      <c r="Y38" s="2" t="s">
        <v>186</v>
      </c>
      <c r="Z38" s="2">
        <v>27.6</v>
      </c>
      <c r="AA38" s="2" t="s">
        <v>186</v>
      </c>
      <c r="AB38" s="2">
        <v>24.05</v>
      </c>
      <c r="AC38" s="2" t="s">
        <v>186</v>
      </c>
      <c r="AD38" s="2">
        <v>17.72</v>
      </c>
      <c r="AE38" s="2" t="s">
        <v>186</v>
      </c>
      <c r="AF38" s="2">
        <v>27.47</v>
      </c>
      <c r="AG38" s="2" t="s">
        <v>186</v>
      </c>
      <c r="AH38" s="2">
        <v>43.69</v>
      </c>
      <c r="AI38" s="2" t="s">
        <v>186</v>
      </c>
      <c r="AJ38" s="2">
        <v>43.5</v>
      </c>
      <c r="AK38" s="2" t="s">
        <v>186</v>
      </c>
      <c r="AL38" s="2">
        <v>6.78</v>
      </c>
      <c r="AM38" s="2" t="s">
        <v>186</v>
      </c>
      <c r="AN38" s="2" t="s">
        <v>50</v>
      </c>
      <c r="AO38" s="2" t="s">
        <v>186</v>
      </c>
      <c r="AP38" s="2" t="s">
        <v>141</v>
      </c>
      <c r="AQ38" s="2" t="s">
        <v>186</v>
      </c>
      <c r="AR38" s="2">
        <v>10.87</v>
      </c>
      <c r="AS38" s="2" t="s">
        <v>186</v>
      </c>
      <c r="AT38" s="2">
        <v>1198.99</v>
      </c>
      <c r="AU38" s="2" t="s">
        <v>186</v>
      </c>
      <c r="AV38" s="2" t="s">
        <v>48</v>
      </c>
      <c r="AW38" s="2" t="s">
        <v>186</v>
      </c>
      <c r="AX38" s="2">
        <v>119.5</v>
      </c>
      <c r="AY38" s="2" t="s">
        <v>186</v>
      </c>
      <c r="AZ38" s="2">
        <v>4.3</v>
      </c>
      <c r="BA38" s="2" t="s">
        <v>186</v>
      </c>
      <c r="BB38" s="2">
        <v>151.38999999999999</v>
      </c>
      <c r="BC38" s="2" t="s">
        <v>186</v>
      </c>
      <c r="BD38" s="2">
        <v>17.77</v>
      </c>
      <c r="BE38" s="2" t="s">
        <v>186</v>
      </c>
      <c r="BF38" s="2">
        <v>12.62</v>
      </c>
      <c r="BG38" s="2" t="s">
        <v>186</v>
      </c>
      <c r="BH38" s="2">
        <v>37.25</v>
      </c>
      <c r="BI38" s="2" t="s">
        <v>186</v>
      </c>
      <c r="BJ38" s="2" t="s">
        <v>143</v>
      </c>
      <c r="BK38" s="2" t="s">
        <v>186</v>
      </c>
      <c r="BL38" s="2">
        <v>22.8</v>
      </c>
      <c r="BM38" s="2" t="s">
        <v>186</v>
      </c>
      <c r="BN38" s="2">
        <v>44.5</v>
      </c>
      <c r="BO38" s="2" t="s">
        <v>186</v>
      </c>
      <c r="BP38" s="2">
        <v>23.91</v>
      </c>
      <c r="BQ38" s="2" t="s">
        <v>186</v>
      </c>
      <c r="BR38" s="2">
        <v>16.079999999999998</v>
      </c>
      <c r="BS38" s="2" t="s">
        <v>186</v>
      </c>
      <c r="BT38" s="2">
        <v>11.75</v>
      </c>
      <c r="BU38" s="2" t="s">
        <v>186</v>
      </c>
      <c r="BV38" s="1" t="s">
        <v>635</v>
      </c>
      <c r="BW38" s="1" t="s">
        <v>186</v>
      </c>
      <c r="BX38" s="1" t="s">
        <v>605</v>
      </c>
    </row>
    <row r="39" spans="1:76">
      <c r="A39" s="2" t="s">
        <v>1</v>
      </c>
      <c r="B39" s="2">
        <v>39</v>
      </c>
      <c r="C39" s="2" t="s">
        <v>187</v>
      </c>
      <c r="D39" s="2">
        <v>18.77</v>
      </c>
      <c r="E39" s="2" t="s">
        <v>187</v>
      </c>
      <c r="F39" s="2">
        <v>33.15</v>
      </c>
      <c r="G39" s="2" t="s">
        <v>187</v>
      </c>
      <c r="H39" s="2">
        <v>45.15</v>
      </c>
      <c r="I39" s="2" t="s">
        <v>187</v>
      </c>
      <c r="J39" s="2">
        <v>11.03</v>
      </c>
      <c r="K39" s="2" t="s">
        <v>187</v>
      </c>
      <c r="L39" s="2">
        <v>19.75</v>
      </c>
      <c r="M39" s="2" t="s">
        <v>187</v>
      </c>
      <c r="N39" s="2">
        <v>12.29</v>
      </c>
      <c r="O39" s="2" t="s">
        <v>187</v>
      </c>
      <c r="P39" s="2">
        <v>29.4</v>
      </c>
      <c r="Q39" s="2" t="s">
        <v>187</v>
      </c>
      <c r="R39" s="2">
        <v>23.75</v>
      </c>
      <c r="S39" s="2" t="s">
        <v>187</v>
      </c>
      <c r="T39" s="2">
        <v>18.100000000000001</v>
      </c>
      <c r="U39" s="2" t="s">
        <v>187</v>
      </c>
      <c r="V39" s="2">
        <v>4.91</v>
      </c>
      <c r="W39" s="2" t="s">
        <v>187</v>
      </c>
      <c r="X39" s="2" t="s">
        <v>110</v>
      </c>
      <c r="Y39" s="2" t="s">
        <v>187</v>
      </c>
      <c r="Z39" s="2">
        <v>27.38</v>
      </c>
      <c r="AA39" s="2" t="s">
        <v>187</v>
      </c>
      <c r="AB39" s="2">
        <v>24.15</v>
      </c>
      <c r="AC39" s="2" t="s">
        <v>187</v>
      </c>
      <c r="AD39" s="2">
        <v>17.32</v>
      </c>
      <c r="AE39" s="2" t="s">
        <v>187</v>
      </c>
      <c r="AF39" s="2">
        <v>27.93</v>
      </c>
      <c r="AG39" s="2" t="s">
        <v>187</v>
      </c>
      <c r="AH39" s="2">
        <v>43.65</v>
      </c>
      <c r="AI39" s="2" t="s">
        <v>187</v>
      </c>
      <c r="AJ39" s="2">
        <v>43.1</v>
      </c>
      <c r="AK39" s="2" t="s">
        <v>187</v>
      </c>
      <c r="AL39" s="2">
        <v>6.74</v>
      </c>
      <c r="AM39" s="2" t="s">
        <v>187</v>
      </c>
      <c r="AN39" s="2">
        <v>94.13</v>
      </c>
      <c r="AO39" s="2" t="s">
        <v>187</v>
      </c>
      <c r="AP39" s="2">
        <v>117.08</v>
      </c>
      <c r="AQ39" s="2" t="s">
        <v>187</v>
      </c>
      <c r="AR39" s="2">
        <v>10.82</v>
      </c>
      <c r="AS39" s="2" t="s">
        <v>187</v>
      </c>
      <c r="AT39" s="2" t="s">
        <v>206</v>
      </c>
      <c r="AU39" s="2" t="s">
        <v>187</v>
      </c>
      <c r="AV39" s="2">
        <v>141.63</v>
      </c>
      <c r="AW39" s="2" t="s">
        <v>187</v>
      </c>
      <c r="AX39" s="2">
        <v>119.3</v>
      </c>
      <c r="AY39" s="2" t="s">
        <v>187</v>
      </c>
      <c r="AZ39" s="2">
        <v>4.3</v>
      </c>
      <c r="BA39" s="2" t="s">
        <v>187</v>
      </c>
      <c r="BB39" s="2" t="s">
        <v>124</v>
      </c>
      <c r="BC39" s="2" t="s">
        <v>187</v>
      </c>
      <c r="BD39" s="2">
        <v>17.34</v>
      </c>
      <c r="BE39" s="2" t="s">
        <v>187</v>
      </c>
      <c r="BF39" s="2">
        <v>14.03</v>
      </c>
      <c r="BG39" s="2" t="s">
        <v>187</v>
      </c>
      <c r="BH39" s="2">
        <v>36.950000000000003</v>
      </c>
      <c r="BI39" s="2" t="s">
        <v>187</v>
      </c>
      <c r="BJ39" s="2">
        <v>156.9</v>
      </c>
      <c r="BK39" s="2" t="s">
        <v>187</v>
      </c>
      <c r="BL39" s="2">
        <v>22.54</v>
      </c>
      <c r="BM39" s="2" t="s">
        <v>187</v>
      </c>
      <c r="BN39" s="2">
        <v>45.5</v>
      </c>
      <c r="BO39" s="2" t="s">
        <v>187</v>
      </c>
      <c r="BP39" s="2">
        <v>24.03</v>
      </c>
      <c r="BQ39" s="2" t="s">
        <v>187</v>
      </c>
      <c r="BR39" s="2">
        <v>16.2</v>
      </c>
      <c r="BS39" s="2" t="s">
        <v>187</v>
      </c>
      <c r="BT39" s="2">
        <v>11.74</v>
      </c>
      <c r="BU39" s="2" t="s">
        <v>187</v>
      </c>
      <c r="BV39" s="1" t="s">
        <v>636</v>
      </c>
      <c r="BW39" s="1" t="s">
        <v>187</v>
      </c>
      <c r="BX39" s="1" t="s">
        <v>637</v>
      </c>
    </row>
    <row r="40" spans="1:76">
      <c r="A40" s="2" t="s">
        <v>1</v>
      </c>
      <c r="B40" s="2">
        <v>40</v>
      </c>
      <c r="C40" s="2" t="s">
        <v>188</v>
      </c>
      <c r="D40" s="2">
        <v>18.75</v>
      </c>
      <c r="E40" s="2" t="s">
        <v>188</v>
      </c>
      <c r="F40" s="2">
        <v>33.08</v>
      </c>
      <c r="G40" s="2" t="s">
        <v>188</v>
      </c>
      <c r="H40" s="2">
        <v>44.31</v>
      </c>
      <c r="I40" s="2" t="s">
        <v>188</v>
      </c>
      <c r="J40" s="2">
        <v>11.13</v>
      </c>
      <c r="K40" s="2" t="s">
        <v>188</v>
      </c>
      <c r="L40" s="2">
        <v>19.350000000000001</v>
      </c>
      <c r="M40" s="2" t="s">
        <v>188</v>
      </c>
      <c r="N40" s="2">
        <v>12.1</v>
      </c>
      <c r="O40" s="2" t="s">
        <v>188</v>
      </c>
      <c r="P40" s="2">
        <v>29.16</v>
      </c>
      <c r="Q40" s="2" t="s">
        <v>188</v>
      </c>
      <c r="R40" s="2">
        <v>23.49</v>
      </c>
      <c r="S40" s="2" t="s">
        <v>188</v>
      </c>
      <c r="T40" s="2">
        <v>17.809999999999999</v>
      </c>
      <c r="U40" s="2" t="s">
        <v>188</v>
      </c>
      <c r="V40" s="2">
        <v>4.95</v>
      </c>
      <c r="W40" s="2" t="s">
        <v>188</v>
      </c>
      <c r="X40" s="2" t="s">
        <v>110</v>
      </c>
      <c r="Y40" s="2" t="s">
        <v>188</v>
      </c>
      <c r="Z40" s="2" t="s">
        <v>45</v>
      </c>
      <c r="AA40" s="2" t="s">
        <v>188</v>
      </c>
      <c r="AB40" s="2">
        <v>23.69</v>
      </c>
      <c r="AC40" s="2" t="s">
        <v>188</v>
      </c>
      <c r="AD40" s="2">
        <v>17.23</v>
      </c>
      <c r="AE40" s="2" t="s">
        <v>188</v>
      </c>
      <c r="AF40" s="2">
        <v>28.09</v>
      </c>
      <c r="AG40" s="2" t="s">
        <v>188</v>
      </c>
      <c r="AH40" s="2">
        <v>43.84</v>
      </c>
      <c r="AI40" s="2" t="s">
        <v>188</v>
      </c>
      <c r="AJ40" s="2">
        <v>44.73</v>
      </c>
      <c r="AK40" s="2" t="s">
        <v>188</v>
      </c>
      <c r="AL40" s="2">
        <v>6.8</v>
      </c>
      <c r="AM40" s="2" t="s">
        <v>188</v>
      </c>
      <c r="AN40" s="2">
        <v>93.2</v>
      </c>
      <c r="AO40" s="2" t="s">
        <v>188</v>
      </c>
      <c r="AP40" s="2">
        <v>117.07</v>
      </c>
      <c r="AQ40" s="2" t="s">
        <v>188</v>
      </c>
      <c r="AR40" s="2">
        <v>10.79</v>
      </c>
      <c r="AS40" s="2" t="s">
        <v>188</v>
      </c>
      <c r="AT40" s="2">
        <v>1149.25</v>
      </c>
      <c r="AU40" s="2" t="s">
        <v>188</v>
      </c>
      <c r="AV40" s="2">
        <v>139.80000000000001</v>
      </c>
      <c r="AW40" s="2" t="s">
        <v>188</v>
      </c>
      <c r="AX40" s="2">
        <v>117.75</v>
      </c>
      <c r="AY40" s="2" t="s">
        <v>188</v>
      </c>
      <c r="AZ40" s="2">
        <v>4.25</v>
      </c>
      <c r="BA40" s="2" t="s">
        <v>188</v>
      </c>
      <c r="BB40" s="2">
        <v>150.99</v>
      </c>
      <c r="BC40" s="2" t="s">
        <v>188</v>
      </c>
      <c r="BD40" s="2">
        <v>17.5</v>
      </c>
      <c r="BE40" s="2" t="s">
        <v>188</v>
      </c>
      <c r="BF40" s="2">
        <v>13.75</v>
      </c>
      <c r="BG40" s="2" t="s">
        <v>188</v>
      </c>
      <c r="BH40" s="2">
        <v>36.71</v>
      </c>
      <c r="BI40" s="2" t="s">
        <v>188</v>
      </c>
      <c r="BJ40" s="2">
        <v>157.1</v>
      </c>
      <c r="BK40" s="2" t="s">
        <v>188</v>
      </c>
      <c r="BL40" s="2">
        <v>22.6</v>
      </c>
      <c r="BM40" s="2" t="s">
        <v>188</v>
      </c>
      <c r="BN40" s="2">
        <v>45.76</v>
      </c>
      <c r="BO40" s="2" t="s">
        <v>188</v>
      </c>
      <c r="BP40" s="2">
        <v>24.02</v>
      </c>
      <c r="BQ40" s="2" t="s">
        <v>188</v>
      </c>
      <c r="BR40" s="2">
        <v>15.68</v>
      </c>
      <c r="BS40" s="2" t="s">
        <v>188</v>
      </c>
      <c r="BT40" s="2">
        <v>11.73</v>
      </c>
      <c r="BU40" s="2" t="s">
        <v>188</v>
      </c>
      <c r="BV40" s="1" t="s">
        <v>638</v>
      </c>
      <c r="BW40" s="1" t="s">
        <v>188</v>
      </c>
      <c r="BX40" s="1" t="s">
        <v>639</v>
      </c>
    </row>
    <row r="41" spans="1:76">
      <c r="A41" s="2" t="s">
        <v>1</v>
      </c>
      <c r="B41" s="2">
        <v>41</v>
      </c>
      <c r="C41" s="2" t="s">
        <v>189</v>
      </c>
      <c r="D41" s="2">
        <v>18.899999999999999</v>
      </c>
      <c r="E41" s="2" t="s">
        <v>189</v>
      </c>
      <c r="F41" s="2">
        <v>33.29</v>
      </c>
      <c r="G41" s="2" t="s">
        <v>189</v>
      </c>
      <c r="H41" s="2">
        <v>44.57</v>
      </c>
      <c r="I41" s="2" t="s">
        <v>189</v>
      </c>
      <c r="J41" s="2">
        <v>11.1</v>
      </c>
      <c r="K41" s="2" t="s">
        <v>189</v>
      </c>
      <c r="L41" s="2">
        <v>19.59</v>
      </c>
      <c r="M41" s="2" t="s">
        <v>189</v>
      </c>
      <c r="N41" s="2">
        <v>12.25</v>
      </c>
      <c r="O41" s="2" t="s">
        <v>189</v>
      </c>
      <c r="P41" s="2">
        <v>29.55</v>
      </c>
      <c r="Q41" s="2" t="s">
        <v>189</v>
      </c>
      <c r="R41" s="2">
        <v>23.84</v>
      </c>
      <c r="S41" s="2" t="s">
        <v>189</v>
      </c>
      <c r="T41" s="2">
        <v>18.88</v>
      </c>
      <c r="U41" s="2" t="s">
        <v>189</v>
      </c>
      <c r="V41" s="2">
        <v>5.13</v>
      </c>
      <c r="W41" s="2" t="s">
        <v>189</v>
      </c>
      <c r="X41" s="2">
        <v>115.75</v>
      </c>
      <c r="Y41" s="2" t="s">
        <v>189</v>
      </c>
      <c r="Z41" s="2">
        <v>27.53</v>
      </c>
      <c r="AA41" s="2" t="s">
        <v>189</v>
      </c>
      <c r="AB41" s="2">
        <v>23.77</v>
      </c>
      <c r="AC41" s="2" t="s">
        <v>189</v>
      </c>
      <c r="AD41" s="2">
        <v>17.350000000000001</v>
      </c>
      <c r="AE41" s="2" t="s">
        <v>189</v>
      </c>
      <c r="AF41" s="2">
        <v>27.75</v>
      </c>
      <c r="AG41" s="2" t="s">
        <v>189</v>
      </c>
      <c r="AH41" s="2">
        <v>44.15</v>
      </c>
      <c r="AI41" s="2" t="s">
        <v>189</v>
      </c>
      <c r="AJ41" s="2">
        <v>45.18</v>
      </c>
      <c r="AK41" s="2" t="s">
        <v>189</v>
      </c>
      <c r="AL41" s="2">
        <v>6.87</v>
      </c>
      <c r="AM41" s="2" t="s">
        <v>189</v>
      </c>
      <c r="AN41" s="2">
        <v>93.38</v>
      </c>
      <c r="AO41" s="2" t="s">
        <v>189</v>
      </c>
      <c r="AP41" s="2">
        <v>117.25</v>
      </c>
      <c r="AQ41" s="2" t="s">
        <v>189</v>
      </c>
      <c r="AR41" s="2">
        <v>10.8</v>
      </c>
      <c r="AS41" s="2" t="s">
        <v>189</v>
      </c>
      <c r="AT41" s="2">
        <v>1144.98</v>
      </c>
      <c r="AU41" s="2" t="s">
        <v>189</v>
      </c>
      <c r="AV41" s="2">
        <v>138.94999999999999</v>
      </c>
      <c r="AW41" s="2" t="s">
        <v>189</v>
      </c>
      <c r="AX41" s="2">
        <v>117.45</v>
      </c>
      <c r="AY41" s="2" t="s">
        <v>189</v>
      </c>
      <c r="AZ41" s="2">
        <v>4.29</v>
      </c>
      <c r="BA41" s="2" t="s">
        <v>189</v>
      </c>
      <c r="BB41" s="2">
        <v>150.09</v>
      </c>
      <c r="BC41" s="2" t="s">
        <v>189</v>
      </c>
      <c r="BD41" s="2">
        <v>17.670000000000002</v>
      </c>
      <c r="BE41" s="2" t="s">
        <v>189</v>
      </c>
      <c r="BF41" s="2">
        <v>14.63</v>
      </c>
      <c r="BG41" s="2" t="s">
        <v>189</v>
      </c>
      <c r="BH41" s="2">
        <v>36.96</v>
      </c>
      <c r="BI41" s="2" t="s">
        <v>189</v>
      </c>
      <c r="BJ41" s="2">
        <v>159.69999999999999</v>
      </c>
      <c r="BK41" s="2" t="s">
        <v>189</v>
      </c>
      <c r="BL41" s="2">
        <v>23.06</v>
      </c>
      <c r="BM41" s="2" t="s">
        <v>189</v>
      </c>
      <c r="BN41" s="2">
        <v>45.82</v>
      </c>
      <c r="BO41" s="2" t="s">
        <v>189</v>
      </c>
      <c r="BP41" s="2">
        <v>25.45</v>
      </c>
      <c r="BQ41" s="2" t="s">
        <v>189</v>
      </c>
      <c r="BR41" s="2">
        <v>16.13</v>
      </c>
      <c r="BS41" s="2" t="s">
        <v>189</v>
      </c>
      <c r="BT41" s="2">
        <v>11.95</v>
      </c>
      <c r="BU41" s="2" t="s">
        <v>189</v>
      </c>
      <c r="BV41" s="1" t="s">
        <v>640</v>
      </c>
      <c r="BW41" s="1" t="s">
        <v>189</v>
      </c>
      <c r="BX41" s="1" t="s">
        <v>641</v>
      </c>
    </row>
    <row r="42" spans="1:76">
      <c r="A42" s="2" t="s">
        <v>1</v>
      </c>
      <c r="B42" s="2">
        <v>42</v>
      </c>
      <c r="C42" s="2" t="s">
        <v>190</v>
      </c>
      <c r="D42" s="2">
        <v>18.57</v>
      </c>
      <c r="E42" s="2" t="s">
        <v>190</v>
      </c>
      <c r="F42" s="2">
        <v>32.6</v>
      </c>
      <c r="G42" s="2" t="s">
        <v>190</v>
      </c>
      <c r="H42" s="2">
        <v>44.01</v>
      </c>
      <c r="I42" s="2" t="s">
        <v>190</v>
      </c>
      <c r="J42" s="2">
        <v>10.88</v>
      </c>
      <c r="K42" s="2" t="s">
        <v>190</v>
      </c>
      <c r="L42" s="2">
        <v>19.600000000000001</v>
      </c>
      <c r="M42" s="2" t="s">
        <v>190</v>
      </c>
      <c r="N42" s="2">
        <v>12.05</v>
      </c>
      <c r="O42" s="2" t="s">
        <v>190</v>
      </c>
      <c r="P42" s="2">
        <v>29.14</v>
      </c>
      <c r="Q42" s="2" t="s">
        <v>190</v>
      </c>
      <c r="R42" s="2">
        <v>23.6</v>
      </c>
      <c r="S42" s="2" t="s">
        <v>190</v>
      </c>
      <c r="T42" s="2">
        <v>19.2</v>
      </c>
      <c r="U42" s="2" t="s">
        <v>190</v>
      </c>
      <c r="V42" s="2">
        <v>5.13</v>
      </c>
      <c r="W42" s="2" t="s">
        <v>190</v>
      </c>
      <c r="X42" s="2">
        <v>115.5</v>
      </c>
      <c r="Y42" s="2" t="s">
        <v>190</v>
      </c>
      <c r="Z42" s="2">
        <v>27.67</v>
      </c>
      <c r="AA42" s="2" t="s">
        <v>190</v>
      </c>
      <c r="AB42" s="2">
        <v>23.97</v>
      </c>
      <c r="AC42" s="2" t="s">
        <v>190</v>
      </c>
      <c r="AD42" s="2">
        <v>17.12</v>
      </c>
      <c r="AE42" s="2" t="s">
        <v>190</v>
      </c>
      <c r="AF42" s="2">
        <v>27.39</v>
      </c>
      <c r="AG42" s="2" t="s">
        <v>190</v>
      </c>
      <c r="AH42" s="2">
        <v>43.89</v>
      </c>
      <c r="AI42" s="2" t="s">
        <v>190</v>
      </c>
      <c r="AJ42" s="2">
        <v>45.1</v>
      </c>
      <c r="AK42" s="2" t="s">
        <v>190</v>
      </c>
      <c r="AL42" s="2">
        <v>6.95</v>
      </c>
      <c r="AM42" s="2" t="s">
        <v>190</v>
      </c>
      <c r="AN42" s="2">
        <v>93.18</v>
      </c>
      <c r="AO42" s="2" t="s">
        <v>190</v>
      </c>
      <c r="AP42" s="2">
        <v>117.2</v>
      </c>
      <c r="AQ42" s="2" t="s">
        <v>190</v>
      </c>
      <c r="AR42" s="2">
        <v>10.85</v>
      </c>
      <c r="AS42" s="2" t="s">
        <v>190</v>
      </c>
      <c r="AT42" s="2" t="s">
        <v>138</v>
      </c>
      <c r="AU42" s="2" t="s">
        <v>190</v>
      </c>
      <c r="AV42" s="2">
        <v>136.65</v>
      </c>
      <c r="AW42" s="2" t="s">
        <v>190</v>
      </c>
      <c r="AX42" s="2" t="s">
        <v>110</v>
      </c>
      <c r="AY42" s="2" t="s">
        <v>190</v>
      </c>
      <c r="AZ42" s="2">
        <v>4.18</v>
      </c>
      <c r="BA42" s="2" t="s">
        <v>190</v>
      </c>
      <c r="BB42" s="2">
        <v>150.80000000000001</v>
      </c>
      <c r="BC42" s="2" t="s">
        <v>190</v>
      </c>
      <c r="BD42" s="2">
        <v>17.66</v>
      </c>
      <c r="BE42" s="2" t="s">
        <v>190</v>
      </c>
      <c r="BF42" s="2">
        <v>14.8</v>
      </c>
      <c r="BG42" s="2" t="s">
        <v>190</v>
      </c>
      <c r="BH42" s="2" t="s">
        <v>120</v>
      </c>
      <c r="BI42" s="2" t="s">
        <v>190</v>
      </c>
      <c r="BJ42" s="2">
        <v>158.9</v>
      </c>
      <c r="BK42" s="2" t="s">
        <v>190</v>
      </c>
      <c r="BL42" s="2">
        <v>22.73</v>
      </c>
      <c r="BM42" s="2" t="s">
        <v>190</v>
      </c>
      <c r="BN42" s="2">
        <v>45.47</v>
      </c>
      <c r="BO42" s="2" t="s">
        <v>190</v>
      </c>
      <c r="BP42" s="2">
        <v>25.22</v>
      </c>
      <c r="BQ42" s="2" t="s">
        <v>190</v>
      </c>
      <c r="BR42" s="2">
        <v>16.100000000000001</v>
      </c>
      <c r="BS42" s="2" t="s">
        <v>190</v>
      </c>
      <c r="BT42" s="2">
        <v>12.14</v>
      </c>
      <c r="BU42" s="2" t="s">
        <v>190</v>
      </c>
      <c r="BV42" s="1" t="s">
        <v>642</v>
      </c>
      <c r="BW42" s="1" t="s">
        <v>190</v>
      </c>
      <c r="BX42" s="1" t="s">
        <v>567</v>
      </c>
    </row>
    <row r="43" spans="1:76">
      <c r="A43" s="2" t="s">
        <v>1</v>
      </c>
      <c r="B43" s="2">
        <v>43</v>
      </c>
      <c r="C43" s="2" t="s">
        <v>191</v>
      </c>
      <c r="D43" s="2">
        <v>18.39</v>
      </c>
      <c r="E43" s="2" t="s">
        <v>191</v>
      </c>
      <c r="F43" s="2">
        <v>32.19</v>
      </c>
      <c r="G43" s="2" t="s">
        <v>191</v>
      </c>
      <c r="H43" s="2">
        <v>43.73</v>
      </c>
      <c r="I43" s="2" t="s">
        <v>191</v>
      </c>
      <c r="J43" s="2">
        <v>10.58</v>
      </c>
      <c r="K43" s="2" t="s">
        <v>191</v>
      </c>
      <c r="L43" s="2">
        <v>19.079999999999998</v>
      </c>
      <c r="M43" s="2" t="s">
        <v>191</v>
      </c>
      <c r="N43" s="2">
        <v>11.88</v>
      </c>
      <c r="O43" s="2" t="s">
        <v>191</v>
      </c>
      <c r="P43" s="2">
        <v>28.88</v>
      </c>
      <c r="Q43" s="2" t="s">
        <v>191</v>
      </c>
      <c r="R43" s="2">
        <v>23.5</v>
      </c>
      <c r="S43" s="2" t="s">
        <v>191</v>
      </c>
      <c r="T43" s="2">
        <v>18.73</v>
      </c>
      <c r="U43" s="2" t="s">
        <v>191</v>
      </c>
      <c r="V43" s="2">
        <v>5.03</v>
      </c>
      <c r="W43" s="2" t="s">
        <v>191</v>
      </c>
      <c r="X43" s="2" t="s">
        <v>141</v>
      </c>
      <c r="Y43" s="2" t="s">
        <v>191</v>
      </c>
      <c r="Z43" s="2">
        <v>27.24</v>
      </c>
      <c r="AA43" s="2" t="s">
        <v>191</v>
      </c>
      <c r="AB43" s="2">
        <v>23.27</v>
      </c>
      <c r="AC43" s="2" t="s">
        <v>191</v>
      </c>
      <c r="AD43" s="2">
        <v>16.8</v>
      </c>
      <c r="AE43" s="2" t="s">
        <v>191</v>
      </c>
      <c r="AF43" s="2">
        <v>27.7</v>
      </c>
      <c r="AG43" s="2" t="s">
        <v>191</v>
      </c>
      <c r="AH43" s="2">
        <v>43.28</v>
      </c>
      <c r="AI43" s="2" t="s">
        <v>191</v>
      </c>
      <c r="AJ43" s="2">
        <v>44.78</v>
      </c>
      <c r="AK43" s="2" t="s">
        <v>191</v>
      </c>
      <c r="AL43" s="2">
        <v>6.66</v>
      </c>
      <c r="AM43" s="2" t="s">
        <v>191</v>
      </c>
      <c r="AN43" s="2">
        <v>92.8</v>
      </c>
      <c r="AO43" s="2" t="s">
        <v>191</v>
      </c>
      <c r="AP43" s="2">
        <v>117.6</v>
      </c>
      <c r="AQ43" s="2" t="s">
        <v>191</v>
      </c>
      <c r="AR43" s="2">
        <v>10.86</v>
      </c>
      <c r="AS43" s="2" t="s">
        <v>191</v>
      </c>
      <c r="AT43" s="2" t="s">
        <v>207</v>
      </c>
      <c r="AU43" s="2" t="s">
        <v>191</v>
      </c>
      <c r="AV43" s="2">
        <v>132.85</v>
      </c>
      <c r="AW43" s="2" t="s">
        <v>191</v>
      </c>
      <c r="AX43" s="2">
        <v>115.82</v>
      </c>
      <c r="AY43" s="2" t="s">
        <v>191</v>
      </c>
      <c r="AZ43" s="2">
        <v>3.96</v>
      </c>
      <c r="BA43" s="2" t="s">
        <v>191</v>
      </c>
      <c r="BB43" s="2">
        <v>151.69999999999999</v>
      </c>
      <c r="BC43" s="2" t="s">
        <v>191</v>
      </c>
      <c r="BD43" s="2">
        <v>17.399999999999999</v>
      </c>
      <c r="BE43" s="2" t="s">
        <v>191</v>
      </c>
      <c r="BF43" s="2" t="s">
        <v>61</v>
      </c>
      <c r="BG43" s="2" t="s">
        <v>191</v>
      </c>
      <c r="BH43" s="2">
        <v>34.700000000000003</v>
      </c>
      <c r="BI43" s="2" t="s">
        <v>191</v>
      </c>
      <c r="BJ43" s="2">
        <v>158.69999999999999</v>
      </c>
      <c r="BK43" s="2" t="s">
        <v>191</v>
      </c>
      <c r="BL43" s="2">
        <v>22.22</v>
      </c>
      <c r="BM43" s="2" t="s">
        <v>191</v>
      </c>
      <c r="BN43" s="2">
        <v>43.83</v>
      </c>
      <c r="BO43" s="2" t="s">
        <v>191</v>
      </c>
      <c r="BP43" s="2">
        <v>24.28</v>
      </c>
      <c r="BQ43" s="2" t="s">
        <v>191</v>
      </c>
      <c r="BR43" s="2">
        <v>15.15</v>
      </c>
      <c r="BS43" s="2" t="s">
        <v>191</v>
      </c>
      <c r="BT43" s="2">
        <v>11.91</v>
      </c>
      <c r="BU43" s="2" t="s">
        <v>191</v>
      </c>
      <c r="BV43" s="1" t="s">
        <v>675</v>
      </c>
      <c r="BW43" s="1" t="s">
        <v>191</v>
      </c>
      <c r="BX43" s="1" t="s">
        <v>676</v>
      </c>
    </row>
    <row r="44" spans="1:76">
      <c r="A44" s="2" t="s">
        <v>1</v>
      </c>
      <c r="B44" s="2">
        <v>44</v>
      </c>
      <c r="C44" s="2" t="s">
        <v>300</v>
      </c>
      <c r="D44" s="2">
        <v>17.920000000000002</v>
      </c>
      <c r="E44" s="2" t="s">
        <v>300</v>
      </c>
      <c r="F44" s="2">
        <v>31.88</v>
      </c>
      <c r="G44" s="2" t="s">
        <v>300</v>
      </c>
      <c r="H44" s="2">
        <v>43.03</v>
      </c>
      <c r="I44" s="2" t="s">
        <v>300</v>
      </c>
      <c r="J44" s="2">
        <v>10.23</v>
      </c>
      <c r="K44" s="2" t="s">
        <v>300</v>
      </c>
      <c r="L44" s="2">
        <v>19.29</v>
      </c>
      <c r="M44" s="2" t="s">
        <v>300</v>
      </c>
      <c r="N44" s="2">
        <v>11.83</v>
      </c>
      <c r="O44" s="2" t="s">
        <v>300</v>
      </c>
      <c r="P44" s="2">
        <v>28.76</v>
      </c>
      <c r="Q44" s="2" t="s">
        <v>300</v>
      </c>
      <c r="R44" s="2" t="s">
        <v>79</v>
      </c>
      <c r="S44" s="2" t="s">
        <v>300</v>
      </c>
      <c r="T44" s="2">
        <v>17.649999999999999</v>
      </c>
      <c r="U44" s="2" t="s">
        <v>300</v>
      </c>
      <c r="V44" s="2">
        <v>4.87</v>
      </c>
      <c r="W44" s="2" t="s">
        <v>300</v>
      </c>
      <c r="X44" s="2">
        <v>116.83</v>
      </c>
      <c r="Y44" s="2" t="s">
        <v>300</v>
      </c>
      <c r="Z44" s="2">
        <v>26.85</v>
      </c>
      <c r="AA44" s="2" t="s">
        <v>300</v>
      </c>
      <c r="AB44" s="2">
        <v>23.21</v>
      </c>
      <c r="AC44" s="2" t="s">
        <v>300</v>
      </c>
      <c r="AD44" s="2">
        <v>16.7</v>
      </c>
      <c r="AE44" s="2" t="s">
        <v>300</v>
      </c>
      <c r="AF44" s="2">
        <v>27.21</v>
      </c>
      <c r="AG44" s="2" t="s">
        <v>300</v>
      </c>
      <c r="AH44" s="2">
        <v>42.8</v>
      </c>
      <c r="AI44" s="2" t="s">
        <v>300</v>
      </c>
      <c r="AJ44" s="2">
        <v>43.5</v>
      </c>
      <c r="AK44" s="2" t="s">
        <v>300</v>
      </c>
      <c r="AL44" s="2">
        <v>6.64</v>
      </c>
      <c r="AM44" s="2" t="s">
        <v>300</v>
      </c>
      <c r="AN44" s="2">
        <v>91.8</v>
      </c>
      <c r="AO44" s="2" t="s">
        <v>300</v>
      </c>
      <c r="AP44" s="2">
        <v>117.6</v>
      </c>
      <c r="AQ44" s="2" t="s">
        <v>300</v>
      </c>
      <c r="AR44" s="2">
        <v>10.9</v>
      </c>
      <c r="AS44" s="2" t="s">
        <v>300</v>
      </c>
      <c r="AT44" s="2">
        <v>1142.01</v>
      </c>
      <c r="AU44" s="2" t="s">
        <v>300</v>
      </c>
      <c r="AV44" s="2">
        <v>133.79</v>
      </c>
      <c r="AW44" s="2" t="s">
        <v>300</v>
      </c>
      <c r="AX44" s="2">
        <v>117.49</v>
      </c>
      <c r="AY44" s="2" t="s">
        <v>300</v>
      </c>
      <c r="AZ44" s="2" t="s">
        <v>302</v>
      </c>
      <c r="BA44" s="2" t="s">
        <v>300</v>
      </c>
      <c r="BB44" s="2">
        <v>150.26</v>
      </c>
      <c r="BC44" s="2" t="s">
        <v>300</v>
      </c>
      <c r="BD44" s="2">
        <v>17.16</v>
      </c>
      <c r="BE44" s="2" t="s">
        <v>300</v>
      </c>
      <c r="BF44" s="2">
        <v>16.5</v>
      </c>
      <c r="BG44" s="2" t="s">
        <v>300</v>
      </c>
      <c r="BH44" s="2">
        <v>33.99</v>
      </c>
      <c r="BI44" s="2" t="s">
        <v>300</v>
      </c>
      <c r="BJ44" s="2" t="s">
        <v>98</v>
      </c>
      <c r="BK44" s="2" t="s">
        <v>300</v>
      </c>
      <c r="BL44" s="2">
        <v>21.55</v>
      </c>
      <c r="BM44" s="2" t="s">
        <v>300</v>
      </c>
      <c r="BN44" s="2">
        <v>42.3</v>
      </c>
      <c r="BO44" s="2" t="s">
        <v>300</v>
      </c>
      <c r="BP44" s="2">
        <v>23.96</v>
      </c>
      <c r="BQ44" s="2" t="s">
        <v>300</v>
      </c>
      <c r="BR44" s="2">
        <v>14.57</v>
      </c>
      <c r="BS44" s="2" t="s">
        <v>300</v>
      </c>
      <c r="BT44" s="2">
        <v>11.8</v>
      </c>
      <c r="BU44" s="2" t="s">
        <v>300</v>
      </c>
      <c r="BV44" s="1" t="s">
        <v>677</v>
      </c>
      <c r="BW44" s="1" t="s">
        <v>300</v>
      </c>
      <c r="BX44" s="1" t="s">
        <v>678</v>
      </c>
    </row>
    <row r="45" spans="1:76">
      <c r="A45" s="2" t="s">
        <v>1</v>
      </c>
      <c r="B45" s="2">
        <v>45</v>
      </c>
      <c r="C45" s="2" t="s">
        <v>301</v>
      </c>
      <c r="D45" s="2" t="s">
        <v>69</v>
      </c>
      <c r="E45" s="2" t="s">
        <v>301</v>
      </c>
      <c r="F45" s="2">
        <v>32.1</v>
      </c>
      <c r="G45" s="2" t="s">
        <v>301</v>
      </c>
      <c r="H45" s="2">
        <v>42.97</v>
      </c>
      <c r="I45" s="2" t="s">
        <v>301</v>
      </c>
      <c r="J45" s="2">
        <v>10.48</v>
      </c>
      <c r="K45" s="2" t="s">
        <v>301</v>
      </c>
      <c r="L45" s="2">
        <v>19.440000000000001</v>
      </c>
      <c r="M45" s="2" t="s">
        <v>301</v>
      </c>
      <c r="N45" s="2">
        <v>12.02</v>
      </c>
      <c r="O45" s="2" t="s">
        <v>301</v>
      </c>
      <c r="P45" s="2">
        <v>29.01</v>
      </c>
      <c r="Q45" s="2" t="s">
        <v>301</v>
      </c>
      <c r="R45" s="2">
        <v>23.21</v>
      </c>
      <c r="S45" s="2" t="s">
        <v>301</v>
      </c>
      <c r="T45" s="2">
        <v>18.309999999999999</v>
      </c>
      <c r="U45" s="2" t="s">
        <v>301</v>
      </c>
      <c r="V45" s="2" t="s">
        <v>396</v>
      </c>
      <c r="W45" s="2" t="s">
        <v>301</v>
      </c>
      <c r="X45" s="2">
        <v>116.74</v>
      </c>
      <c r="Y45" s="2" t="s">
        <v>301</v>
      </c>
      <c r="Z45" s="2">
        <v>27.33</v>
      </c>
      <c r="AA45" s="2" t="s">
        <v>301</v>
      </c>
      <c r="AB45" s="2">
        <v>23.37</v>
      </c>
      <c r="AC45" s="2" t="s">
        <v>301</v>
      </c>
      <c r="AD45" s="2">
        <v>17.07</v>
      </c>
      <c r="AE45" s="2" t="s">
        <v>301</v>
      </c>
      <c r="AF45" s="2">
        <v>28.21</v>
      </c>
      <c r="AG45" s="2" t="s">
        <v>301</v>
      </c>
      <c r="AH45" s="2">
        <v>43.32</v>
      </c>
      <c r="AI45" s="2" t="s">
        <v>301</v>
      </c>
      <c r="AJ45" s="2" t="s">
        <v>84</v>
      </c>
      <c r="AK45" s="2" t="s">
        <v>301</v>
      </c>
      <c r="AL45" s="2">
        <v>6.75</v>
      </c>
      <c r="AM45" s="2" t="s">
        <v>301</v>
      </c>
      <c r="AN45" s="2">
        <v>92.29</v>
      </c>
      <c r="AO45" s="2" t="s">
        <v>301</v>
      </c>
      <c r="AP45" s="2">
        <v>117.98</v>
      </c>
      <c r="AQ45" s="2" t="s">
        <v>301</v>
      </c>
      <c r="AR45" s="2">
        <v>10.81</v>
      </c>
      <c r="AS45" s="2" t="s">
        <v>301</v>
      </c>
      <c r="AT45" s="2">
        <v>1159.99</v>
      </c>
      <c r="AU45" s="2" t="s">
        <v>301</v>
      </c>
      <c r="AV45" s="2">
        <v>134.88</v>
      </c>
      <c r="AW45" s="2" t="s">
        <v>301</v>
      </c>
      <c r="AX45" s="2">
        <v>117.12</v>
      </c>
      <c r="AY45" s="2" t="s">
        <v>301</v>
      </c>
      <c r="AZ45" s="2">
        <v>4.03</v>
      </c>
      <c r="BA45" s="2" t="s">
        <v>301</v>
      </c>
      <c r="BB45" s="2">
        <v>150.80000000000001</v>
      </c>
      <c r="BC45" s="2" t="s">
        <v>301</v>
      </c>
      <c r="BD45" s="2">
        <v>17.329999999999998</v>
      </c>
      <c r="BE45" s="2" t="s">
        <v>301</v>
      </c>
      <c r="BF45" s="2">
        <v>15.74</v>
      </c>
      <c r="BG45" s="2" t="s">
        <v>301</v>
      </c>
      <c r="BH45" s="2">
        <v>33.31</v>
      </c>
      <c r="BI45" s="2" t="s">
        <v>301</v>
      </c>
      <c r="BJ45" s="2">
        <v>157.80000000000001</v>
      </c>
      <c r="BK45" s="2" t="s">
        <v>301</v>
      </c>
      <c r="BL45" s="2">
        <v>21.68</v>
      </c>
      <c r="BM45" s="2" t="s">
        <v>301</v>
      </c>
      <c r="BN45" s="2" t="s">
        <v>84</v>
      </c>
      <c r="BO45" s="2" t="s">
        <v>301</v>
      </c>
      <c r="BP45" s="2">
        <v>24.34</v>
      </c>
      <c r="BQ45" s="2" t="s">
        <v>301</v>
      </c>
      <c r="BR45" s="2">
        <v>14.44</v>
      </c>
      <c r="BS45" s="2" t="s">
        <v>301</v>
      </c>
      <c r="BT45" s="2">
        <v>11.58</v>
      </c>
      <c r="BU45" s="2" t="s">
        <v>301</v>
      </c>
      <c r="BV45" s="1" t="s">
        <v>679</v>
      </c>
      <c r="BW45" s="1" t="s">
        <v>301</v>
      </c>
      <c r="BX45" s="1" t="s">
        <v>680</v>
      </c>
    </row>
    <row r="46" spans="1:76">
      <c r="A46" s="2" t="s">
        <v>1</v>
      </c>
      <c r="B46" s="2">
        <v>46</v>
      </c>
      <c r="C46" s="2" t="s">
        <v>303</v>
      </c>
      <c r="D46" s="2">
        <v>18.2</v>
      </c>
      <c r="E46" s="2" t="s">
        <v>303</v>
      </c>
      <c r="F46" s="2">
        <v>32.51</v>
      </c>
      <c r="G46" s="2" t="s">
        <v>303</v>
      </c>
      <c r="H46" s="2">
        <v>43.45</v>
      </c>
      <c r="I46" s="2" t="s">
        <v>303</v>
      </c>
      <c r="J46" s="2">
        <v>10.47</v>
      </c>
      <c r="K46" s="2" t="s">
        <v>303</v>
      </c>
      <c r="L46" s="2">
        <v>19.36</v>
      </c>
      <c r="M46" s="2" t="s">
        <v>303</v>
      </c>
      <c r="N46" s="2">
        <v>12.2</v>
      </c>
      <c r="O46" s="2" t="s">
        <v>303</v>
      </c>
      <c r="P46" s="2">
        <v>29.24</v>
      </c>
      <c r="Q46" s="2" t="s">
        <v>303</v>
      </c>
      <c r="R46" s="2">
        <v>22.85</v>
      </c>
      <c r="S46" s="2" t="s">
        <v>303</v>
      </c>
      <c r="T46" s="2">
        <v>18.29</v>
      </c>
      <c r="U46" s="2" t="s">
        <v>303</v>
      </c>
      <c r="V46" s="2">
        <v>5.0999999999999996</v>
      </c>
      <c r="W46" s="2" t="s">
        <v>303</v>
      </c>
      <c r="X46" s="2">
        <v>116.75</v>
      </c>
      <c r="Y46" s="2" t="s">
        <v>303</v>
      </c>
      <c r="Z46" s="2">
        <v>27.41</v>
      </c>
      <c r="AA46" s="2" t="s">
        <v>303</v>
      </c>
      <c r="AB46" s="2">
        <v>23.65</v>
      </c>
      <c r="AC46" s="2" t="s">
        <v>303</v>
      </c>
      <c r="AD46" s="2">
        <v>17.079999999999998</v>
      </c>
      <c r="AE46" s="2" t="s">
        <v>303</v>
      </c>
      <c r="AF46" s="2">
        <v>28.62</v>
      </c>
      <c r="AG46" s="2" t="s">
        <v>303</v>
      </c>
      <c r="AH46" s="2">
        <v>43.48</v>
      </c>
      <c r="AI46" s="2" t="s">
        <v>303</v>
      </c>
      <c r="AJ46" s="2">
        <v>44.4</v>
      </c>
      <c r="AK46" s="2" t="s">
        <v>303</v>
      </c>
      <c r="AL46" s="2">
        <v>6.83</v>
      </c>
      <c r="AM46" s="2" t="s">
        <v>303</v>
      </c>
      <c r="AN46" s="2">
        <v>92.28</v>
      </c>
      <c r="AO46" s="2" t="s">
        <v>303</v>
      </c>
      <c r="AP46" s="2">
        <v>118.1</v>
      </c>
      <c r="AQ46" s="2" t="s">
        <v>303</v>
      </c>
      <c r="AR46" s="2">
        <v>10.9</v>
      </c>
      <c r="AS46" s="2" t="s">
        <v>303</v>
      </c>
      <c r="AT46" s="2">
        <v>1144.8699999999999</v>
      </c>
      <c r="AU46" s="2" t="s">
        <v>303</v>
      </c>
      <c r="AV46" s="2">
        <v>137.5</v>
      </c>
      <c r="AW46" s="2" t="s">
        <v>303</v>
      </c>
      <c r="AX46" s="2">
        <v>117.9</v>
      </c>
      <c r="AY46" s="2" t="s">
        <v>303</v>
      </c>
      <c r="AZ46" s="2">
        <v>4.03</v>
      </c>
      <c r="BA46" s="2" t="s">
        <v>303</v>
      </c>
      <c r="BB46" s="2">
        <v>151.65</v>
      </c>
      <c r="BC46" s="2" t="s">
        <v>303</v>
      </c>
      <c r="BD46" s="2">
        <v>17.66</v>
      </c>
      <c r="BE46" s="2" t="s">
        <v>303</v>
      </c>
      <c r="BF46" s="2">
        <v>15.54</v>
      </c>
      <c r="BG46" s="2" t="s">
        <v>303</v>
      </c>
      <c r="BH46" s="2">
        <v>33.479999999999997</v>
      </c>
      <c r="BI46" s="2" t="s">
        <v>303</v>
      </c>
      <c r="BJ46" s="2" t="s">
        <v>144</v>
      </c>
      <c r="BK46" s="2" t="s">
        <v>303</v>
      </c>
      <c r="BL46" s="2">
        <v>22.09</v>
      </c>
      <c r="BM46" s="2" t="s">
        <v>303</v>
      </c>
      <c r="BN46" s="2">
        <v>43.63</v>
      </c>
      <c r="BO46" s="2" t="s">
        <v>303</v>
      </c>
      <c r="BP46" s="2">
        <v>24.59</v>
      </c>
      <c r="BQ46" s="2" t="s">
        <v>303</v>
      </c>
      <c r="BR46" s="2">
        <v>15.5</v>
      </c>
      <c r="BS46" s="2" t="s">
        <v>303</v>
      </c>
      <c r="BT46" s="2">
        <v>11.63</v>
      </c>
      <c r="BU46" s="2" t="s">
        <v>303</v>
      </c>
      <c r="BV46" s="1" t="s">
        <v>681</v>
      </c>
      <c r="BW46" s="1" t="s">
        <v>303</v>
      </c>
      <c r="BX46" s="1" t="s">
        <v>682</v>
      </c>
    </row>
    <row r="47" spans="1:76">
      <c r="A47" s="2" t="s">
        <v>1</v>
      </c>
      <c r="B47" s="2">
        <v>47</v>
      </c>
      <c r="C47" s="2" t="s">
        <v>304</v>
      </c>
      <c r="D47" s="2">
        <v>18.3</v>
      </c>
      <c r="E47" s="2" t="s">
        <v>304</v>
      </c>
      <c r="F47" s="2">
        <v>32.880000000000003</v>
      </c>
      <c r="G47" s="2" t="s">
        <v>304</v>
      </c>
      <c r="H47" s="2">
        <v>44.02</v>
      </c>
      <c r="I47" s="2" t="s">
        <v>304</v>
      </c>
      <c r="J47" s="2" t="s">
        <v>129</v>
      </c>
      <c r="K47" s="2" t="s">
        <v>304</v>
      </c>
      <c r="L47" s="2">
        <v>19.45</v>
      </c>
      <c r="M47" s="2" t="s">
        <v>304</v>
      </c>
      <c r="N47" s="2">
        <v>12.26</v>
      </c>
      <c r="O47" s="2" t="s">
        <v>304</v>
      </c>
      <c r="P47" s="2">
        <v>29.47</v>
      </c>
      <c r="Q47" s="2" t="s">
        <v>304</v>
      </c>
      <c r="R47" s="2">
        <v>23.3</v>
      </c>
      <c r="S47" s="2" t="s">
        <v>304</v>
      </c>
      <c r="T47" s="2">
        <v>19.690000000000001</v>
      </c>
      <c r="U47" s="2" t="s">
        <v>304</v>
      </c>
      <c r="V47" s="2">
        <v>5.27</v>
      </c>
      <c r="W47" s="2" t="s">
        <v>304</v>
      </c>
      <c r="X47" s="2">
        <v>116.5</v>
      </c>
      <c r="Y47" s="2" t="s">
        <v>304</v>
      </c>
      <c r="Z47" s="2">
        <v>27.74</v>
      </c>
      <c r="AA47" s="2" t="s">
        <v>304</v>
      </c>
      <c r="AB47" s="2">
        <v>23.8</v>
      </c>
      <c r="AC47" s="2" t="s">
        <v>304</v>
      </c>
      <c r="AD47" s="2">
        <v>17.22</v>
      </c>
      <c r="AE47" s="2" t="s">
        <v>304</v>
      </c>
      <c r="AF47" s="2">
        <v>29.85</v>
      </c>
      <c r="AG47" s="2" t="s">
        <v>304</v>
      </c>
      <c r="AH47" s="2">
        <v>45.1</v>
      </c>
      <c r="AI47" s="2" t="s">
        <v>304</v>
      </c>
      <c r="AJ47" s="2">
        <v>44.2</v>
      </c>
      <c r="AK47" s="2" t="s">
        <v>304</v>
      </c>
      <c r="AL47" s="2">
        <v>7.14</v>
      </c>
      <c r="AM47" s="2" t="s">
        <v>304</v>
      </c>
      <c r="AN47" s="2">
        <v>92.15</v>
      </c>
      <c r="AO47" s="2" t="s">
        <v>304</v>
      </c>
      <c r="AP47" s="2">
        <v>119.89</v>
      </c>
      <c r="AQ47" s="2" t="s">
        <v>304</v>
      </c>
      <c r="AR47" s="2">
        <v>10.9</v>
      </c>
      <c r="AS47" s="2" t="s">
        <v>304</v>
      </c>
      <c r="AT47" s="2">
        <v>1150.5</v>
      </c>
      <c r="AU47" s="2" t="s">
        <v>304</v>
      </c>
      <c r="AV47" s="2">
        <v>137.5</v>
      </c>
      <c r="AW47" s="2" t="s">
        <v>304</v>
      </c>
      <c r="AX47" s="2">
        <v>118.38</v>
      </c>
      <c r="AY47" s="2" t="s">
        <v>304</v>
      </c>
      <c r="AZ47" s="2">
        <v>4.04</v>
      </c>
      <c r="BA47" s="2" t="s">
        <v>304</v>
      </c>
      <c r="BB47" s="2">
        <v>151.94999999999999</v>
      </c>
      <c r="BC47" s="2" t="s">
        <v>304</v>
      </c>
      <c r="BD47" s="2" t="s">
        <v>69</v>
      </c>
      <c r="BE47" s="2" t="s">
        <v>304</v>
      </c>
      <c r="BF47" s="2">
        <v>16.25</v>
      </c>
      <c r="BG47" s="2" t="s">
        <v>304</v>
      </c>
      <c r="BH47" s="2">
        <v>35.479999999999997</v>
      </c>
      <c r="BI47" s="2" t="s">
        <v>304</v>
      </c>
      <c r="BJ47" s="2">
        <v>157.99</v>
      </c>
      <c r="BK47" s="2" t="s">
        <v>304</v>
      </c>
      <c r="BL47" s="2">
        <v>22.4</v>
      </c>
      <c r="BM47" s="2" t="s">
        <v>304</v>
      </c>
      <c r="BN47" s="2">
        <v>44.29</v>
      </c>
      <c r="BO47" s="2" t="s">
        <v>304</v>
      </c>
      <c r="BP47" s="2">
        <v>25.5</v>
      </c>
      <c r="BQ47" s="2" t="s">
        <v>304</v>
      </c>
      <c r="BR47" s="2">
        <v>16.100000000000001</v>
      </c>
      <c r="BS47" s="2" t="s">
        <v>304</v>
      </c>
      <c r="BT47" s="2">
        <v>11.8</v>
      </c>
      <c r="BU47" s="2" t="s">
        <v>304</v>
      </c>
      <c r="BV47" s="1" t="s">
        <v>683</v>
      </c>
      <c r="BW47" s="1" t="s">
        <v>304</v>
      </c>
      <c r="BX47" s="1" t="s">
        <v>684</v>
      </c>
    </row>
    <row r="48" spans="1:76">
      <c r="A48" s="2" t="s">
        <v>1</v>
      </c>
      <c r="B48" s="2">
        <v>48</v>
      </c>
      <c r="C48" s="2" t="s">
        <v>305</v>
      </c>
      <c r="D48" s="2">
        <v>18.39</v>
      </c>
      <c r="E48" s="2" t="s">
        <v>305</v>
      </c>
      <c r="F48" s="2">
        <v>32.67</v>
      </c>
      <c r="G48" s="2" t="s">
        <v>305</v>
      </c>
      <c r="H48" s="2">
        <v>44.98</v>
      </c>
      <c r="I48" s="2" t="s">
        <v>305</v>
      </c>
      <c r="J48" s="2">
        <v>11.09</v>
      </c>
      <c r="K48" s="2" t="s">
        <v>305</v>
      </c>
      <c r="L48" s="2">
        <v>20.100000000000001</v>
      </c>
      <c r="M48" s="2" t="s">
        <v>305</v>
      </c>
      <c r="N48" s="2">
        <v>12.29</v>
      </c>
      <c r="O48" s="2" t="s">
        <v>305</v>
      </c>
      <c r="P48" s="2">
        <v>29.9</v>
      </c>
      <c r="Q48" s="2" t="s">
        <v>305</v>
      </c>
      <c r="R48" s="2">
        <v>23.68</v>
      </c>
      <c r="S48" s="2" t="s">
        <v>305</v>
      </c>
      <c r="T48" s="2">
        <v>19.7</v>
      </c>
      <c r="U48" s="2" t="s">
        <v>305</v>
      </c>
      <c r="V48" s="2">
        <v>5.83</v>
      </c>
      <c r="W48" s="2" t="s">
        <v>305</v>
      </c>
      <c r="X48" s="2" t="s">
        <v>141</v>
      </c>
      <c r="Y48" s="2" t="s">
        <v>305</v>
      </c>
      <c r="Z48" s="2">
        <v>28.1</v>
      </c>
      <c r="AA48" s="2" t="s">
        <v>305</v>
      </c>
      <c r="AB48" s="2">
        <v>24.8</v>
      </c>
      <c r="AC48" s="2" t="s">
        <v>305</v>
      </c>
      <c r="AD48" s="2">
        <v>17.64</v>
      </c>
      <c r="AE48" s="2" t="s">
        <v>305</v>
      </c>
      <c r="AF48" s="2">
        <v>30.58</v>
      </c>
      <c r="AG48" s="2" t="s">
        <v>305</v>
      </c>
      <c r="AH48" s="2">
        <v>45.57</v>
      </c>
      <c r="AI48" s="2" t="s">
        <v>305</v>
      </c>
      <c r="AJ48" s="2">
        <v>45.97</v>
      </c>
      <c r="AK48" s="2" t="s">
        <v>305</v>
      </c>
      <c r="AL48" s="2">
        <v>7.29</v>
      </c>
      <c r="AM48" s="2" t="s">
        <v>305</v>
      </c>
      <c r="AN48" s="2">
        <v>93.29</v>
      </c>
      <c r="AO48" s="2" t="s">
        <v>305</v>
      </c>
      <c r="AP48" s="2" t="s">
        <v>102</v>
      </c>
      <c r="AQ48" s="2" t="s">
        <v>305</v>
      </c>
      <c r="AR48" s="2">
        <v>10.9</v>
      </c>
      <c r="AS48" s="2" t="s">
        <v>305</v>
      </c>
      <c r="AT48" s="2" t="s">
        <v>140</v>
      </c>
      <c r="AU48" s="2" t="s">
        <v>305</v>
      </c>
      <c r="AV48" s="2">
        <v>139.66999999999999</v>
      </c>
      <c r="AW48" s="2" t="s">
        <v>305</v>
      </c>
      <c r="AX48" s="2">
        <v>119.3</v>
      </c>
      <c r="AY48" s="2" t="s">
        <v>305</v>
      </c>
      <c r="AZ48" s="2">
        <v>4.03</v>
      </c>
      <c r="BA48" s="2" t="s">
        <v>305</v>
      </c>
      <c r="BB48" s="2">
        <v>152.77000000000001</v>
      </c>
      <c r="BC48" s="2" t="s">
        <v>305</v>
      </c>
      <c r="BD48" s="2">
        <v>18.350000000000001</v>
      </c>
      <c r="BE48" s="2" t="s">
        <v>305</v>
      </c>
      <c r="BF48" s="2">
        <v>17.489999999999998</v>
      </c>
      <c r="BG48" s="2" t="s">
        <v>305</v>
      </c>
      <c r="BH48" s="2">
        <v>36.200000000000003</v>
      </c>
      <c r="BI48" s="2" t="s">
        <v>305</v>
      </c>
      <c r="BJ48" s="2">
        <v>158.19999999999999</v>
      </c>
      <c r="BK48" s="2" t="s">
        <v>305</v>
      </c>
      <c r="BL48" s="2">
        <v>22.5</v>
      </c>
      <c r="BM48" s="2" t="s">
        <v>305</v>
      </c>
      <c r="BN48" s="2">
        <v>44.8</v>
      </c>
      <c r="BO48" s="2" t="s">
        <v>305</v>
      </c>
      <c r="BP48" s="2">
        <v>25.5</v>
      </c>
      <c r="BQ48" s="2" t="s">
        <v>305</v>
      </c>
      <c r="BR48" s="2">
        <v>16.899999999999999</v>
      </c>
      <c r="BS48" s="2" t="s">
        <v>305</v>
      </c>
      <c r="BT48" s="2">
        <v>11.95</v>
      </c>
      <c r="BU48" s="2" t="s">
        <v>305</v>
      </c>
      <c r="BV48" s="1" t="s">
        <v>685</v>
      </c>
      <c r="BW48" s="1" t="s">
        <v>305</v>
      </c>
      <c r="BX48" s="1" t="s">
        <v>686</v>
      </c>
    </row>
    <row r="49" spans="1:76">
      <c r="A49" s="2" t="s">
        <v>1</v>
      </c>
      <c r="B49" s="2">
        <v>49</v>
      </c>
      <c r="C49" s="2" t="s">
        <v>306</v>
      </c>
      <c r="D49" s="2">
        <v>18.12</v>
      </c>
      <c r="E49" s="2" t="s">
        <v>306</v>
      </c>
      <c r="F49" s="2">
        <v>32.65</v>
      </c>
      <c r="G49" s="2" t="s">
        <v>306</v>
      </c>
      <c r="H49" s="2">
        <v>44.25</v>
      </c>
      <c r="I49" s="2" t="s">
        <v>306</v>
      </c>
      <c r="J49" s="2">
        <v>10.96</v>
      </c>
      <c r="K49" s="2" t="s">
        <v>306</v>
      </c>
      <c r="L49" s="2">
        <v>20.149999999999999</v>
      </c>
      <c r="M49" s="2" t="s">
        <v>306</v>
      </c>
      <c r="N49" s="2">
        <v>12.14</v>
      </c>
      <c r="O49" s="2" t="s">
        <v>306</v>
      </c>
      <c r="P49" s="2">
        <v>29.32</v>
      </c>
      <c r="Q49" s="2" t="s">
        <v>306</v>
      </c>
      <c r="R49" s="2">
        <v>23.93</v>
      </c>
      <c r="S49" s="2" t="s">
        <v>306</v>
      </c>
      <c r="T49" s="2">
        <v>19.899999999999999</v>
      </c>
      <c r="U49" s="2" t="s">
        <v>306</v>
      </c>
      <c r="V49" s="2">
        <v>5.63</v>
      </c>
      <c r="W49" s="2" t="s">
        <v>306</v>
      </c>
      <c r="X49" s="2">
        <v>116.99</v>
      </c>
      <c r="Y49" s="2" t="s">
        <v>306</v>
      </c>
      <c r="Z49" s="2">
        <v>27.98</v>
      </c>
      <c r="AA49" s="2" t="s">
        <v>306</v>
      </c>
      <c r="AB49" s="2">
        <v>24.75</v>
      </c>
      <c r="AC49" s="2" t="s">
        <v>306</v>
      </c>
      <c r="AD49" s="2">
        <v>17.59</v>
      </c>
      <c r="AE49" s="2" t="s">
        <v>306</v>
      </c>
      <c r="AF49" s="2">
        <v>29.5</v>
      </c>
      <c r="AG49" s="2" t="s">
        <v>306</v>
      </c>
      <c r="AH49" s="2">
        <v>46.01</v>
      </c>
      <c r="AI49" s="2" t="s">
        <v>306</v>
      </c>
      <c r="AJ49" s="2">
        <v>45.6</v>
      </c>
      <c r="AK49" s="2" t="s">
        <v>306</v>
      </c>
      <c r="AL49" s="2">
        <v>7.39</v>
      </c>
      <c r="AM49" s="2" t="s">
        <v>306</v>
      </c>
      <c r="AN49" s="2">
        <v>92.99</v>
      </c>
      <c r="AO49" s="2" t="s">
        <v>306</v>
      </c>
      <c r="AP49" s="2">
        <v>118.85</v>
      </c>
      <c r="AQ49" s="2" t="s">
        <v>306</v>
      </c>
      <c r="AR49" s="2">
        <v>10.83</v>
      </c>
      <c r="AS49" s="2" t="s">
        <v>306</v>
      </c>
      <c r="AT49" s="2">
        <v>1145.71</v>
      </c>
      <c r="AU49" s="2" t="s">
        <v>306</v>
      </c>
      <c r="AV49" s="2">
        <v>140.49</v>
      </c>
      <c r="AW49" s="2" t="s">
        <v>306</v>
      </c>
      <c r="AX49" s="2">
        <v>117.36</v>
      </c>
      <c r="AY49" s="2" t="s">
        <v>306</v>
      </c>
      <c r="AZ49" s="2">
        <v>4.09</v>
      </c>
      <c r="BA49" s="2" t="s">
        <v>306</v>
      </c>
      <c r="BB49" s="2" t="s">
        <v>119</v>
      </c>
      <c r="BC49" s="2" t="s">
        <v>306</v>
      </c>
      <c r="BD49" s="2">
        <v>18.75</v>
      </c>
      <c r="BE49" s="2" t="s">
        <v>306</v>
      </c>
      <c r="BF49" s="2">
        <v>20.63</v>
      </c>
      <c r="BG49" s="2" t="s">
        <v>306</v>
      </c>
      <c r="BH49" s="2">
        <v>35.81</v>
      </c>
      <c r="BI49" s="2" t="s">
        <v>306</v>
      </c>
      <c r="BJ49" s="2">
        <v>155.5</v>
      </c>
      <c r="BK49" s="2" t="s">
        <v>306</v>
      </c>
      <c r="BL49" s="2">
        <v>22.78</v>
      </c>
      <c r="BM49" s="2" t="s">
        <v>306</v>
      </c>
      <c r="BN49" s="2">
        <v>43.94</v>
      </c>
      <c r="BO49" s="2" t="s">
        <v>306</v>
      </c>
      <c r="BP49" s="2">
        <v>25.3</v>
      </c>
      <c r="BQ49" s="2" t="s">
        <v>306</v>
      </c>
      <c r="BR49" s="2">
        <v>16.649999999999999</v>
      </c>
      <c r="BS49" s="2" t="s">
        <v>306</v>
      </c>
      <c r="BT49" s="2">
        <v>12.25</v>
      </c>
      <c r="BU49" s="2" t="s">
        <v>306</v>
      </c>
      <c r="BV49" s="1" t="s">
        <v>687</v>
      </c>
      <c r="BW49" s="1" t="s">
        <v>306</v>
      </c>
      <c r="BX49" s="1" t="s">
        <v>688</v>
      </c>
    </row>
    <row r="50" spans="1:76">
      <c r="A50" s="2" t="s">
        <v>1</v>
      </c>
      <c r="B50" s="2">
        <v>50</v>
      </c>
      <c r="C50" s="2" t="s">
        <v>307</v>
      </c>
      <c r="D50" s="2">
        <v>18.53</v>
      </c>
      <c r="E50" s="2" t="s">
        <v>307</v>
      </c>
      <c r="F50" s="2">
        <v>32.22</v>
      </c>
      <c r="G50" s="2" t="s">
        <v>307</v>
      </c>
      <c r="H50" s="2">
        <v>43.94</v>
      </c>
      <c r="I50" s="2" t="s">
        <v>307</v>
      </c>
      <c r="J50" s="2">
        <v>11.25</v>
      </c>
      <c r="K50" s="2" t="s">
        <v>307</v>
      </c>
      <c r="L50" s="2">
        <v>19.829999999999998</v>
      </c>
      <c r="M50" s="2" t="s">
        <v>307</v>
      </c>
      <c r="N50" s="2">
        <v>11.95</v>
      </c>
      <c r="O50" s="2" t="s">
        <v>307</v>
      </c>
      <c r="P50" s="2">
        <v>28.89</v>
      </c>
      <c r="Q50" s="2" t="s">
        <v>307</v>
      </c>
      <c r="R50" s="2">
        <v>24.34</v>
      </c>
      <c r="S50" s="2" t="s">
        <v>307</v>
      </c>
      <c r="T50" s="2">
        <v>18.940000000000001</v>
      </c>
      <c r="U50" s="2" t="s">
        <v>307</v>
      </c>
      <c r="V50" s="2">
        <v>5.57</v>
      </c>
      <c r="W50" s="2" t="s">
        <v>307</v>
      </c>
      <c r="X50" s="2" t="s">
        <v>141</v>
      </c>
      <c r="Y50" s="2" t="s">
        <v>307</v>
      </c>
      <c r="Z50" s="2" t="s">
        <v>81</v>
      </c>
      <c r="AA50" s="2" t="s">
        <v>307</v>
      </c>
      <c r="AB50" s="2">
        <v>24.5</v>
      </c>
      <c r="AC50" s="2" t="s">
        <v>307</v>
      </c>
      <c r="AD50" s="2">
        <v>17.84</v>
      </c>
      <c r="AE50" s="2" t="s">
        <v>307</v>
      </c>
      <c r="AF50" s="2">
        <v>29.57</v>
      </c>
      <c r="AG50" s="2" t="s">
        <v>307</v>
      </c>
      <c r="AH50" s="2">
        <v>45.52</v>
      </c>
      <c r="AI50" s="2" t="s">
        <v>307</v>
      </c>
      <c r="AJ50" s="2">
        <v>45.55</v>
      </c>
      <c r="AK50" s="2" t="s">
        <v>307</v>
      </c>
      <c r="AL50" s="2">
        <v>7.25</v>
      </c>
      <c r="AM50" s="2" t="s">
        <v>307</v>
      </c>
      <c r="AN50" s="2">
        <v>92.9</v>
      </c>
      <c r="AO50" s="2" t="s">
        <v>307</v>
      </c>
      <c r="AP50" s="2" t="s">
        <v>111</v>
      </c>
      <c r="AQ50" s="2" t="s">
        <v>307</v>
      </c>
      <c r="AR50" s="2">
        <v>10.88</v>
      </c>
      <c r="AS50" s="2" t="s">
        <v>307</v>
      </c>
      <c r="AT50" s="2">
        <v>1155.2</v>
      </c>
      <c r="AU50" s="2" t="s">
        <v>307</v>
      </c>
      <c r="AV50" s="2">
        <v>139.51</v>
      </c>
      <c r="AW50" s="2" t="s">
        <v>307</v>
      </c>
      <c r="AX50" s="2">
        <v>117.64</v>
      </c>
      <c r="AY50" s="2" t="s">
        <v>307</v>
      </c>
      <c r="AZ50" s="2">
        <v>4.1399999999999997</v>
      </c>
      <c r="BA50" s="2" t="s">
        <v>307</v>
      </c>
      <c r="BB50" s="2">
        <v>152.6</v>
      </c>
      <c r="BC50" s="2" t="s">
        <v>307</v>
      </c>
      <c r="BD50" s="2">
        <v>18.27</v>
      </c>
      <c r="BE50" s="2" t="s">
        <v>307</v>
      </c>
      <c r="BF50" s="2">
        <v>19.75</v>
      </c>
      <c r="BG50" s="2" t="s">
        <v>307</v>
      </c>
      <c r="BH50" s="2">
        <v>35.520000000000003</v>
      </c>
      <c r="BI50" s="2" t="s">
        <v>307</v>
      </c>
      <c r="BJ50" s="2" t="s">
        <v>143</v>
      </c>
      <c r="BK50" s="2" t="s">
        <v>307</v>
      </c>
      <c r="BL50" s="2">
        <v>22.19</v>
      </c>
      <c r="BM50" s="2" t="s">
        <v>307</v>
      </c>
      <c r="BN50" s="2">
        <v>43.75</v>
      </c>
      <c r="BO50" s="2" t="s">
        <v>307</v>
      </c>
      <c r="BP50" s="2">
        <v>25.6</v>
      </c>
      <c r="BQ50" s="2" t="s">
        <v>307</v>
      </c>
      <c r="BR50" s="2">
        <v>16.850000000000001</v>
      </c>
      <c r="BS50" s="2" t="s">
        <v>307</v>
      </c>
      <c r="BT50" s="2">
        <v>12.24</v>
      </c>
      <c r="BU50" s="2" t="s">
        <v>307</v>
      </c>
      <c r="BV50" s="1" t="s">
        <v>689</v>
      </c>
      <c r="BW50" s="1" t="s">
        <v>307</v>
      </c>
      <c r="BX50" s="1" t="s">
        <v>682</v>
      </c>
    </row>
    <row r="51" spans="1:76">
      <c r="A51" s="2" t="s">
        <v>1</v>
      </c>
      <c r="B51" s="2">
        <v>51</v>
      </c>
      <c r="C51" s="2" t="s">
        <v>308</v>
      </c>
      <c r="D51" s="2">
        <v>18.43</v>
      </c>
      <c r="E51" s="2" t="s">
        <v>308</v>
      </c>
      <c r="F51" s="2">
        <v>32.619999999999997</v>
      </c>
      <c r="G51" s="2" t="s">
        <v>308</v>
      </c>
      <c r="H51" s="2">
        <v>44.22</v>
      </c>
      <c r="I51" s="2" t="s">
        <v>308</v>
      </c>
      <c r="J51" s="2">
        <v>11.59</v>
      </c>
      <c r="K51" s="2" t="s">
        <v>308</v>
      </c>
      <c r="L51" s="2">
        <v>19.82</v>
      </c>
      <c r="M51" s="2" t="s">
        <v>308</v>
      </c>
      <c r="N51" s="2">
        <v>12.14</v>
      </c>
      <c r="O51" s="2" t="s">
        <v>308</v>
      </c>
      <c r="P51" s="2">
        <v>28.88</v>
      </c>
      <c r="Q51" s="2" t="s">
        <v>308</v>
      </c>
      <c r="R51" s="2">
        <v>24.5</v>
      </c>
      <c r="S51" s="2" t="s">
        <v>308</v>
      </c>
      <c r="T51" s="2">
        <v>17.72</v>
      </c>
      <c r="U51" s="2" t="s">
        <v>308</v>
      </c>
      <c r="V51" s="2">
        <v>5.68</v>
      </c>
      <c r="W51" s="2" t="s">
        <v>308</v>
      </c>
      <c r="X51" s="2">
        <v>115.99</v>
      </c>
      <c r="Y51" s="2" t="s">
        <v>308</v>
      </c>
      <c r="Z51" s="2">
        <v>28.5</v>
      </c>
      <c r="AA51" s="2" t="s">
        <v>308</v>
      </c>
      <c r="AB51" s="2">
        <v>24.9</v>
      </c>
      <c r="AC51" s="2" t="s">
        <v>308</v>
      </c>
      <c r="AD51" s="2">
        <v>17.850000000000001</v>
      </c>
      <c r="AE51" s="2" t="s">
        <v>308</v>
      </c>
      <c r="AF51" s="2">
        <v>31.11</v>
      </c>
      <c r="AG51" s="2" t="s">
        <v>308</v>
      </c>
      <c r="AH51" s="2">
        <v>46.52</v>
      </c>
      <c r="AI51" s="2" t="s">
        <v>308</v>
      </c>
      <c r="AJ51" s="2">
        <v>46.19</v>
      </c>
      <c r="AK51" s="2" t="s">
        <v>308</v>
      </c>
      <c r="AL51" s="2">
        <v>7.19</v>
      </c>
      <c r="AM51" s="2" t="s">
        <v>308</v>
      </c>
      <c r="AN51" s="2">
        <v>93.6</v>
      </c>
      <c r="AO51" s="2" t="s">
        <v>308</v>
      </c>
      <c r="AP51" s="2">
        <v>121.48</v>
      </c>
      <c r="AQ51" s="2" t="s">
        <v>308</v>
      </c>
      <c r="AR51" s="2">
        <v>10.81</v>
      </c>
      <c r="AS51" s="2" t="s">
        <v>308</v>
      </c>
      <c r="AT51" s="2" t="s">
        <v>309</v>
      </c>
      <c r="AU51" s="2" t="s">
        <v>308</v>
      </c>
      <c r="AV51" s="2">
        <v>139.82</v>
      </c>
      <c r="AW51" s="2" t="s">
        <v>308</v>
      </c>
      <c r="AX51" s="2">
        <v>117.2</v>
      </c>
      <c r="AY51" s="2" t="s">
        <v>308</v>
      </c>
      <c r="AZ51" s="2">
        <v>4.17</v>
      </c>
      <c r="BA51" s="2" t="s">
        <v>308</v>
      </c>
      <c r="BB51" s="2">
        <v>153.4</v>
      </c>
      <c r="BC51" s="2" t="s">
        <v>308</v>
      </c>
      <c r="BD51" s="2">
        <v>18.13</v>
      </c>
      <c r="BE51" s="2" t="s">
        <v>308</v>
      </c>
      <c r="BF51" s="2">
        <v>19.38</v>
      </c>
      <c r="BG51" s="2" t="s">
        <v>308</v>
      </c>
      <c r="BH51" s="2">
        <v>36.700000000000003</v>
      </c>
      <c r="BI51" s="2" t="s">
        <v>308</v>
      </c>
      <c r="BJ51" s="2">
        <v>156.30000000000001</v>
      </c>
      <c r="BK51" s="2" t="s">
        <v>308</v>
      </c>
      <c r="BL51" s="2">
        <v>22.63</v>
      </c>
      <c r="BM51" s="2" t="s">
        <v>308</v>
      </c>
      <c r="BN51" s="2">
        <v>44.63</v>
      </c>
      <c r="BO51" s="2" t="s">
        <v>308</v>
      </c>
      <c r="BP51" s="2">
        <v>26.26</v>
      </c>
      <c r="BQ51" s="2" t="s">
        <v>308</v>
      </c>
      <c r="BR51" s="2">
        <v>16.920000000000002</v>
      </c>
      <c r="BS51" s="2" t="s">
        <v>308</v>
      </c>
      <c r="BT51" s="2">
        <v>12.16</v>
      </c>
      <c r="BU51" s="2" t="s">
        <v>308</v>
      </c>
      <c r="BV51" s="1" t="s">
        <v>690</v>
      </c>
      <c r="BW51" s="1" t="s">
        <v>308</v>
      </c>
      <c r="BX51" s="1" t="s">
        <v>688</v>
      </c>
    </row>
    <row r="52" spans="1:76">
      <c r="A52" s="2" t="s">
        <v>1</v>
      </c>
      <c r="B52" s="2">
        <v>52</v>
      </c>
      <c r="C52" s="2" t="s">
        <v>310</v>
      </c>
      <c r="D52" s="2">
        <v>18.75</v>
      </c>
      <c r="E52" s="2" t="s">
        <v>310</v>
      </c>
      <c r="F52" s="2">
        <v>32.82</v>
      </c>
      <c r="G52" s="2" t="s">
        <v>310</v>
      </c>
      <c r="H52" s="2">
        <v>44.69</v>
      </c>
      <c r="I52" s="2" t="s">
        <v>310</v>
      </c>
      <c r="J52" s="2">
        <v>11.21</v>
      </c>
      <c r="K52" s="2" t="s">
        <v>310</v>
      </c>
      <c r="L52" s="2">
        <v>19.88</v>
      </c>
      <c r="M52" s="2" t="s">
        <v>310</v>
      </c>
      <c r="N52" s="2">
        <v>12.58</v>
      </c>
      <c r="O52" s="2" t="s">
        <v>310</v>
      </c>
      <c r="P52" s="2">
        <v>29.8</v>
      </c>
      <c r="Q52" s="2" t="s">
        <v>310</v>
      </c>
      <c r="R52" s="2">
        <v>24.69</v>
      </c>
      <c r="S52" s="2" t="s">
        <v>310</v>
      </c>
      <c r="T52" s="2">
        <v>17.97</v>
      </c>
      <c r="U52" s="2" t="s">
        <v>310</v>
      </c>
      <c r="V52" s="2">
        <v>5.75</v>
      </c>
      <c r="W52" s="2" t="s">
        <v>310</v>
      </c>
      <c r="X52" s="2">
        <v>116.75</v>
      </c>
      <c r="Y52" s="2" t="s">
        <v>310</v>
      </c>
      <c r="Z52" s="2">
        <v>28.4</v>
      </c>
      <c r="AA52" s="2" t="s">
        <v>310</v>
      </c>
      <c r="AB52" s="2">
        <v>24.96</v>
      </c>
      <c r="AC52" s="2" t="s">
        <v>310</v>
      </c>
      <c r="AD52" s="2">
        <v>18.05</v>
      </c>
      <c r="AE52" s="2" t="s">
        <v>310</v>
      </c>
      <c r="AF52" s="2">
        <v>30.91</v>
      </c>
      <c r="AG52" s="2" t="s">
        <v>310</v>
      </c>
      <c r="AH52" s="2">
        <v>46.52</v>
      </c>
      <c r="AI52" s="2" t="s">
        <v>310</v>
      </c>
      <c r="AJ52" s="2">
        <v>46.69</v>
      </c>
      <c r="AK52" s="2" t="s">
        <v>310</v>
      </c>
      <c r="AL52" s="2">
        <v>7.31</v>
      </c>
      <c r="AM52" s="2" t="s">
        <v>310</v>
      </c>
      <c r="AN52" s="2">
        <v>93.85</v>
      </c>
      <c r="AO52" s="2" t="s">
        <v>310</v>
      </c>
      <c r="AP52" s="2">
        <v>121.2</v>
      </c>
      <c r="AQ52" s="2" t="s">
        <v>310</v>
      </c>
      <c r="AR52" s="2">
        <v>10.9</v>
      </c>
      <c r="AS52" s="2" t="s">
        <v>310</v>
      </c>
      <c r="AT52" s="2" t="s">
        <v>311</v>
      </c>
      <c r="AU52" s="2" t="s">
        <v>310</v>
      </c>
      <c r="AV52" s="2">
        <v>140.5</v>
      </c>
      <c r="AW52" s="2" t="s">
        <v>310</v>
      </c>
      <c r="AX52" s="2" t="s">
        <v>141</v>
      </c>
      <c r="AY52" s="2" t="s">
        <v>310</v>
      </c>
      <c r="AZ52" s="2">
        <v>4.16</v>
      </c>
      <c r="BA52" s="2" t="s">
        <v>310</v>
      </c>
      <c r="BB52" s="2">
        <v>153.97999999999999</v>
      </c>
      <c r="BC52" s="2" t="s">
        <v>310</v>
      </c>
      <c r="BD52" s="2">
        <v>17.670000000000002</v>
      </c>
      <c r="BE52" s="2" t="s">
        <v>310</v>
      </c>
      <c r="BF52" s="2">
        <v>19.18</v>
      </c>
      <c r="BG52" s="2" t="s">
        <v>310</v>
      </c>
      <c r="BH52" s="2">
        <v>36.79</v>
      </c>
      <c r="BI52" s="2" t="s">
        <v>310</v>
      </c>
      <c r="BJ52" s="2">
        <v>156.5</v>
      </c>
      <c r="BK52" s="2" t="s">
        <v>310</v>
      </c>
      <c r="BL52" s="2">
        <v>22.78</v>
      </c>
      <c r="BM52" s="2" t="s">
        <v>310</v>
      </c>
      <c r="BN52" s="2">
        <v>45.3</v>
      </c>
      <c r="BO52" s="2" t="s">
        <v>310</v>
      </c>
      <c r="BP52" s="2">
        <v>26.39</v>
      </c>
      <c r="BQ52" s="2" t="s">
        <v>310</v>
      </c>
      <c r="BR52" s="2">
        <v>16.850000000000001</v>
      </c>
      <c r="BS52" s="2" t="s">
        <v>310</v>
      </c>
      <c r="BT52" s="2">
        <v>12.16</v>
      </c>
      <c r="BU52" s="2" t="s">
        <v>310</v>
      </c>
      <c r="BV52" s="1" t="s">
        <v>313</v>
      </c>
      <c r="BW52" s="1" t="s">
        <v>310</v>
      </c>
      <c r="BX52" s="1" t="s">
        <v>688</v>
      </c>
    </row>
    <row r="53" spans="1:76">
      <c r="A53" s="2" t="s">
        <v>1</v>
      </c>
      <c r="B53" s="2">
        <v>53</v>
      </c>
      <c r="C53" s="2" t="s">
        <v>312</v>
      </c>
      <c r="D53" s="2">
        <v>18.739999999999998</v>
      </c>
      <c r="E53" s="2" t="s">
        <v>312</v>
      </c>
      <c r="F53" s="2">
        <v>32.729999999999997</v>
      </c>
      <c r="G53" s="2" t="s">
        <v>312</v>
      </c>
      <c r="H53" s="2" t="s">
        <v>55</v>
      </c>
      <c r="I53" s="2" t="s">
        <v>312</v>
      </c>
      <c r="J53" s="2">
        <v>11.49</v>
      </c>
      <c r="K53" s="2" t="s">
        <v>312</v>
      </c>
      <c r="L53" s="2">
        <v>19.71</v>
      </c>
      <c r="M53" s="2" t="s">
        <v>312</v>
      </c>
      <c r="N53" s="2">
        <v>12.95</v>
      </c>
      <c r="O53" s="2" t="s">
        <v>312</v>
      </c>
      <c r="P53" s="2">
        <v>30.68</v>
      </c>
      <c r="Q53" s="2" t="s">
        <v>312</v>
      </c>
      <c r="R53" s="2">
        <v>24.5</v>
      </c>
      <c r="S53" s="2" t="s">
        <v>312</v>
      </c>
      <c r="T53" s="2">
        <v>17.45</v>
      </c>
      <c r="U53" s="2" t="s">
        <v>312</v>
      </c>
      <c r="V53" s="2">
        <v>5.67</v>
      </c>
      <c r="W53" s="2" t="s">
        <v>312</v>
      </c>
      <c r="X53" s="2" t="s">
        <v>141</v>
      </c>
      <c r="Y53" s="2" t="s">
        <v>312</v>
      </c>
      <c r="Z53" s="2">
        <v>28.36</v>
      </c>
      <c r="AA53" s="2" t="s">
        <v>312</v>
      </c>
      <c r="AB53" s="2">
        <v>24.7</v>
      </c>
      <c r="AC53" s="2" t="s">
        <v>312</v>
      </c>
      <c r="AD53" s="2">
        <v>18.100000000000001</v>
      </c>
      <c r="AE53" s="2" t="s">
        <v>312</v>
      </c>
      <c r="AF53" s="2">
        <v>31.29</v>
      </c>
      <c r="AG53" s="2" t="s">
        <v>312</v>
      </c>
      <c r="AH53" s="2">
        <v>46.45</v>
      </c>
      <c r="AI53" s="2" t="s">
        <v>312</v>
      </c>
      <c r="AJ53" s="2">
        <v>46.23</v>
      </c>
      <c r="AK53" s="2" t="s">
        <v>312</v>
      </c>
      <c r="AL53" s="2">
        <v>7.32</v>
      </c>
      <c r="AM53" s="2" t="s">
        <v>312</v>
      </c>
      <c r="AN53" s="2">
        <v>93.4</v>
      </c>
      <c r="AO53" s="2" t="s">
        <v>312</v>
      </c>
      <c r="AP53" s="2">
        <v>120.9</v>
      </c>
      <c r="AQ53" s="2" t="s">
        <v>312</v>
      </c>
      <c r="AR53" s="2">
        <v>10.89</v>
      </c>
      <c r="AS53" s="2" t="s">
        <v>312</v>
      </c>
      <c r="AT53" s="2">
        <v>1178.98</v>
      </c>
      <c r="AU53" s="2" t="s">
        <v>312</v>
      </c>
      <c r="AV53" s="2">
        <v>140.61000000000001</v>
      </c>
      <c r="AW53" s="2" t="s">
        <v>312</v>
      </c>
      <c r="AX53" s="2">
        <v>116.95</v>
      </c>
      <c r="AY53" s="2" t="s">
        <v>312</v>
      </c>
      <c r="AZ53" s="2">
        <v>4.1500000000000004</v>
      </c>
      <c r="BA53" s="2" t="s">
        <v>312</v>
      </c>
      <c r="BB53" s="2">
        <v>154.6</v>
      </c>
      <c r="BC53" s="2" t="s">
        <v>312</v>
      </c>
      <c r="BD53" s="2">
        <v>17.78</v>
      </c>
      <c r="BE53" s="2" t="s">
        <v>312</v>
      </c>
      <c r="BF53" s="2">
        <v>18.3</v>
      </c>
      <c r="BG53" s="2" t="s">
        <v>312</v>
      </c>
      <c r="BH53" s="2">
        <v>36.03</v>
      </c>
      <c r="BI53" s="2" t="s">
        <v>312</v>
      </c>
      <c r="BJ53" s="2">
        <v>156.4</v>
      </c>
      <c r="BK53" s="2" t="s">
        <v>312</v>
      </c>
      <c r="BL53" s="2">
        <v>22.84</v>
      </c>
      <c r="BM53" s="2" t="s">
        <v>312</v>
      </c>
      <c r="BN53" s="2">
        <v>45.9</v>
      </c>
      <c r="BO53" s="2" t="s">
        <v>312</v>
      </c>
      <c r="BP53" s="2">
        <v>26.52</v>
      </c>
      <c r="BQ53" s="2" t="s">
        <v>312</v>
      </c>
      <c r="BR53" s="2">
        <v>17.02</v>
      </c>
      <c r="BS53" s="2" t="s">
        <v>312</v>
      </c>
      <c r="BT53" s="2">
        <v>12.09</v>
      </c>
      <c r="BU53" s="2" t="s">
        <v>312</v>
      </c>
      <c r="BV53" s="1" t="s">
        <v>691</v>
      </c>
      <c r="BW53" s="1" t="s">
        <v>312</v>
      </c>
      <c r="BX53" s="1" t="s">
        <v>682</v>
      </c>
    </row>
    <row r="54" spans="1:76">
      <c r="A54" s="2" t="s">
        <v>1</v>
      </c>
      <c r="B54" s="2">
        <v>54</v>
      </c>
      <c r="C54" s="2" t="s">
        <v>314</v>
      </c>
      <c r="D54" s="2">
        <v>18.37</v>
      </c>
      <c r="E54" s="2" t="s">
        <v>314</v>
      </c>
      <c r="F54" s="2">
        <v>32.43</v>
      </c>
      <c r="G54" s="2" t="s">
        <v>314</v>
      </c>
      <c r="H54" s="2">
        <v>43.75</v>
      </c>
      <c r="I54" s="2" t="s">
        <v>314</v>
      </c>
      <c r="J54" s="2">
        <v>11.39</v>
      </c>
      <c r="K54" s="2" t="s">
        <v>314</v>
      </c>
      <c r="L54" s="2">
        <v>19.239999999999998</v>
      </c>
      <c r="M54" s="2" t="s">
        <v>314</v>
      </c>
      <c r="N54" s="2">
        <v>13.11</v>
      </c>
      <c r="O54" s="2" t="s">
        <v>314</v>
      </c>
      <c r="P54" s="2">
        <v>31.19</v>
      </c>
      <c r="Q54" s="2" t="s">
        <v>314</v>
      </c>
      <c r="R54" s="2">
        <v>24.4</v>
      </c>
      <c r="S54" s="2" t="s">
        <v>314</v>
      </c>
      <c r="T54" s="2">
        <v>16.829999999999998</v>
      </c>
      <c r="U54" s="2" t="s">
        <v>314</v>
      </c>
      <c r="V54" s="2">
        <v>5.54</v>
      </c>
      <c r="W54" s="2" t="s">
        <v>314</v>
      </c>
      <c r="X54" s="2">
        <v>116.96</v>
      </c>
      <c r="Y54" s="2" t="s">
        <v>314</v>
      </c>
      <c r="Z54" s="2">
        <v>28.1</v>
      </c>
      <c r="AA54" s="2" t="s">
        <v>314</v>
      </c>
      <c r="AB54" s="2">
        <v>24.31</v>
      </c>
      <c r="AC54" s="2" t="s">
        <v>314</v>
      </c>
      <c r="AD54" s="2">
        <v>18.16</v>
      </c>
      <c r="AE54" s="2" t="s">
        <v>314</v>
      </c>
      <c r="AF54" s="2">
        <v>31.49</v>
      </c>
      <c r="AG54" s="2" t="s">
        <v>314</v>
      </c>
      <c r="AH54" s="2">
        <v>47.89</v>
      </c>
      <c r="AI54" s="2" t="s">
        <v>314</v>
      </c>
      <c r="AJ54" s="2">
        <v>44.99</v>
      </c>
      <c r="AK54" s="2" t="s">
        <v>314</v>
      </c>
      <c r="AL54" s="2">
        <v>7.17</v>
      </c>
      <c r="AM54" s="2" t="s">
        <v>314</v>
      </c>
      <c r="AN54" s="2">
        <v>92.31</v>
      </c>
      <c r="AO54" s="2" t="s">
        <v>314</v>
      </c>
      <c r="AP54" s="2" t="s">
        <v>102</v>
      </c>
      <c r="AQ54" s="2" t="s">
        <v>314</v>
      </c>
      <c r="AR54" s="2">
        <v>10.87</v>
      </c>
      <c r="AS54" s="2" t="s">
        <v>314</v>
      </c>
      <c r="AT54" s="2">
        <v>1184.99</v>
      </c>
      <c r="AU54" s="2" t="s">
        <v>314</v>
      </c>
      <c r="AV54" s="2">
        <v>139.80000000000001</v>
      </c>
      <c r="AW54" s="2" t="s">
        <v>314</v>
      </c>
      <c r="AX54" s="2">
        <v>117.25</v>
      </c>
      <c r="AY54" s="2" t="s">
        <v>314</v>
      </c>
      <c r="AZ54" s="2">
        <v>4.17</v>
      </c>
      <c r="BA54" s="2" t="s">
        <v>314</v>
      </c>
      <c r="BB54" s="2">
        <v>154.5</v>
      </c>
      <c r="BC54" s="2" t="s">
        <v>314</v>
      </c>
      <c r="BD54" s="2">
        <v>17.03</v>
      </c>
      <c r="BE54" s="2" t="s">
        <v>314</v>
      </c>
      <c r="BF54" s="2">
        <v>17.239999999999998</v>
      </c>
      <c r="BG54" s="2" t="s">
        <v>314</v>
      </c>
      <c r="BH54" s="2">
        <v>36.32</v>
      </c>
      <c r="BI54" s="2" t="s">
        <v>314</v>
      </c>
      <c r="BJ54" s="2">
        <v>156.5</v>
      </c>
      <c r="BK54" s="2" t="s">
        <v>314</v>
      </c>
      <c r="BL54" s="2">
        <v>22.58</v>
      </c>
      <c r="BM54" s="2" t="s">
        <v>314</v>
      </c>
      <c r="BN54" s="2">
        <v>43.82</v>
      </c>
      <c r="BO54" s="2" t="s">
        <v>314</v>
      </c>
      <c r="BP54" s="2">
        <v>26.93</v>
      </c>
      <c r="BQ54" s="2" t="s">
        <v>314</v>
      </c>
      <c r="BR54" s="2">
        <v>17.03</v>
      </c>
      <c r="BS54" s="2" t="s">
        <v>314</v>
      </c>
      <c r="BT54" s="2">
        <v>11.77</v>
      </c>
      <c r="BU54" s="2" t="s">
        <v>314</v>
      </c>
      <c r="BV54" s="1" t="s">
        <v>692</v>
      </c>
      <c r="BW54" s="1" t="s">
        <v>314</v>
      </c>
      <c r="BX54" s="1" t="s">
        <v>605</v>
      </c>
    </row>
    <row r="55" spans="1:76">
      <c r="A55" s="2" t="s">
        <v>1</v>
      </c>
      <c r="B55" s="2">
        <v>55</v>
      </c>
      <c r="C55" s="2" t="s">
        <v>315</v>
      </c>
      <c r="D55" s="2">
        <v>18.11</v>
      </c>
      <c r="E55" s="2" t="s">
        <v>315</v>
      </c>
      <c r="F55" s="2">
        <v>32.72</v>
      </c>
      <c r="G55" s="2" t="s">
        <v>315</v>
      </c>
      <c r="H55" s="2">
        <v>43.61</v>
      </c>
      <c r="I55" s="2" t="s">
        <v>315</v>
      </c>
      <c r="J55" s="2">
        <v>11.56</v>
      </c>
      <c r="K55" s="2" t="s">
        <v>315</v>
      </c>
      <c r="L55" s="2">
        <v>19.3</v>
      </c>
      <c r="M55" s="2" t="s">
        <v>315</v>
      </c>
      <c r="N55" s="2">
        <v>12.98</v>
      </c>
      <c r="O55" s="2" t="s">
        <v>315</v>
      </c>
      <c r="P55" s="2">
        <v>30.89</v>
      </c>
      <c r="Q55" s="2" t="s">
        <v>315</v>
      </c>
      <c r="R55" s="2">
        <v>24.81</v>
      </c>
      <c r="S55" s="2" t="s">
        <v>315</v>
      </c>
      <c r="T55" s="2">
        <v>16.97</v>
      </c>
      <c r="U55" s="2" t="s">
        <v>315</v>
      </c>
      <c r="V55" s="2">
        <v>5.53</v>
      </c>
      <c r="W55" s="2" t="s">
        <v>315</v>
      </c>
      <c r="X55" s="2">
        <v>117.25</v>
      </c>
      <c r="Y55" s="2" t="s">
        <v>315</v>
      </c>
      <c r="Z55" s="2">
        <v>27.88</v>
      </c>
      <c r="AA55" s="2" t="s">
        <v>315</v>
      </c>
      <c r="AB55" s="2">
        <v>24.61</v>
      </c>
      <c r="AC55" s="2" t="s">
        <v>315</v>
      </c>
      <c r="AD55" s="2">
        <v>18.3</v>
      </c>
      <c r="AE55" s="2" t="s">
        <v>315</v>
      </c>
      <c r="AF55" s="2">
        <v>31.25</v>
      </c>
      <c r="AG55" s="2" t="s">
        <v>315</v>
      </c>
      <c r="AH55" s="2">
        <v>48.24</v>
      </c>
      <c r="AI55" s="2" t="s">
        <v>315</v>
      </c>
      <c r="AJ55" s="2">
        <v>44.65</v>
      </c>
      <c r="AK55" s="2" t="s">
        <v>315</v>
      </c>
      <c r="AL55" s="2">
        <v>7.29</v>
      </c>
      <c r="AM55" s="2" t="s">
        <v>315</v>
      </c>
      <c r="AN55" s="2">
        <v>92.65</v>
      </c>
      <c r="AO55" s="2" t="s">
        <v>315</v>
      </c>
      <c r="AP55" s="2">
        <v>117.21</v>
      </c>
      <c r="AQ55" s="2" t="s">
        <v>315</v>
      </c>
      <c r="AR55" s="2">
        <v>10.8</v>
      </c>
      <c r="AS55" s="2" t="s">
        <v>315</v>
      </c>
      <c r="AT55" s="2">
        <v>1177.0999999999999</v>
      </c>
      <c r="AU55" s="2" t="s">
        <v>315</v>
      </c>
      <c r="AV55" s="2">
        <v>139.99</v>
      </c>
      <c r="AW55" s="2" t="s">
        <v>315</v>
      </c>
      <c r="AX55" s="2">
        <v>116.5</v>
      </c>
      <c r="AY55" s="2" t="s">
        <v>315</v>
      </c>
      <c r="AZ55" s="2">
        <v>4.16</v>
      </c>
      <c r="BA55" s="2" t="s">
        <v>315</v>
      </c>
      <c r="BB55" s="2">
        <v>154.30000000000001</v>
      </c>
      <c r="BC55" s="2" t="s">
        <v>315</v>
      </c>
      <c r="BD55" s="2">
        <v>17.25</v>
      </c>
      <c r="BE55" s="2" t="s">
        <v>315</v>
      </c>
      <c r="BF55" s="2" t="s">
        <v>69</v>
      </c>
      <c r="BG55" s="2" t="s">
        <v>315</v>
      </c>
      <c r="BH55" s="2">
        <v>36.85</v>
      </c>
      <c r="BI55" s="2" t="s">
        <v>315</v>
      </c>
      <c r="BJ55" s="2">
        <v>155.78</v>
      </c>
      <c r="BK55" s="2" t="s">
        <v>315</v>
      </c>
      <c r="BL55" s="2">
        <v>22.93</v>
      </c>
      <c r="BM55" s="2" t="s">
        <v>315</v>
      </c>
      <c r="BN55" s="2">
        <v>43.9</v>
      </c>
      <c r="BO55" s="2" t="s">
        <v>315</v>
      </c>
      <c r="BP55" s="2">
        <v>27.1</v>
      </c>
      <c r="BQ55" s="2" t="s">
        <v>315</v>
      </c>
      <c r="BR55" s="2">
        <v>16.93</v>
      </c>
      <c r="BS55" s="2" t="s">
        <v>315</v>
      </c>
      <c r="BT55" s="2">
        <v>11.85</v>
      </c>
      <c r="BU55" s="2" t="s">
        <v>315</v>
      </c>
      <c r="BV55" s="1" t="s">
        <v>693</v>
      </c>
      <c r="BW55" s="1" t="s">
        <v>315</v>
      </c>
      <c r="BX55" s="1" t="s">
        <v>694</v>
      </c>
    </row>
    <row r="56" spans="1:76">
      <c r="A56" s="2" t="s">
        <v>1</v>
      </c>
      <c r="B56" s="2">
        <v>56</v>
      </c>
      <c r="C56" s="2" t="s">
        <v>316</v>
      </c>
      <c r="D56" s="2">
        <v>18.350000000000001</v>
      </c>
      <c r="E56" s="2" t="s">
        <v>316</v>
      </c>
      <c r="F56" s="2">
        <v>33.49</v>
      </c>
      <c r="G56" s="2" t="s">
        <v>316</v>
      </c>
      <c r="H56" s="2">
        <v>44.37</v>
      </c>
      <c r="I56" s="2" t="s">
        <v>316</v>
      </c>
      <c r="J56" s="2">
        <v>11.83</v>
      </c>
      <c r="K56" s="2" t="s">
        <v>316</v>
      </c>
      <c r="L56" s="2">
        <v>19.66</v>
      </c>
      <c r="M56" s="2" t="s">
        <v>316</v>
      </c>
      <c r="N56" s="2">
        <v>12.94</v>
      </c>
      <c r="O56" s="2" t="s">
        <v>316</v>
      </c>
      <c r="P56" s="2">
        <v>30.8</v>
      </c>
      <c r="Q56" s="2" t="s">
        <v>316</v>
      </c>
      <c r="R56" s="2">
        <v>25.16</v>
      </c>
      <c r="S56" s="2" t="s">
        <v>316</v>
      </c>
      <c r="T56" s="2">
        <v>18.5</v>
      </c>
      <c r="U56" s="2" t="s">
        <v>316</v>
      </c>
      <c r="V56" s="2">
        <v>5.68</v>
      </c>
      <c r="W56" s="2" t="s">
        <v>316</v>
      </c>
      <c r="X56" s="2">
        <v>117.25</v>
      </c>
      <c r="Y56" s="2" t="s">
        <v>316</v>
      </c>
      <c r="Z56" s="2">
        <v>28.68</v>
      </c>
      <c r="AA56" s="2" t="s">
        <v>316</v>
      </c>
      <c r="AB56" s="2">
        <v>25.15</v>
      </c>
      <c r="AC56" s="2" t="s">
        <v>316</v>
      </c>
      <c r="AD56" s="2">
        <v>17.82</v>
      </c>
      <c r="AE56" s="2" t="s">
        <v>316</v>
      </c>
      <c r="AF56" s="2">
        <v>31.81</v>
      </c>
      <c r="AG56" s="2" t="s">
        <v>316</v>
      </c>
      <c r="AH56" s="2">
        <v>47.95</v>
      </c>
      <c r="AI56" s="2" t="s">
        <v>316</v>
      </c>
      <c r="AJ56" s="2">
        <v>44.46</v>
      </c>
      <c r="AK56" s="2" t="s">
        <v>316</v>
      </c>
      <c r="AL56" s="2">
        <v>7.49</v>
      </c>
      <c r="AM56" s="2" t="s">
        <v>316</v>
      </c>
      <c r="AN56" s="2">
        <v>92.5</v>
      </c>
      <c r="AO56" s="2" t="s">
        <v>316</v>
      </c>
      <c r="AP56" s="2">
        <v>119.18</v>
      </c>
      <c r="AQ56" s="2" t="s">
        <v>316</v>
      </c>
      <c r="AR56" s="2">
        <v>10.89</v>
      </c>
      <c r="AS56" s="2" t="s">
        <v>316</v>
      </c>
      <c r="AT56" s="2">
        <v>1175.77</v>
      </c>
      <c r="AU56" s="2" t="s">
        <v>316</v>
      </c>
      <c r="AV56" s="2">
        <v>140.03</v>
      </c>
      <c r="AW56" s="2" t="s">
        <v>316</v>
      </c>
      <c r="AX56" s="2">
        <v>116.5</v>
      </c>
      <c r="AY56" s="2" t="s">
        <v>316</v>
      </c>
      <c r="AZ56" s="2">
        <v>4.18</v>
      </c>
      <c r="BA56" s="2" t="s">
        <v>316</v>
      </c>
      <c r="BB56" s="2">
        <v>154.30000000000001</v>
      </c>
      <c r="BC56" s="2" t="s">
        <v>316</v>
      </c>
      <c r="BD56" s="2">
        <v>17.63</v>
      </c>
      <c r="BE56" s="2" t="s">
        <v>316</v>
      </c>
      <c r="BF56" s="2">
        <v>17.63</v>
      </c>
      <c r="BG56" s="2" t="s">
        <v>316</v>
      </c>
      <c r="BH56" s="2">
        <v>36.380000000000003</v>
      </c>
      <c r="BI56" s="2" t="s">
        <v>316</v>
      </c>
      <c r="BJ56" s="2">
        <v>155.35</v>
      </c>
      <c r="BK56" s="2" t="s">
        <v>316</v>
      </c>
      <c r="BL56" s="2">
        <v>23.08</v>
      </c>
      <c r="BM56" s="2" t="s">
        <v>316</v>
      </c>
      <c r="BN56" s="2">
        <v>44.53</v>
      </c>
      <c r="BO56" s="2" t="s">
        <v>316</v>
      </c>
      <c r="BP56" s="2">
        <v>26.87</v>
      </c>
      <c r="BQ56" s="2" t="s">
        <v>316</v>
      </c>
      <c r="BR56" s="2">
        <v>17.149999999999999</v>
      </c>
      <c r="BS56" s="2" t="s">
        <v>316</v>
      </c>
      <c r="BT56" s="2">
        <v>12.2</v>
      </c>
      <c r="BU56" s="2" t="s">
        <v>316</v>
      </c>
      <c r="BV56" s="1" t="s">
        <v>695</v>
      </c>
      <c r="BW56" s="1" t="s">
        <v>316</v>
      </c>
      <c r="BX56" s="1" t="s">
        <v>696</v>
      </c>
    </row>
    <row r="57" spans="1:76">
      <c r="A57" s="2" t="s">
        <v>1</v>
      </c>
      <c r="B57" s="2">
        <v>57</v>
      </c>
      <c r="C57" s="2" t="s">
        <v>317</v>
      </c>
      <c r="D57" s="2">
        <v>18.29</v>
      </c>
      <c r="E57" s="2" t="s">
        <v>317</v>
      </c>
      <c r="F57" s="2">
        <v>33.89</v>
      </c>
      <c r="G57" s="2" t="s">
        <v>317</v>
      </c>
      <c r="H57" s="2">
        <v>44.67</v>
      </c>
      <c r="I57" s="2" t="s">
        <v>317</v>
      </c>
      <c r="J57" s="2">
        <v>12.03</v>
      </c>
      <c r="K57" s="2" t="s">
        <v>317</v>
      </c>
      <c r="L57" s="2">
        <v>19.739999999999998</v>
      </c>
      <c r="M57" s="2" t="s">
        <v>317</v>
      </c>
      <c r="N57" s="2">
        <v>13.11</v>
      </c>
      <c r="O57" s="2" t="s">
        <v>317</v>
      </c>
      <c r="P57" s="2">
        <v>30.73</v>
      </c>
      <c r="Q57" s="2" t="s">
        <v>317</v>
      </c>
      <c r="R57" s="2">
        <v>24.43</v>
      </c>
      <c r="S57" s="2" t="s">
        <v>317</v>
      </c>
      <c r="T57" s="2">
        <v>18.149999999999999</v>
      </c>
      <c r="U57" s="2" t="s">
        <v>317</v>
      </c>
      <c r="V57" s="2">
        <v>5.58</v>
      </c>
      <c r="W57" s="2" t="s">
        <v>317</v>
      </c>
      <c r="X57" s="2" t="s">
        <v>141</v>
      </c>
      <c r="Y57" s="2" t="s">
        <v>317</v>
      </c>
      <c r="Z57" s="2" t="s">
        <v>77</v>
      </c>
      <c r="AA57" s="2" t="s">
        <v>317</v>
      </c>
      <c r="AB57" s="2">
        <v>25.75</v>
      </c>
      <c r="AC57" s="2" t="s">
        <v>317</v>
      </c>
      <c r="AD57" s="2">
        <v>18.3</v>
      </c>
      <c r="AE57" s="2" t="s">
        <v>317</v>
      </c>
      <c r="AF57" s="2">
        <v>31.87</v>
      </c>
      <c r="AG57" s="2" t="s">
        <v>317</v>
      </c>
      <c r="AH57" s="2">
        <v>49.69</v>
      </c>
      <c r="AI57" s="2" t="s">
        <v>317</v>
      </c>
      <c r="AJ57" s="2">
        <v>44.32</v>
      </c>
      <c r="AK57" s="2" t="s">
        <v>317</v>
      </c>
      <c r="AL57" s="2">
        <v>7.67</v>
      </c>
      <c r="AM57" s="2" t="s">
        <v>317</v>
      </c>
      <c r="AN57" s="2">
        <v>92.66</v>
      </c>
      <c r="AO57" s="2" t="s">
        <v>317</v>
      </c>
      <c r="AP57" s="2">
        <v>119.5</v>
      </c>
      <c r="AQ57" s="2" t="s">
        <v>317</v>
      </c>
      <c r="AR57" s="2">
        <v>10.89</v>
      </c>
      <c r="AS57" s="2" t="s">
        <v>317</v>
      </c>
      <c r="AT57" s="2">
        <v>1179.99</v>
      </c>
      <c r="AU57" s="2" t="s">
        <v>317</v>
      </c>
      <c r="AV57" s="2">
        <v>140.30000000000001</v>
      </c>
      <c r="AW57" s="2" t="s">
        <v>317</v>
      </c>
      <c r="AX57" s="2">
        <v>116.83</v>
      </c>
      <c r="AY57" s="2" t="s">
        <v>317</v>
      </c>
      <c r="AZ57" s="2">
        <v>4.18</v>
      </c>
      <c r="BA57" s="2" t="s">
        <v>317</v>
      </c>
      <c r="BB57" s="2">
        <v>153.75</v>
      </c>
      <c r="BC57" s="2" t="s">
        <v>317</v>
      </c>
      <c r="BD57" s="2">
        <v>17.649999999999999</v>
      </c>
      <c r="BE57" s="2" t="s">
        <v>317</v>
      </c>
      <c r="BF57" s="2">
        <v>18.25</v>
      </c>
      <c r="BG57" s="2" t="s">
        <v>317</v>
      </c>
      <c r="BH57" s="2">
        <v>36.46</v>
      </c>
      <c r="BI57" s="2" t="s">
        <v>317</v>
      </c>
      <c r="BJ57" s="2">
        <v>155.5</v>
      </c>
      <c r="BK57" s="2" t="s">
        <v>317</v>
      </c>
      <c r="BL57" s="2">
        <v>23.05</v>
      </c>
      <c r="BM57" s="2" t="s">
        <v>317</v>
      </c>
      <c r="BN57" s="2">
        <v>44.48</v>
      </c>
      <c r="BO57" s="2" t="s">
        <v>317</v>
      </c>
      <c r="BP57" s="2">
        <v>27.06</v>
      </c>
      <c r="BQ57" s="2" t="s">
        <v>317</v>
      </c>
      <c r="BR57" s="2">
        <v>17.12</v>
      </c>
      <c r="BS57" s="2" t="s">
        <v>317</v>
      </c>
      <c r="BT57" s="2">
        <v>12.3</v>
      </c>
      <c r="BU57" s="2" t="s">
        <v>317</v>
      </c>
      <c r="BV57" s="1" t="s">
        <v>697</v>
      </c>
      <c r="BW57" s="1" t="s">
        <v>317</v>
      </c>
      <c r="BX57" s="1" t="s">
        <v>698</v>
      </c>
    </row>
    <row r="58" spans="1:76">
      <c r="A58" s="2" t="s">
        <v>1</v>
      </c>
      <c r="B58" s="2">
        <v>58</v>
      </c>
      <c r="C58" s="2" t="s">
        <v>318</v>
      </c>
      <c r="D58" s="2">
        <v>18.25</v>
      </c>
      <c r="E58" s="2" t="s">
        <v>318</v>
      </c>
      <c r="F58" s="2">
        <v>33.64</v>
      </c>
      <c r="G58" s="2" t="s">
        <v>318</v>
      </c>
      <c r="H58" s="2">
        <v>44.02</v>
      </c>
      <c r="I58" s="2" t="s">
        <v>318</v>
      </c>
      <c r="J58" s="2">
        <v>11.55</v>
      </c>
      <c r="K58" s="2" t="s">
        <v>318</v>
      </c>
      <c r="L58" s="2">
        <v>19.38</v>
      </c>
      <c r="M58" s="2" t="s">
        <v>318</v>
      </c>
      <c r="N58" s="2">
        <v>13.16</v>
      </c>
      <c r="O58" s="2" t="s">
        <v>318</v>
      </c>
      <c r="P58" s="2" t="s">
        <v>137</v>
      </c>
      <c r="Q58" s="2" t="s">
        <v>318</v>
      </c>
      <c r="R58" s="2">
        <v>24.52</v>
      </c>
      <c r="S58" s="2" t="s">
        <v>318</v>
      </c>
      <c r="T58" s="2">
        <v>17.7</v>
      </c>
      <c r="U58" s="2" t="s">
        <v>318</v>
      </c>
      <c r="V58" s="2">
        <v>5.6</v>
      </c>
      <c r="W58" s="2" t="s">
        <v>318</v>
      </c>
      <c r="X58" s="2">
        <v>117.75</v>
      </c>
      <c r="Y58" s="2" t="s">
        <v>318</v>
      </c>
      <c r="Z58" s="2">
        <v>28.66</v>
      </c>
      <c r="AA58" s="2" t="s">
        <v>318</v>
      </c>
      <c r="AB58" s="2">
        <v>24.92</v>
      </c>
      <c r="AC58" s="2" t="s">
        <v>318</v>
      </c>
      <c r="AD58" s="2">
        <v>18.04</v>
      </c>
      <c r="AE58" s="2" t="s">
        <v>318</v>
      </c>
      <c r="AF58" s="2">
        <v>31.39</v>
      </c>
      <c r="AG58" s="2" t="s">
        <v>318</v>
      </c>
      <c r="AH58" s="2">
        <v>49.79</v>
      </c>
      <c r="AI58" s="2" t="s">
        <v>318</v>
      </c>
      <c r="AJ58" s="2">
        <v>43.26</v>
      </c>
      <c r="AK58" s="2" t="s">
        <v>318</v>
      </c>
      <c r="AL58" s="2">
        <v>7.63</v>
      </c>
      <c r="AM58" s="2" t="s">
        <v>318</v>
      </c>
      <c r="AN58" s="2">
        <v>93.38</v>
      </c>
      <c r="AO58" s="2" t="s">
        <v>318</v>
      </c>
      <c r="AP58" s="2">
        <v>119.5</v>
      </c>
      <c r="AQ58" s="2" t="s">
        <v>318</v>
      </c>
      <c r="AR58" s="2">
        <v>10.9</v>
      </c>
      <c r="AS58" s="2" t="s">
        <v>318</v>
      </c>
      <c r="AT58" s="2">
        <v>1184.4000000000001</v>
      </c>
      <c r="AU58" s="2" t="s">
        <v>318</v>
      </c>
      <c r="AV58" s="2">
        <v>140.30000000000001</v>
      </c>
      <c r="AW58" s="2" t="s">
        <v>318</v>
      </c>
      <c r="AX58" s="2">
        <v>116.9</v>
      </c>
      <c r="AY58" s="2" t="s">
        <v>318</v>
      </c>
      <c r="AZ58" s="2">
        <v>4.18</v>
      </c>
      <c r="BA58" s="2" t="s">
        <v>318</v>
      </c>
      <c r="BB58" s="2">
        <v>154.30000000000001</v>
      </c>
      <c r="BC58" s="2" t="s">
        <v>318</v>
      </c>
      <c r="BD58" s="2">
        <v>17.45</v>
      </c>
      <c r="BE58" s="2" t="s">
        <v>318</v>
      </c>
      <c r="BF58" s="2">
        <v>18.25</v>
      </c>
      <c r="BG58" s="2" t="s">
        <v>318</v>
      </c>
      <c r="BH58" s="2">
        <v>35.71</v>
      </c>
      <c r="BI58" s="2" t="s">
        <v>318</v>
      </c>
      <c r="BJ58" s="2">
        <v>155.76</v>
      </c>
      <c r="BK58" s="2" t="s">
        <v>318</v>
      </c>
      <c r="BL58" s="2">
        <v>23.72</v>
      </c>
      <c r="BM58" s="2" t="s">
        <v>318</v>
      </c>
      <c r="BN58" s="2" t="s">
        <v>84</v>
      </c>
      <c r="BO58" s="2" t="s">
        <v>318</v>
      </c>
      <c r="BP58" s="2">
        <v>26.88</v>
      </c>
      <c r="BQ58" s="2" t="s">
        <v>318</v>
      </c>
      <c r="BR58" s="2">
        <v>17.03</v>
      </c>
      <c r="BS58" s="2" t="s">
        <v>318</v>
      </c>
      <c r="BT58" s="2">
        <v>12.22</v>
      </c>
      <c r="BU58" s="2" t="s">
        <v>318</v>
      </c>
      <c r="BV58" s="1" t="s">
        <v>699</v>
      </c>
      <c r="BW58" s="1" t="s">
        <v>318</v>
      </c>
      <c r="BX58" s="1" t="s">
        <v>700</v>
      </c>
    </row>
    <row r="59" spans="1:76">
      <c r="A59" s="2" t="s">
        <v>1</v>
      </c>
      <c r="B59" s="2">
        <v>59</v>
      </c>
      <c r="C59" s="2" t="s">
        <v>319</v>
      </c>
      <c r="D59" s="2">
        <v>18.12</v>
      </c>
      <c r="E59" s="2" t="s">
        <v>319</v>
      </c>
      <c r="F59" s="2">
        <v>33.43</v>
      </c>
      <c r="G59" s="2" t="s">
        <v>319</v>
      </c>
      <c r="H59" s="2">
        <v>44.42</v>
      </c>
      <c r="I59" s="2" t="s">
        <v>319</v>
      </c>
      <c r="J59" s="2" t="s">
        <v>70</v>
      </c>
      <c r="K59" s="2" t="s">
        <v>319</v>
      </c>
      <c r="L59" s="2">
        <v>19.3</v>
      </c>
      <c r="M59" s="2" t="s">
        <v>319</v>
      </c>
      <c r="N59" s="2">
        <v>13.12</v>
      </c>
      <c r="O59" s="2" t="s">
        <v>319</v>
      </c>
      <c r="P59" s="2">
        <v>30.31</v>
      </c>
      <c r="Q59" s="2" t="s">
        <v>319</v>
      </c>
      <c r="R59" s="2">
        <v>24.53</v>
      </c>
      <c r="S59" s="2" t="s">
        <v>319</v>
      </c>
      <c r="T59" s="2">
        <v>17.41</v>
      </c>
      <c r="U59" s="2" t="s">
        <v>319</v>
      </c>
      <c r="V59" s="2">
        <v>5.54</v>
      </c>
      <c r="W59" s="2" t="s">
        <v>319</v>
      </c>
      <c r="X59" s="2" t="s">
        <v>141</v>
      </c>
      <c r="Y59" s="2" t="s">
        <v>319</v>
      </c>
      <c r="Z59" s="2">
        <v>28.49</v>
      </c>
      <c r="AA59" s="2" t="s">
        <v>319</v>
      </c>
      <c r="AB59" s="2">
        <v>24.9</v>
      </c>
      <c r="AC59" s="2" t="s">
        <v>319</v>
      </c>
      <c r="AD59" s="2">
        <v>17.77</v>
      </c>
      <c r="AE59" s="2" t="s">
        <v>319</v>
      </c>
      <c r="AF59" s="2">
        <v>31.45</v>
      </c>
      <c r="AG59" s="2" t="s">
        <v>319</v>
      </c>
      <c r="AH59" s="2">
        <v>48.59</v>
      </c>
      <c r="AI59" s="2" t="s">
        <v>319</v>
      </c>
      <c r="AJ59" s="2">
        <v>43.8</v>
      </c>
      <c r="AK59" s="2" t="s">
        <v>319</v>
      </c>
      <c r="AL59" s="2">
        <v>7.51</v>
      </c>
      <c r="AM59" s="2" t="s">
        <v>319</v>
      </c>
      <c r="AN59" s="2">
        <v>92.93</v>
      </c>
      <c r="AO59" s="2" t="s">
        <v>319</v>
      </c>
      <c r="AP59" s="2">
        <v>118.5</v>
      </c>
      <c r="AQ59" s="2" t="s">
        <v>319</v>
      </c>
      <c r="AR59" s="2">
        <v>10.9</v>
      </c>
      <c r="AS59" s="2" t="s">
        <v>319</v>
      </c>
      <c r="AT59" s="2">
        <v>1179.51</v>
      </c>
      <c r="AU59" s="2" t="s">
        <v>319</v>
      </c>
      <c r="AV59" s="2">
        <v>140.4</v>
      </c>
      <c r="AW59" s="2" t="s">
        <v>319</v>
      </c>
      <c r="AX59" s="2">
        <v>116.98</v>
      </c>
      <c r="AY59" s="2" t="s">
        <v>319</v>
      </c>
      <c r="AZ59" s="2">
        <v>4.21</v>
      </c>
      <c r="BA59" s="2" t="s">
        <v>319</v>
      </c>
      <c r="BB59" s="2">
        <v>153.75</v>
      </c>
      <c r="BC59" s="2" t="s">
        <v>319</v>
      </c>
      <c r="BD59" s="2">
        <v>17.37</v>
      </c>
      <c r="BE59" s="2" t="s">
        <v>319</v>
      </c>
      <c r="BF59" s="2">
        <v>17.98</v>
      </c>
      <c r="BG59" s="2" t="s">
        <v>319</v>
      </c>
      <c r="BH59" s="2">
        <v>35.6</v>
      </c>
      <c r="BI59" s="2" t="s">
        <v>319</v>
      </c>
      <c r="BJ59" s="2">
        <v>156.24</v>
      </c>
      <c r="BK59" s="2" t="s">
        <v>319</v>
      </c>
      <c r="BL59" s="2">
        <v>23.24</v>
      </c>
      <c r="BM59" s="2" t="s">
        <v>319</v>
      </c>
      <c r="BN59" s="2">
        <v>43.07</v>
      </c>
      <c r="BO59" s="2" t="s">
        <v>319</v>
      </c>
      <c r="BP59" s="2">
        <v>28.06</v>
      </c>
      <c r="BQ59" s="2" t="s">
        <v>319</v>
      </c>
      <c r="BR59" s="2">
        <v>17.489999999999998</v>
      </c>
      <c r="BS59" s="2" t="s">
        <v>319</v>
      </c>
      <c r="BT59" s="2">
        <v>12.18</v>
      </c>
      <c r="BU59" s="2" t="s">
        <v>319</v>
      </c>
      <c r="BV59" s="1" t="s">
        <v>701</v>
      </c>
      <c r="BW59" s="1" t="s">
        <v>319</v>
      </c>
      <c r="BX59" s="1" t="s">
        <v>637</v>
      </c>
    </row>
    <row r="60" spans="1:76">
      <c r="A60" s="2" t="s">
        <v>1</v>
      </c>
      <c r="B60" s="2">
        <v>60</v>
      </c>
      <c r="C60" s="2" t="s">
        <v>320</v>
      </c>
      <c r="D60" s="2">
        <v>18.16</v>
      </c>
      <c r="E60" s="2" t="s">
        <v>320</v>
      </c>
      <c r="F60" s="2">
        <v>33.72</v>
      </c>
      <c r="G60" s="2" t="s">
        <v>320</v>
      </c>
      <c r="H60" s="2">
        <v>43.9</v>
      </c>
      <c r="I60" s="2" t="s">
        <v>320</v>
      </c>
      <c r="J60" s="2">
        <v>11.7</v>
      </c>
      <c r="K60" s="2" t="s">
        <v>320</v>
      </c>
      <c r="L60" s="2">
        <v>19.489999999999998</v>
      </c>
      <c r="M60" s="2" t="s">
        <v>320</v>
      </c>
      <c r="N60" s="2">
        <v>13.18</v>
      </c>
      <c r="O60" s="2" t="s">
        <v>320</v>
      </c>
      <c r="P60" s="2">
        <v>30.63</v>
      </c>
      <c r="Q60" s="2" t="s">
        <v>320</v>
      </c>
      <c r="R60" s="2">
        <v>24.37</v>
      </c>
      <c r="S60" s="2" t="s">
        <v>320</v>
      </c>
      <c r="T60" s="2">
        <v>18.649999999999999</v>
      </c>
      <c r="U60" s="2" t="s">
        <v>320</v>
      </c>
      <c r="V60" s="2">
        <v>5.55</v>
      </c>
      <c r="W60" s="2" t="s">
        <v>320</v>
      </c>
      <c r="X60" s="2" t="s">
        <v>141</v>
      </c>
      <c r="Y60" s="2" t="s">
        <v>320</v>
      </c>
      <c r="Z60" s="2">
        <v>28.84</v>
      </c>
      <c r="AA60" s="2" t="s">
        <v>320</v>
      </c>
      <c r="AB60" s="2">
        <v>25.25</v>
      </c>
      <c r="AC60" s="2" t="s">
        <v>320</v>
      </c>
      <c r="AD60" s="2">
        <v>17.61</v>
      </c>
      <c r="AE60" s="2" t="s">
        <v>320</v>
      </c>
      <c r="AF60" s="2">
        <v>31.25</v>
      </c>
      <c r="AG60" s="2" t="s">
        <v>320</v>
      </c>
      <c r="AH60" s="2">
        <v>48.9</v>
      </c>
      <c r="AI60" s="2" t="s">
        <v>320</v>
      </c>
      <c r="AJ60" s="2">
        <v>43.92</v>
      </c>
      <c r="AK60" s="2" t="s">
        <v>320</v>
      </c>
      <c r="AL60" s="2">
        <v>7.61</v>
      </c>
      <c r="AM60" s="2" t="s">
        <v>320</v>
      </c>
      <c r="AN60" s="2" t="s">
        <v>116</v>
      </c>
      <c r="AO60" s="2" t="s">
        <v>320</v>
      </c>
      <c r="AP60" s="2">
        <v>119.18</v>
      </c>
      <c r="AQ60" s="2" t="s">
        <v>320</v>
      </c>
      <c r="AR60" s="2">
        <v>10.89</v>
      </c>
      <c r="AS60" s="2" t="s">
        <v>320</v>
      </c>
      <c r="AT60" s="2">
        <v>1197.02</v>
      </c>
      <c r="AU60" s="2" t="s">
        <v>320</v>
      </c>
      <c r="AV60" s="2">
        <v>142.21</v>
      </c>
      <c r="AW60" s="2" t="s">
        <v>320</v>
      </c>
      <c r="AX60" s="2">
        <v>118.14</v>
      </c>
      <c r="AY60" s="2" t="s">
        <v>320</v>
      </c>
      <c r="AZ60" s="2">
        <v>4.22</v>
      </c>
      <c r="BA60" s="2" t="s">
        <v>320</v>
      </c>
      <c r="BB60" s="2">
        <v>154.25</v>
      </c>
      <c r="BC60" s="2" t="s">
        <v>320</v>
      </c>
      <c r="BD60" s="2">
        <v>17.57</v>
      </c>
      <c r="BE60" s="2" t="s">
        <v>320</v>
      </c>
      <c r="BF60" s="2">
        <v>17.420000000000002</v>
      </c>
      <c r="BG60" s="2" t="s">
        <v>320</v>
      </c>
      <c r="BH60" s="2">
        <v>35.020000000000003</v>
      </c>
      <c r="BI60" s="2" t="s">
        <v>320</v>
      </c>
      <c r="BJ60" s="2">
        <v>156.07</v>
      </c>
      <c r="BK60" s="2" t="s">
        <v>320</v>
      </c>
      <c r="BL60" s="2">
        <v>23.8</v>
      </c>
      <c r="BM60" s="2" t="s">
        <v>320</v>
      </c>
      <c r="BN60" s="2">
        <v>44.12</v>
      </c>
      <c r="BO60" s="2" t="s">
        <v>320</v>
      </c>
      <c r="BP60" s="2">
        <v>27.69</v>
      </c>
      <c r="BQ60" s="2" t="s">
        <v>320</v>
      </c>
      <c r="BR60" s="2">
        <v>17.09</v>
      </c>
      <c r="BS60" s="2" t="s">
        <v>320</v>
      </c>
      <c r="BT60" s="2">
        <v>12.22</v>
      </c>
      <c r="BU60" s="2" t="s">
        <v>320</v>
      </c>
      <c r="BV60" s="1" t="s">
        <v>702</v>
      </c>
      <c r="BW60" s="1" t="s">
        <v>320</v>
      </c>
      <c r="BX60" s="1" t="s">
        <v>703</v>
      </c>
    </row>
    <row r="61" spans="1:76">
      <c r="A61" s="2" t="s">
        <v>1</v>
      </c>
      <c r="B61" s="2">
        <v>61</v>
      </c>
      <c r="C61" s="2" t="s">
        <v>321</v>
      </c>
      <c r="D61" s="2">
        <v>18.2</v>
      </c>
      <c r="E61" s="2" t="s">
        <v>321</v>
      </c>
      <c r="F61" s="2">
        <v>33.950000000000003</v>
      </c>
      <c r="G61" s="2" t="s">
        <v>321</v>
      </c>
      <c r="H61" s="2">
        <v>43.97</v>
      </c>
      <c r="I61" s="2" t="s">
        <v>321</v>
      </c>
      <c r="J61" s="2">
        <v>11.96</v>
      </c>
      <c r="K61" s="2" t="s">
        <v>321</v>
      </c>
      <c r="L61" s="2">
        <v>19.420000000000002</v>
      </c>
      <c r="M61" s="2" t="s">
        <v>321</v>
      </c>
      <c r="N61" s="2">
        <v>13.2</v>
      </c>
      <c r="O61" s="2" t="s">
        <v>321</v>
      </c>
      <c r="P61" s="2">
        <v>30.74</v>
      </c>
      <c r="Q61" s="2" t="s">
        <v>321</v>
      </c>
      <c r="R61" s="2">
        <v>24.7</v>
      </c>
      <c r="S61" s="2" t="s">
        <v>321</v>
      </c>
      <c r="T61" s="2">
        <v>18.22</v>
      </c>
      <c r="U61" s="2" t="s">
        <v>321</v>
      </c>
      <c r="V61" s="2">
        <v>5.62</v>
      </c>
      <c r="W61" s="2" t="s">
        <v>321</v>
      </c>
      <c r="X61" s="2">
        <v>116.49</v>
      </c>
      <c r="Y61" s="2" t="s">
        <v>321</v>
      </c>
      <c r="Z61" s="2" t="s">
        <v>77</v>
      </c>
      <c r="AA61" s="2" t="s">
        <v>321</v>
      </c>
      <c r="AB61" s="2">
        <v>25.35</v>
      </c>
      <c r="AC61" s="2" t="s">
        <v>321</v>
      </c>
      <c r="AD61" s="2">
        <v>17.73</v>
      </c>
      <c r="AE61" s="2" t="s">
        <v>321</v>
      </c>
      <c r="AF61" s="2">
        <v>31.4</v>
      </c>
      <c r="AG61" s="2" t="s">
        <v>321</v>
      </c>
      <c r="AH61" s="2">
        <v>48.4</v>
      </c>
      <c r="AI61" s="2" t="s">
        <v>321</v>
      </c>
      <c r="AJ61" s="2">
        <v>43.96</v>
      </c>
      <c r="AK61" s="2" t="s">
        <v>321</v>
      </c>
      <c r="AL61" s="2">
        <v>7.61</v>
      </c>
      <c r="AM61" s="2" t="s">
        <v>321</v>
      </c>
      <c r="AN61" s="2">
        <v>92.29</v>
      </c>
      <c r="AO61" s="2" t="s">
        <v>321</v>
      </c>
      <c r="AP61" s="2">
        <v>117.5</v>
      </c>
      <c r="AQ61" s="2" t="s">
        <v>321</v>
      </c>
      <c r="AR61" s="2">
        <v>10.9</v>
      </c>
      <c r="AS61" s="2" t="s">
        <v>321</v>
      </c>
      <c r="AT61" s="2" t="s">
        <v>322</v>
      </c>
      <c r="AU61" s="2" t="s">
        <v>321</v>
      </c>
      <c r="AV61" s="2">
        <v>141.44</v>
      </c>
      <c r="AW61" s="2" t="s">
        <v>321</v>
      </c>
      <c r="AX61" s="2">
        <v>118.7</v>
      </c>
      <c r="AY61" s="2" t="s">
        <v>321</v>
      </c>
      <c r="AZ61" s="2">
        <v>4.25</v>
      </c>
      <c r="BA61" s="2" t="s">
        <v>321</v>
      </c>
      <c r="BB61" s="2">
        <v>153.99</v>
      </c>
      <c r="BC61" s="2" t="s">
        <v>321</v>
      </c>
      <c r="BD61" s="2">
        <v>17.600000000000001</v>
      </c>
      <c r="BE61" s="2" t="s">
        <v>321</v>
      </c>
      <c r="BF61" s="2">
        <v>16.87</v>
      </c>
      <c r="BG61" s="2" t="s">
        <v>321</v>
      </c>
      <c r="BH61" s="2" t="s">
        <v>324</v>
      </c>
      <c r="BI61" s="2" t="s">
        <v>321</v>
      </c>
      <c r="BJ61" s="2">
        <v>155.80000000000001</v>
      </c>
      <c r="BK61" s="2" t="s">
        <v>321</v>
      </c>
      <c r="BL61" s="2" t="s">
        <v>47</v>
      </c>
      <c r="BM61" s="2" t="s">
        <v>321</v>
      </c>
      <c r="BN61" s="2">
        <v>44.92</v>
      </c>
      <c r="BO61" s="2" t="s">
        <v>321</v>
      </c>
      <c r="BP61" s="2">
        <v>27.22</v>
      </c>
      <c r="BQ61" s="2" t="s">
        <v>321</v>
      </c>
      <c r="BR61" s="2">
        <v>17.600000000000001</v>
      </c>
      <c r="BS61" s="2" t="s">
        <v>321</v>
      </c>
      <c r="BT61" s="2">
        <v>12.22</v>
      </c>
      <c r="BU61" s="2" t="s">
        <v>321</v>
      </c>
      <c r="BV61" s="1" t="s">
        <v>704</v>
      </c>
      <c r="BW61" s="1" t="s">
        <v>321</v>
      </c>
      <c r="BX61" s="1" t="s">
        <v>583</v>
      </c>
    </row>
    <row r="62" spans="1:76">
      <c r="A62" s="2" t="s">
        <v>1</v>
      </c>
      <c r="B62" s="2">
        <v>62</v>
      </c>
      <c r="C62" s="2" t="s">
        <v>323</v>
      </c>
      <c r="D62" s="2">
        <v>18.190000000000001</v>
      </c>
      <c r="E62" s="2" t="s">
        <v>323</v>
      </c>
      <c r="F62" s="2">
        <v>34.369999999999997</v>
      </c>
      <c r="G62" s="2" t="s">
        <v>323</v>
      </c>
      <c r="H62" s="2">
        <v>45.17</v>
      </c>
      <c r="I62" s="2" t="s">
        <v>323</v>
      </c>
      <c r="J62" s="2">
        <v>11.95</v>
      </c>
      <c r="K62" s="2" t="s">
        <v>323</v>
      </c>
      <c r="L62" s="2">
        <v>19.62</v>
      </c>
      <c r="M62" s="2" t="s">
        <v>323</v>
      </c>
      <c r="N62" s="2">
        <v>13.08</v>
      </c>
      <c r="O62" s="2" t="s">
        <v>323</v>
      </c>
      <c r="P62" s="2">
        <v>29.8</v>
      </c>
      <c r="Q62" s="2" t="s">
        <v>323</v>
      </c>
      <c r="R62" s="2">
        <v>24.44</v>
      </c>
      <c r="S62" s="2" t="s">
        <v>323</v>
      </c>
      <c r="T62" s="2">
        <v>18.3</v>
      </c>
      <c r="U62" s="2" t="s">
        <v>323</v>
      </c>
      <c r="V62" s="2">
        <v>5.63</v>
      </c>
      <c r="W62" s="2" t="s">
        <v>323</v>
      </c>
      <c r="X62" s="2" t="s">
        <v>141</v>
      </c>
      <c r="Y62" s="2" t="s">
        <v>323</v>
      </c>
      <c r="Z62" s="2">
        <v>29.35</v>
      </c>
      <c r="AA62" s="2" t="s">
        <v>323</v>
      </c>
      <c r="AB62" s="2">
        <v>25.27</v>
      </c>
      <c r="AC62" s="2" t="s">
        <v>323</v>
      </c>
      <c r="AD62" s="2">
        <v>17.82</v>
      </c>
      <c r="AE62" s="2" t="s">
        <v>323</v>
      </c>
      <c r="AF62" s="2">
        <v>30.87</v>
      </c>
      <c r="AG62" s="2" t="s">
        <v>323</v>
      </c>
      <c r="AH62" s="2">
        <v>48.32</v>
      </c>
      <c r="AI62" s="2" t="s">
        <v>323</v>
      </c>
      <c r="AJ62" s="2">
        <v>44.41</v>
      </c>
      <c r="AK62" s="2" t="s">
        <v>323</v>
      </c>
      <c r="AL62" s="2">
        <v>7.78</v>
      </c>
      <c r="AM62" s="2" t="s">
        <v>323</v>
      </c>
      <c r="AN62" s="2" t="s">
        <v>116</v>
      </c>
      <c r="AO62" s="2" t="s">
        <v>323</v>
      </c>
      <c r="AP62" s="2">
        <v>118.25</v>
      </c>
      <c r="AQ62" s="2" t="s">
        <v>323</v>
      </c>
      <c r="AR62" s="2">
        <v>10.9</v>
      </c>
      <c r="AS62" s="2" t="s">
        <v>323</v>
      </c>
      <c r="AT62" s="2" t="s">
        <v>322</v>
      </c>
      <c r="AU62" s="2" t="s">
        <v>323</v>
      </c>
      <c r="AV62" s="2">
        <v>140.93</v>
      </c>
      <c r="AW62" s="2" t="s">
        <v>323</v>
      </c>
      <c r="AX62" s="2">
        <v>118.7</v>
      </c>
      <c r="AY62" s="2" t="s">
        <v>323</v>
      </c>
      <c r="AZ62" s="2">
        <v>4.26</v>
      </c>
      <c r="BA62" s="2" t="s">
        <v>323</v>
      </c>
      <c r="BB62" s="2">
        <v>153.80000000000001</v>
      </c>
      <c r="BC62" s="2" t="s">
        <v>323</v>
      </c>
      <c r="BD62" s="2">
        <v>17.920000000000002</v>
      </c>
      <c r="BE62" s="2" t="s">
        <v>323</v>
      </c>
      <c r="BF62" s="2">
        <v>16.23</v>
      </c>
      <c r="BG62" s="2" t="s">
        <v>323</v>
      </c>
      <c r="BH62" s="2">
        <v>35.450000000000003</v>
      </c>
      <c r="BI62" s="2" t="s">
        <v>323</v>
      </c>
      <c r="BJ62" s="2">
        <v>156.19999999999999</v>
      </c>
      <c r="BK62" s="2" t="s">
        <v>323</v>
      </c>
      <c r="BL62" s="2">
        <v>23.69</v>
      </c>
      <c r="BM62" s="2" t="s">
        <v>323</v>
      </c>
      <c r="BN62" s="2">
        <v>44.58</v>
      </c>
      <c r="BO62" s="2" t="s">
        <v>323</v>
      </c>
      <c r="BP62" s="2">
        <v>27.29</v>
      </c>
      <c r="BQ62" s="2" t="s">
        <v>323</v>
      </c>
      <c r="BR62" s="2">
        <v>18.12</v>
      </c>
      <c r="BS62" s="2" t="s">
        <v>323</v>
      </c>
      <c r="BT62" s="2">
        <v>12.23</v>
      </c>
      <c r="BU62" s="2" t="s">
        <v>323</v>
      </c>
      <c r="BV62" s="1" t="s">
        <v>705</v>
      </c>
      <c r="BW62" s="1" t="s">
        <v>323</v>
      </c>
      <c r="BX62" s="1" t="s">
        <v>706</v>
      </c>
    </row>
    <row r="63" spans="1:76">
      <c r="A63" s="2" t="s">
        <v>1</v>
      </c>
      <c r="B63" s="2">
        <v>63</v>
      </c>
      <c r="C63" s="2" t="s">
        <v>325</v>
      </c>
      <c r="D63" s="2">
        <v>18.11</v>
      </c>
      <c r="E63" s="2" t="s">
        <v>325</v>
      </c>
      <c r="F63" s="2">
        <v>34.65</v>
      </c>
      <c r="G63" s="2" t="s">
        <v>325</v>
      </c>
      <c r="H63" s="2">
        <v>44.89</v>
      </c>
      <c r="I63" s="2" t="s">
        <v>325</v>
      </c>
      <c r="J63" s="2">
        <v>12.11</v>
      </c>
      <c r="K63" s="2" t="s">
        <v>325</v>
      </c>
      <c r="L63" s="2">
        <v>19.25</v>
      </c>
      <c r="M63" s="2" t="s">
        <v>325</v>
      </c>
      <c r="N63" s="2">
        <v>13.24</v>
      </c>
      <c r="O63" s="2" t="s">
        <v>325</v>
      </c>
      <c r="P63" s="2">
        <v>30.14</v>
      </c>
      <c r="Q63" s="2" t="s">
        <v>325</v>
      </c>
      <c r="R63" s="2">
        <v>24.2</v>
      </c>
      <c r="S63" s="2" t="s">
        <v>325</v>
      </c>
      <c r="T63" s="2">
        <v>18.3</v>
      </c>
      <c r="U63" s="2" t="s">
        <v>325</v>
      </c>
      <c r="V63" s="2">
        <v>5.6</v>
      </c>
      <c r="W63" s="2" t="s">
        <v>325</v>
      </c>
      <c r="X63" s="2" t="s">
        <v>141</v>
      </c>
      <c r="Y63" s="2" t="s">
        <v>325</v>
      </c>
      <c r="Z63" s="2">
        <v>28.8</v>
      </c>
      <c r="AA63" s="2" t="s">
        <v>325</v>
      </c>
      <c r="AB63" s="2">
        <v>24.93</v>
      </c>
      <c r="AC63" s="2" t="s">
        <v>325</v>
      </c>
      <c r="AD63" s="2">
        <v>17.91</v>
      </c>
      <c r="AE63" s="2" t="s">
        <v>325</v>
      </c>
      <c r="AF63" s="2">
        <v>30.59</v>
      </c>
      <c r="AG63" s="2" t="s">
        <v>325</v>
      </c>
      <c r="AH63" s="2">
        <v>48.42</v>
      </c>
      <c r="AI63" s="2" t="s">
        <v>325</v>
      </c>
      <c r="AJ63" s="2">
        <v>44.74</v>
      </c>
      <c r="AK63" s="2" t="s">
        <v>325</v>
      </c>
      <c r="AL63" s="2">
        <v>7.62</v>
      </c>
      <c r="AM63" s="2" t="s">
        <v>325</v>
      </c>
      <c r="AN63" s="2">
        <v>92.95</v>
      </c>
      <c r="AO63" s="2" t="s">
        <v>325</v>
      </c>
      <c r="AP63" s="2">
        <v>118.95</v>
      </c>
      <c r="AQ63" s="2" t="s">
        <v>325</v>
      </c>
      <c r="AR63" s="2">
        <v>10.89</v>
      </c>
      <c r="AS63" s="2" t="s">
        <v>325</v>
      </c>
      <c r="AT63" s="2">
        <v>1196.82</v>
      </c>
      <c r="AU63" s="2" t="s">
        <v>325</v>
      </c>
      <c r="AV63" s="2">
        <v>140.32</v>
      </c>
      <c r="AW63" s="2" t="s">
        <v>325</v>
      </c>
      <c r="AX63" s="2">
        <v>119.15</v>
      </c>
      <c r="AY63" s="2" t="s">
        <v>325</v>
      </c>
      <c r="AZ63" s="2">
        <v>4.2699999999999996</v>
      </c>
      <c r="BA63" s="2" t="s">
        <v>325</v>
      </c>
      <c r="BB63" s="2">
        <v>153.49</v>
      </c>
      <c r="BC63" s="2" t="s">
        <v>325</v>
      </c>
      <c r="BD63" s="2">
        <v>17.55</v>
      </c>
      <c r="BE63" s="2" t="s">
        <v>325</v>
      </c>
      <c r="BF63" s="2" t="s">
        <v>82</v>
      </c>
      <c r="BG63" s="2" t="s">
        <v>325</v>
      </c>
      <c r="BH63" s="2">
        <v>36.15</v>
      </c>
      <c r="BI63" s="2" t="s">
        <v>325</v>
      </c>
      <c r="BJ63" s="2">
        <v>156.6</v>
      </c>
      <c r="BK63" s="2" t="s">
        <v>325</v>
      </c>
      <c r="BL63" s="2">
        <v>24.4</v>
      </c>
      <c r="BM63" s="2" t="s">
        <v>325</v>
      </c>
      <c r="BN63" s="2">
        <v>45.32</v>
      </c>
      <c r="BO63" s="2" t="s">
        <v>325</v>
      </c>
      <c r="BP63" s="2" t="s">
        <v>45</v>
      </c>
      <c r="BQ63" s="2" t="s">
        <v>325</v>
      </c>
      <c r="BR63" s="2">
        <v>18.23</v>
      </c>
      <c r="BS63" s="2" t="s">
        <v>325</v>
      </c>
      <c r="BT63" s="2">
        <v>12.09</v>
      </c>
      <c r="BU63" s="2" t="s">
        <v>325</v>
      </c>
      <c r="BV63" s="1" t="s">
        <v>707</v>
      </c>
      <c r="BW63" s="1" t="s">
        <v>325</v>
      </c>
      <c r="BX63" s="1" t="s">
        <v>708</v>
      </c>
    </row>
    <row r="64" spans="1:76">
      <c r="A64" s="2" t="s">
        <v>1</v>
      </c>
      <c r="B64" s="2">
        <v>64</v>
      </c>
      <c r="C64" s="2" t="s">
        <v>326</v>
      </c>
      <c r="D64" s="2">
        <v>18.079999999999998</v>
      </c>
      <c r="E64" s="2" t="s">
        <v>326</v>
      </c>
      <c r="F64" s="2">
        <v>34.53</v>
      </c>
      <c r="G64" s="2" t="s">
        <v>326</v>
      </c>
      <c r="H64" s="2">
        <v>44.66</v>
      </c>
      <c r="I64" s="2" t="s">
        <v>326</v>
      </c>
      <c r="J64" s="2">
        <v>11.9</v>
      </c>
      <c r="K64" s="2" t="s">
        <v>326</v>
      </c>
      <c r="L64" s="2">
        <v>19.329999999999998</v>
      </c>
      <c r="M64" s="2" t="s">
        <v>326</v>
      </c>
      <c r="N64" s="2">
        <v>13.1</v>
      </c>
      <c r="O64" s="2" t="s">
        <v>326</v>
      </c>
      <c r="P64" s="2">
        <v>30.05</v>
      </c>
      <c r="Q64" s="2" t="s">
        <v>326</v>
      </c>
      <c r="R64" s="2">
        <v>24.14</v>
      </c>
      <c r="S64" s="2" t="s">
        <v>326</v>
      </c>
      <c r="T64" s="2">
        <v>18.100000000000001</v>
      </c>
      <c r="U64" s="2" t="s">
        <v>326</v>
      </c>
      <c r="V64" s="2">
        <v>5.5</v>
      </c>
      <c r="W64" s="2" t="s">
        <v>326</v>
      </c>
      <c r="X64" s="2" t="s">
        <v>141</v>
      </c>
      <c r="Y64" s="2" t="s">
        <v>326</v>
      </c>
      <c r="Z64" s="2">
        <v>28.81</v>
      </c>
      <c r="AA64" s="2" t="s">
        <v>326</v>
      </c>
      <c r="AB64" s="2">
        <v>24.88</v>
      </c>
      <c r="AC64" s="2" t="s">
        <v>326</v>
      </c>
      <c r="AD64" s="2">
        <v>17.760000000000002</v>
      </c>
      <c r="AE64" s="2" t="s">
        <v>326</v>
      </c>
      <c r="AF64" s="2">
        <v>31.05</v>
      </c>
      <c r="AG64" s="2" t="s">
        <v>326</v>
      </c>
      <c r="AH64" s="2">
        <v>48.1</v>
      </c>
      <c r="AI64" s="2" t="s">
        <v>326</v>
      </c>
      <c r="AJ64" s="2">
        <v>44.41</v>
      </c>
      <c r="AK64" s="2" t="s">
        <v>326</v>
      </c>
      <c r="AL64" s="2">
        <v>7.77</v>
      </c>
      <c r="AM64" s="2" t="s">
        <v>326</v>
      </c>
      <c r="AN64" s="2">
        <v>89.96</v>
      </c>
      <c r="AO64" s="2" t="s">
        <v>326</v>
      </c>
      <c r="AP64" s="2" t="s">
        <v>96</v>
      </c>
      <c r="AQ64" s="2" t="s">
        <v>326</v>
      </c>
      <c r="AR64" s="2">
        <v>10.9</v>
      </c>
      <c r="AS64" s="2" t="s">
        <v>326</v>
      </c>
      <c r="AT64" s="2">
        <v>1196.81</v>
      </c>
      <c r="AU64" s="2" t="s">
        <v>326</v>
      </c>
      <c r="AV64" s="2">
        <v>141.5</v>
      </c>
      <c r="AW64" s="2" t="s">
        <v>326</v>
      </c>
      <c r="AX64" s="2">
        <v>119.21</v>
      </c>
      <c r="AY64" s="2" t="s">
        <v>326</v>
      </c>
      <c r="AZ64" s="2">
        <v>4.29</v>
      </c>
      <c r="BA64" s="2" t="s">
        <v>326</v>
      </c>
      <c r="BB64" s="2">
        <v>153.5</v>
      </c>
      <c r="BC64" s="2" t="s">
        <v>326</v>
      </c>
      <c r="BD64" s="2">
        <v>17.309999999999999</v>
      </c>
      <c r="BE64" s="2" t="s">
        <v>326</v>
      </c>
      <c r="BF64" s="2">
        <v>15.63</v>
      </c>
      <c r="BG64" s="2" t="s">
        <v>326</v>
      </c>
      <c r="BH64" s="2">
        <v>35.5</v>
      </c>
      <c r="BI64" s="2" t="s">
        <v>326</v>
      </c>
      <c r="BJ64" s="2">
        <v>155.75</v>
      </c>
      <c r="BK64" s="2" t="s">
        <v>326</v>
      </c>
      <c r="BL64" s="2">
        <v>24.2</v>
      </c>
      <c r="BM64" s="2" t="s">
        <v>326</v>
      </c>
      <c r="BN64" s="2">
        <v>44.86</v>
      </c>
      <c r="BO64" s="2" t="s">
        <v>326</v>
      </c>
      <c r="BP64" s="2">
        <v>27.48</v>
      </c>
      <c r="BQ64" s="2" t="s">
        <v>326</v>
      </c>
      <c r="BR64" s="2">
        <v>18.25</v>
      </c>
      <c r="BS64" s="2" t="s">
        <v>326</v>
      </c>
      <c r="BT64" s="2">
        <v>12.15</v>
      </c>
      <c r="BU64" s="2" t="s">
        <v>326</v>
      </c>
      <c r="BV64" s="1" t="s">
        <v>709</v>
      </c>
      <c r="BW64" s="1" t="s">
        <v>326</v>
      </c>
      <c r="BX64" s="1" t="s">
        <v>710</v>
      </c>
    </row>
    <row r="65" spans="1:76">
      <c r="A65" s="2" t="s">
        <v>1</v>
      </c>
      <c r="B65" s="2">
        <v>65</v>
      </c>
      <c r="C65" s="2" t="s">
        <v>327</v>
      </c>
      <c r="D65" s="2">
        <v>17.97</v>
      </c>
      <c r="E65" s="2" t="s">
        <v>327</v>
      </c>
      <c r="F65" s="2">
        <v>34.479999999999997</v>
      </c>
      <c r="G65" s="2" t="s">
        <v>327</v>
      </c>
      <c r="H65" s="2">
        <v>44.71</v>
      </c>
      <c r="I65" s="2" t="s">
        <v>327</v>
      </c>
      <c r="J65" s="2">
        <v>11.7</v>
      </c>
      <c r="K65" s="2" t="s">
        <v>327</v>
      </c>
      <c r="L65" s="2">
        <v>19.059999999999999</v>
      </c>
      <c r="M65" s="2" t="s">
        <v>327</v>
      </c>
      <c r="N65" s="2">
        <v>13.06</v>
      </c>
      <c r="O65" s="2" t="s">
        <v>327</v>
      </c>
      <c r="P65" s="2">
        <v>29.74</v>
      </c>
      <c r="Q65" s="2" t="s">
        <v>327</v>
      </c>
      <c r="R65" s="2">
        <v>24.07</v>
      </c>
      <c r="S65" s="2" t="s">
        <v>327</v>
      </c>
      <c r="T65" s="2">
        <v>17.760000000000002</v>
      </c>
      <c r="U65" s="2" t="s">
        <v>327</v>
      </c>
      <c r="V65" s="2">
        <v>5.51</v>
      </c>
      <c r="W65" s="2" t="s">
        <v>327</v>
      </c>
      <c r="X65" s="2" t="s">
        <v>141</v>
      </c>
      <c r="Y65" s="2" t="s">
        <v>327</v>
      </c>
      <c r="Z65" s="2">
        <v>28.65</v>
      </c>
      <c r="AA65" s="2" t="s">
        <v>327</v>
      </c>
      <c r="AB65" s="2">
        <v>24.74</v>
      </c>
      <c r="AC65" s="2" t="s">
        <v>327</v>
      </c>
      <c r="AD65" s="2">
        <v>17.600000000000001</v>
      </c>
      <c r="AE65" s="2" t="s">
        <v>327</v>
      </c>
      <c r="AF65" s="2">
        <v>31.7</v>
      </c>
      <c r="AG65" s="2" t="s">
        <v>327</v>
      </c>
      <c r="AH65" s="2">
        <v>46.93</v>
      </c>
      <c r="AI65" s="2" t="s">
        <v>327</v>
      </c>
      <c r="AJ65" s="2">
        <v>43.85</v>
      </c>
      <c r="AK65" s="2" t="s">
        <v>327</v>
      </c>
      <c r="AL65" s="2">
        <v>7.85</v>
      </c>
      <c r="AM65" s="2" t="s">
        <v>327</v>
      </c>
      <c r="AN65" s="2">
        <v>90.5</v>
      </c>
      <c r="AO65" s="2" t="s">
        <v>327</v>
      </c>
      <c r="AP65" s="2">
        <v>119.25</v>
      </c>
      <c r="AQ65" s="2" t="s">
        <v>327</v>
      </c>
      <c r="AR65" s="2">
        <v>10.9</v>
      </c>
      <c r="AS65" s="2" t="s">
        <v>327</v>
      </c>
      <c r="AT65" s="2">
        <v>1196.81</v>
      </c>
      <c r="AU65" s="2" t="s">
        <v>327</v>
      </c>
      <c r="AV65" s="2">
        <v>140.27000000000001</v>
      </c>
      <c r="AW65" s="2" t="s">
        <v>327</v>
      </c>
      <c r="AX65" s="2">
        <v>120.1</v>
      </c>
      <c r="AY65" s="2" t="s">
        <v>327</v>
      </c>
      <c r="AZ65" s="2">
        <v>4.1100000000000003</v>
      </c>
      <c r="BA65" s="2" t="s">
        <v>327</v>
      </c>
      <c r="BB65" s="2">
        <v>153.80000000000001</v>
      </c>
      <c r="BC65" s="2" t="s">
        <v>327</v>
      </c>
      <c r="BD65" s="2">
        <v>17.170000000000002</v>
      </c>
      <c r="BE65" s="2" t="s">
        <v>327</v>
      </c>
      <c r="BF65" s="2">
        <v>15.48</v>
      </c>
      <c r="BG65" s="2" t="s">
        <v>327</v>
      </c>
      <c r="BH65" s="2">
        <v>35.700000000000003</v>
      </c>
      <c r="BI65" s="2" t="s">
        <v>327</v>
      </c>
      <c r="BJ65" s="2" t="s">
        <v>144</v>
      </c>
      <c r="BK65" s="2" t="s">
        <v>327</v>
      </c>
      <c r="BL65" s="2">
        <v>23.88</v>
      </c>
      <c r="BM65" s="2" t="s">
        <v>327</v>
      </c>
      <c r="BN65" s="2">
        <v>44.3</v>
      </c>
      <c r="BO65" s="2" t="s">
        <v>327</v>
      </c>
      <c r="BP65" s="2">
        <v>27.27</v>
      </c>
      <c r="BQ65" s="2" t="s">
        <v>327</v>
      </c>
      <c r="BR65" s="2">
        <v>18.11</v>
      </c>
      <c r="BS65" s="2" t="s">
        <v>327</v>
      </c>
      <c r="BT65" s="2">
        <v>12.11</v>
      </c>
      <c r="BU65" s="2" t="s">
        <v>327</v>
      </c>
      <c r="BV65" s="1" t="s">
        <v>711</v>
      </c>
      <c r="BW65" s="1" t="s">
        <v>327</v>
      </c>
      <c r="BX65" s="1" t="s">
        <v>81</v>
      </c>
    </row>
    <row r="66" spans="1:76">
      <c r="A66" s="2" t="s">
        <v>1</v>
      </c>
      <c r="B66" s="2">
        <v>66</v>
      </c>
      <c r="C66" s="2" t="s">
        <v>328</v>
      </c>
      <c r="D66" s="2" t="s">
        <v>69</v>
      </c>
      <c r="E66" s="2" t="s">
        <v>328</v>
      </c>
      <c r="F66" s="2">
        <v>34.78</v>
      </c>
      <c r="G66" s="2" t="s">
        <v>328</v>
      </c>
      <c r="H66" s="2">
        <v>44.01</v>
      </c>
      <c r="I66" s="2" t="s">
        <v>328</v>
      </c>
      <c r="J66" s="2">
        <v>11.56</v>
      </c>
      <c r="K66" s="2" t="s">
        <v>328</v>
      </c>
      <c r="L66" s="2">
        <v>19.12</v>
      </c>
      <c r="M66" s="2" t="s">
        <v>328</v>
      </c>
      <c r="N66" s="2">
        <v>13.14</v>
      </c>
      <c r="O66" s="2" t="s">
        <v>328</v>
      </c>
      <c r="P66" s="2">
        <v>29.89</v>
      </c>
      <c r="Q66" s="2" t="s">
        <v>328</v>
      </c>
      <c r="R66" s="2">
        <v>24.09</v>
      </c>
      <c r="S66" s="2" t="s">
        <v>328</v>
      </c>
      <c r="T66" s="2">
        <v>17.420000000000002</v>
      </c>
      <c r="U66" s="2" t="s">
        <v>328</v>
      </c>
      <c r="V66" s="2">
        <v>5.45</v>
      </c>
      <c r="W66" s="2" t="s">
        <v>328</v>
      </c>
      <c r="X66" s="2">
        <v>116.75</v>
      </c>
      <c r="Y66" s="2" t="s">
        <v>328</v>
      </c>
      <c r="Z66" s="2">
        <v>28.52</v>
      </c>
      <c r="AA66" s="2" t="s">
        <v>328</v>
      </c>
      <c r="AB66" s="2">
        <v>24.32</v>
      </c>
      <c r="AC66" s="2" t="s">
        <v>328</v>
      </c>
      <c r="AD66" s="2">
        <v>17.64</v>
      </c>
      <c r="AE66" s="2" t="s">
        <v>328</v>
      </c>
      <c r="AF66" s="2">
        <v>31.62</v>
      </c>
      <c r="AG66" s="2" t="s">
        <v>328</v>
      </c>
      <c r="AH66" s="2">
        <v>47.86</v>
      </c>
      <c r="AI66" s="2" t="s">
        <v>328</v>
      </c>
      <c r="AJ66" s="2">
        <v>43.51</v>
      </c>
      <c r="AK66" s="2" t="s">
        <v>328</v>
      </c>
      <c r="AL66" s="2">
        <v>7.9</v>
      </c>
      <c r="AM66" s="2" t="s">
        <v>328</v>
      </c>
      <c r="AN66" s="2">
        <v>91.89</v>
      </c>
      <c r="AO66" s="2" t="s">
        <v>328</v>
      </c>
      <c r="AP66" s="2">
        <v>119.2</v>
      </c>
      <c r="AQ66" s="2" t="s">
        <v>328</v>
      </c>
      <c r="AR66" s="2">
        <v>10.96</v>
      </c>
      <c r="AS66" s="2" t="s">
        <v>328</v>
      </c>
      <c r="AT66" s="2">
        <v>1200.02</v>
      </c>
      <c r="AU66" s="2" t="s">
        <v>328</v>
      </c>
      <c r="AV66" s="2">
        <v>141.29</v>
      </c>
      <c r="AW66" s="2" t="s">
        <v>328</v>
      </c>
      <c r="AX66" s="2">
        <v>120.64</v>
      </c>
      <c r="AY66" s="2" t="s">
        <v>328</v>
      </c>
      <c r="AZ66" s="2">
        <v>4.2</v>
      </c>
      <c r="BA66" s="2" t="s">
        <v>328</v>
      </c>
      <c r="BB66" s="2">
        <v>153.44999999999999</v>
      </c>
      <c r="BC66" s="2" t="s">
        <v>328</v>
      </c>
      <c r="BD66" s="2">
        <v>16.75</v>
      </c>
      <c r="BE66" s="2" t="s">
        <v>328</v>
      </c>
      <c r="BF66" s="2">
        <v>15.1</v>
      </c>
      <c r="BG66" s="2" t="s">
        <v>328</v>
      </c>
      <c r="BH66" s="2">
        <v>35.14</v>
      </c>
      <c r="BI66" s="2" t="s">
        <v>328</v>
      </c>
      <c r="BJ66" s="2">
        <v>158.85</v>
      </c>
      <c r="BK66" s="2" t="s">
        <v>328</v>
      </c>
      <c r="BL66" s="2">
        <v>24.24</v>
      </c>
      <c r="BM66" s="2" t="s">
        <v>328</v>
      </c>
      <c r="BN66" s="2">
        <v>44.01</v>
      </c>
      <c r="BO66" s="2" t="s">
        <v>328</v>
      </c>
      <c r="BP66" s="2">
        <v>27.34</v>
      </c>
      <c r="BQ66" s="2" t="s">
        <v>328</v>
      </c>
      <c r="BR66" s="2">
        <v>18.100000000000001</v>
      </c>
      <c r="BS66" s="2" t="s">
        <v>328</v>
      </c>
      <c r="BT66" s="2">
        <v>12.1</v>
      </c>
      <c r="BU66" s="2" t="s">
        <v>328</v>
      </c>
      <c r="BV66" s="1" t="s">
        <v>712</v>
      </c>
      <c r="BW66" s="1" t="s">
        <v>328</v>
      </c>
      <c r="BX66" s="1" t="s">
        <v>577</v>
      </c>
    </row>
    <row r="67" spans="1:76">
      <c r="A67" s="2" t="s">
        <v>1</v>
      </c>
      <c r="B67" s="2">
        <v>67</v>
      </c>
      <c r="C67" s="2" t="s">
        <v>329</v>
      </c>
      <c r="D67" s="2">
        <v>18.100000000000001</v>
      </c>
      <c r="E67" s="2" t="s">
        <v>329</v>
      </c>
      <c r="F67" s="2">
        <v>35.5</v>
      </c>
      <c r="G67" s="2" t="s">
        <v>329</v>
      </c>
      <c r="H67" s="2">
        <v>43.9</v>
      </c>
      <c r="I67" s="2" t="s">
        <v>329</v>
      </c>
      <c r="J67" s="2">
        <v>11.5</v>
      </c>
      <c r="K67" s="2" t="s">
        <v>329</v>
      </c>
      <c r="L67" s="2">
        <v>19.3</v>
      </c>
      <c r="M67" s="2" t="s">
        <v>329</v>
      </c>
      <c r="N67" s="2">
        <v>13.42</v>
      </c>
      <c r="O67" s="2" t="s">
        <v>329</v>
      </c>
      <c r="P67" s="2">
        <v>30.55</v>
      </c>
      <c r="Q67" s="2" t="s">
        <v>329</v>
      </c>
      <c r="R67" s="2">
        <v>23.68</v>
      </c>
      <c r="S67" s="2" t="s">
        <v>329</v>
      </c>
      <c r="T67" s="2">
        <v>17.61</v>
      </c>
      <c r="U67" s="2" t="s">
        <v>329</v>
      </c>
      <c r="V67" s="2">
        <v>5.43</v>
      </c>
      <c r="W67" s="2" t="s">
        <v>329</v>
      </c>
      <c r="X67" s="2">
        <v>116.5</v>
      </c>
      <c r="Y67" s="2" t="s">
        <v>329</v>
      </c>
      <c r="Z67" s="2">
        <v>28.21</v>
      </c>
      <c r="AA67" s="2" t="s">
        <v>329</v>
      </c>
      <c r="AB67" s="2">
        <v>24.34</v>
      </c>
      <c r="AC67" s="2" t="s">
        <v>329</v>
      </c>
      <c r="AD67" s="2">
        <v>17.46</v>
      </c>
      <c r="AE67" s="2" t="s">
        <v>329</v>
      </c>
      <c r="AF67" s="2">
        <v>31.72</v>
      </c>
      <c r="AG67" s="2" t="s">
        <v>329</v>
      </c>
      <c r="AH67" s="2">
        <v>47.86</v>
      </c>
      <c r="AI67" s="2" t="s">
        <v>329</v>
      </c>
      <c r="AJ67" s="2">
        <v>44.42</v>
      </c>
      <c r="AK67" s="2" t="s">
        <v>329</v>
      </c>
      <c r="AL67" s="2">
        <v>7.91</v>
      </c>
      <c r="AM67" s="2" t="s">
        <v>329</v>
      </c>
      <c r="AN67" s="2">
        <v>91.5</v>
      </c>
      <c r="AO67" s="2" t="s">
        <v>329</v>
      </c>
      <c r="AP67" s="2" t="s">
        <v>96</v>
      </c>
      <c r="AQ67" s="2" t="s">
        <v>329</v>
      </c>
      <c r="AR67" s="2">
        <v>11.12</v>
      </c>
      <c r="AS67" s="2" t="s">
        <v>329</v>
      </c>
      <c r="AT67" s="2">
        <v>1197.01</v>
      </c>
      <c r="AU67" s="2" t="s">
        <v>329</v>
      </c>
      <c r="AV67" s="2" t="s">
        <v>42</v>
      </c>
      <c r="AW67" s="2" t="s">
        <v>329</v>
      </c>
      <c r="AX67" s="2" t="s">
        <v>111</v>
      </c>
      <c r="AY67" s="2" t="s">
        <v>329</v>
      </c>
      <c r="AZ67" s="2">
        <v>4.22</v>
      </c>
      <c r="BA67" s="2" t="s">
        <v>329</v>
      </c>
      <c r="BB67" s="2">
        <v>153.5</v>
      </c>
      <c r="BC67" s="2" t="s">
        <v>329</v>
      </c>
      <c r="BD67" s="2">
        <v>16.71</v>
      </c>
      <c r="BE67" s="2" t="s">
        <v>329</v>
      </c>
      <c r="BF67" s="2">
        <v>15.43</v>
      </c>
      <c r="BG67" s="2" t="s">
        <v>329</v>
      </c>
      <c r="BH67" s="2">
        <v>35.65</v>
      </c>
      <c r="BI67" s="2" t="s">
        <v>329</v>
      </c>
      <c r="BJ67" s="2">
        <v>158.1</v>
      </c>
      <c r="BK67" s="2" t="s">
        <v>329</v>
      </c>
      <c r="BL67" s="2">
        <v>24.24</v>
      </c>
      <c r="BM67" s="2" t="s">
        <v>329</v>
      </c>
      <c r="BN67" s="2">
        <v>44.77</v>
      </c>
      <c r="BO67" s="2" t="s">
        <v>329</v>
      </c>
      <c r="BP67" s="2">
        <v>27.7</v>
      </c>
      <c r="BQ67" s="2" t="s">
        <v>329</v>
      </c>
      <c r="BR67" s="2">
        <v>17.510000000000002</v>
      </c>
      <c r="BS67" s="2" t="s">
        <v>329</v>
      </c>
      <c r="BT67" s="2">
        <v>12.04</v>
      </c>
      <c r="BU67" s="2" t="s">
        <v>329</v>
      </c>
      <c r="BV67" s="1" t="s">
        <v>713</v>
      </c>
      <c r="BW67" s="1" t="s">
        <v>329</v>
      </c>
      <c r="BX67" s="1" t="s">
        <v>579</v>
      </c>
    </row>
    <row r="68" spans="1:76">
      <c r="A68" s="2" t="s">
        <v>1</v>
      </c>
      <c r="B68" s="2">
        <v>68</v>
      </c>
      <c r="C68" s="2" t="s">
        <v>330</v>
      </c>
      <c r="D68" s="2">
        <v>18.100000000000001</v>
      </c>
      <c r="E68" s="2" t="s">
        <v>330</v>
      </c>
      <c r="F68" s="2">
        <v>35.659999999999997</v>
      </c>
      <c r="G68" s="2" t="s">
        <v>330</v>
      </c>
      <c r="H68" s="2">
        <v>43.95</v>
      </c>
      <c r="I68" s="2" t="s">
        <v>330</v>
      </c>
      <c r="J68" s="2">
        <v>11.36</v>
      </c>
      <c r="K68" s="2" t="s">
        <v>330</v>
      </c>
      <c r="L68" s="2">
        <v>19.11</v>
      </c>
      <c r="M68" s="2" t="s">
        <v>330</v>
      </c>
      <c r="N68" s="2">
        <v>13.39</v>
      </c>
      <c r="O68" s="2" t="s">
        <v>330</v>
      </c>
      <c r="P68" s="2">
        <v>30.53</v>
      </c>
      <c r="Q68" s="2" t="s">
        <v>330</v>
      </c>
      <c r="R68" s="2">
        <v>23.98</v>
      </c>
      <c r="S68" s="2" t="s">
        <v>330</v>
      </c>
      <c r="T68" s="2">
        <v>17.62</v>
      </c>
      <c r="U68" s="2" t="s">
        <v>330</v>
      </c>
      <c r="V68" s="2">
        <v>5.4</v>
      </c>
      <c r="W68" s="2" t="s">
        <v>330</v>
      </c>
      <c r="X68" s="2">
        <v>116.75</v>
      </c>
      <c r="Y68" s="2" t="s">
        <v>330</v>
      </c>
      <c r="Z68" s="2">
        <v>28.3</v>
      </c>
      <c r="AA68" s="2" t="s">
        <v>330</v>
      </c>
      <c r="AB68" s="2">
        <v>24.31</v>
      </c>
      <c r="AC68" s="2" t="s">
        <v>330</v>
      </c>
      <c r="AD68" s="2">
        <v>17.68</v>
      </c>
      <c r="AE68" s="2" t="s">
        <v>330</v>
      </c>
      <c r="AF68" s="2">
        <v>31.41</v>
      </c>
      <c r="AG68" s="2" t="s">
        <v>330</v>
      </c>
      <c r="AH68" s="2">
        <v>47.66</v>
      </c>
      <c r="AI68" s="2" t="s">
        <v>330</v>
      </c>
      <c r="AJ68" s="2">
        <v>44.8</v>
      </c>
      <c r="AK68" s="2" t="s">
        <v>330</v>
      </c>
      <c r="AL68" s="2">
        <v>7.91</v>
      </c>
      <c r="AM68" s="2" t="s">
        <v>330</v>
      </c>
      <c r="AN68" s="2" t="s">
        <v>90</v>
      </c>
      <c r="AO68" s="2" t="s">
        <v>330</v>
      </c>
      <c r="AP68" s="2">
        <v>119.15</v>
      </c>
      <c r="AQ68" s="2" t="s">
        <v>330</v>
      </c>
      <c r="AR68" s="2">
        <v>11.17</v>
      </c>
      <c r="AS68" s="2" t="s">
        <v>330</v>
      </c>
      <c r="AT68" s="2">
        <v>1200.05</v>
      </c>
      <c r="AU68" s="2" t="s">
        <v>330</v>
      </c>
      <c r="AV68" s="2">
        <v>142.36000000000001</v>
      </c>
      <c r="AW68" s="2" t="s">
        <v>330</v>
      </c>
      <c r="AX68" s="2">
        <v>121.6</v>
      </c>
      <c r="AY68" s="2" t="s">
        <v>330</v>
      </c>
      <c r="AZ68" s="2">
        <v>4.2300000000000004</v>
      </c>
      <c r="BA68" s="2" t="s">
        <v>330</v>
      </c>
      <c r="BB68" s="2">
        <v>153.75</v>
      </c>
      <c r="BC68" s="2" t="s">
        <v>330</v>
      </c>
      <c r="BD68" s="2">
        <v>16.670000000000002</v>
      </c>
      <c r="BE68" s="2" t="s">
        <v>330</v>
      </c>
      <c r="BF68" s="2">
        <v>15.53</v>
      </c>
      <c r="BG68" s="2" t="s">
        <v>330</v>
      </c>
      <c r="BH68" s="2">
        <v>34.79</v>
      </c>
      <c r="BI68" s="2" t="s">
        <v>330</v>
      </c>
      <c r="BJ68" s="2" t="s">
        <v>142</v>
      </c>
      <c r="BK68" s="2" t="s">
        <v>330</v>
      </c>
      <c r="BL68" s="2">
        <v>24.13</v>
      </c>
      <c r="BM68" s="2" t="s">
        <v>330</v>
      </c>
      <c r="BN68" s="2">
        <v>44.38</v>
      </c>
      <c r="BO68" s="2" t="s">
        <v>330</v>
      </c>
      <c r="BP68" s="2">
        <v>27.66</v>
      </c>
      <c r="BQ68" s="2" t="s">
        <v>330</v>
      </c>
      <c r="BR68" s="2" t="s">
        <v>44</v>
      </c>
      <c r="BS68" s="2" t="s">
        <v>330</v>
      </c>
      <c r="BT68" s="2">
        <v>12.01</v>
      </c>
      <c r="BU68" s="2" t="s">
        <v>330</v>
      </c>
      <c r="BV68" s="1" t="s">
        <v>714</v>
      </c>
      <c r="BW68" s="1" t="s">
        <v>330</v>
      </c>
      <c r="BX68" s="1" t="s">
        <v>81</v>
      </c>
    </row>
    <row r="69" spans="1:76">
      <c r="A69" s="2" t="s">
        <v>1</v>
      </c>
      <c r="B69" s="2">
        <v>69</v>
      </c>
      <c r="C69" s="2" t="s">
        <v>331</v>
      </c>
      <c r="D69" s="2">
        <v>17.899999999999999</v>
      </c>
      <c r="E69" s="2" t="s">
        <v>331</v>
      </c>
      <c r="F69" s="2">
        <v>35.03</v>
      </c>
      <c r="G69" s="2" t="s">
        <v>331</v>
      </c>
      <c r="H69" s="2">
        <v>44.39</v>
      </c>
      <c r="I69" s="2" t="s">
        <v>331</v>
      </c>
      <c r="J69" s="2">
        <v>11.09</v>
      </c>
      <c r="K69" s="2" t="s">
        <v>331</v>
      </c>
      <c r="L69" s="2">
        <v>19.600000000000001</v>
      </c>
      <c r="M69" s="2" t="s">
        <v>331</v>
      </c>
      <c r="N69" s="2">
        <v>13.18</v>
      </c>
      <c r="O69" s="2" t="s">
        <v>331</v>
      </c>
      <c r="P69" s="2">
        <v>30.12</v>
      </c>
      <c r="Q69" s="2" t="s">
        <v>331</v>
      </c>
      <c r="R69" s="2">
        <v>23.73</v>
      </c>
      <c r="S69" s="2" t="s">
        <v>331</v>
      </c>
      <c r="T69" s="2">
        <v>17.64</v>
      </c>
      <c r="U69" s="2" t="s">
        <v>331</v>
      </c>
      <c r="V69" s="2">
        <v>5.48</v>
      </c>
      <c r="W69" s="2" t="s">
        <v>331</v>
      </c>
      <c r="X69" s="2">
        <v>117.24</v>
      </c>
      <c r="Y69" s="2" t="s">
        <v>331</v>
      </c>
      <c r="Z69" s="2">
        <v>28.8</v>
      </c>
      <c r="AA69" s="2" t="s">
        <v>331</v>
      </c>
      <c r="AB69" s="2">
        <v>24.7</v>
      </c>
      <c r="AC69" s="2" t="s">
        <v>331</v>
      </c>
      <c r="AD69" s="2">
        <v>17.95</v>
      </c>
      <c r="AE69" s="2" t="s">
        <v>331</v>
      </c>
      <c r="AF69" s="2">
        <v>31.77</v>
      </c>
      <c r="AG69" s="2" t="s">
        <v>331</v>
      </c>
      <c r="AH69" s="2">
        <v>47.75</v>
      </c>
      <c r="AI69" s="2" t="s">
        <v>331</v>
      </c>
      <c r="AJ69" s="2">
        <v>44.72</v>
      </c>
      <c r="AK69" s="2" t="s">
        <v>331</v>
      </c>
      <c r="AL69" s="2">
        <v>7.92</v>
      </c>
      <c r="AM69" s="2" t="s">
        <v>331</v>
      </c>
      <c r="AN69" s="2" t="s">
        <v>90</v>
      </c>
      <c r="AO69" s="2" t="s">
        <v>331</v>
      </c>
      <c r="AP69" s="2">
        <v>118.6</v>
      </c>
      <c r="AQ69" s="2" t="s">
        <v>331</v>
      </c>
      <c r="AR69" s="2">
        <v>11.26</v>
      </c>
      <c r="AS69" s="2" t="s">
        <v>331</v>
      </c>
      <c r="AT69" s="2">
        <v>1203.5</v>
      </c>
      <c r="AU69" s="2" t="s">
        <v>331</v>
      </c>
      <c r="AV69" s="2">
        <v>143.77000000000001</v>
      </c>
      <c r="AW69" s="2" t="s">
        <v>331</v>
      </c>
      <c r="AX69" s="2">
        <v>121.95</v>
      </c>
      <c r="AY69" s="2" t="s">
        <v>331</v>
      </c>
      <c r="AZ69" s="2">
        <v>4.29</v>
      </c>
      <c r="BA69" s="2" t="s">
        <v>331</v>
      </c>
      <c r="BB69" s="2" t="s">
        <v>100</v>
      </c>
      <c r="BC69" s="2" t="s">
        <v>331</v>
      </c>
      <c r="BD69" s="2">
        <v>16.899999999999999</v>
      </c>
      <c r="BE69" s="2" t="s">
        <v>331</v>
      </c>
      <c r="BF69" s="2">
        <v>15.5</v>
      </c>
      <c r="BG69" s="2" t="s">
        <v>331</v>
      </c>
      <c r="BH69" s="2" t="s">
        <v>324</v>
      </c>
      <c r="BI69" s="2" t="s">
        <v>331</v>
      </c>
      <c r="BJ69" s="2">
        <v>160.19999999999999</v>
      </c>
      <c r="BK69" s="2" t="s">
        <v>331</v>
      </c>
      <c r="BL69" s="2">
        <v>24.23</v>
      </c>
      <c r="BM69" s="2" t="s">
        <v>331</v>
      </c>
      <c r="BN69" s="2">
        <v>43.63</v>
      </c>
      <c r="BO69" s="2" t="s">
        <v>331</v>
      </c>
      <c r="BP69" s="2">
        <v>27.55</v>
      </c>
      <c r="BQ69" s="2" t="s">
        <v>331</v>
      </c>
      <c r="BR69" s="2">
        <v>17.420000000000002</v>
      </c>
      <c r="BS69" s="2" t="s">
        <v>331</v>
      </c>
      <c r="BT69" s="2">
        <v>12.2</v>
      </c>
      <c r="BU69" s="2" t="s">
        <v>331</v>
      </c>
      <c r="BV69" s="1" t="s">
        <v>715</v>
      </c>
      <c r="BW69" s="1" t="s">
        <v>331</v>
      </c>
      <c r="BX69" s="1" t="s">
        <v>583</v>
      </c>
    </row>
    <row r="70" spans="1:76">
      <c r="A70" s="2" t="s">
        <v>1</v>
      </c>
      <c r="B70" s="2">
        <v>70</v>
      </c>
      <c r="C70" s="2" t="s">
        <v>332</v>
      </c>
      <c r="D70" s="2">
        <v>17.600000000000001</v>
      </c>
      <c r="E70" s="2" t="s">
        <v>332</v>
      </c>
      <c r="F70" s="2">
        <v>34.409999999999997</v>
      </c>
      <c r="G70" s="2" t="s">
        <v>332</v>
      </c>
      <c r="H70" s="2">
        <v>44.44</v>
      </c>
      <c r="I70" s="2" t="s">
        <v>332</v>
      </c>
      <c r="J70" s="2">
        <v>11.08</v>
      </c>
      <c r="K70" s="2" t="s">
        <v>332</v>
      </c>
      <c r="L70" s="2">
        <v>19.350000000000001</v>
      </c>
      <c r="M70" s="2" t="s">
        <v>332</v>
      </c>
      <c r="N70" s="2">
        <v>12.95</v>
      </c>
      <c r="O70" s="2" t="s">
        <v>332</v>
      </c>
      <c r="P70" s="2">
        <v>29.63</v>
      </c>
      <c r="Q70" s="2" t="s">
        <v>332</v>
      </c>
      <c r="R70" s="2">
        <v>23.68</v>
      </c>
      <c r="S70" s="2" t="s">
        <v>332</v>
      </c>
      <c r="T70" s="2">
        <v>17.96</v>
      </c>
      <c r="U70" s="2" t="s">
        <v>332</v>
      </c>
      <c r="V70" s="2">
        <v>5.57</v>
      </c>
      <c r="W70" s="2" t="s">
        <v>332</v>
      </c>
      <c r="X70" s="2" t="s">
        <v>95</v>
      </c>
      <c r="Y70" s="2" t="s">
        <v>332</v>
      </c>
      <c r="Z70" s="2">
        <v>28.65</v>
      </c>
      <c r="AA70" s="2" t="s">
        <v>332</v>
      </c>
      <c r="AB70" s="2">
        <v>24.41</v>
      </c>
      <c r="AC70" s="2" t="s">
        <v>332</v>
      </c>
      <c r="AD70" s="2">
        <v>18.25</v>
      </c>
      <c r="AE70" s="2" t="s">
        <v>332</v>
      </c>
      <c r="AF70" s="2">
        <v>32.200000000000003</v>
      </c>
      <c r="AG70" s="2" t="s">
        <v>332</v>
      </c>
      <c r="AH70" s="2">
        <v>47.71</v>
      </c>
      <c r="AI70" s="2" t="s">
        <v>332</v>
      </c>
      <c r="AJ70" s="2">
        <v>44.55</v>
      </c>
      <c r="AK70" s="2" t="s">
        <v>332</v>
      </c>
      <c r="AL70" s="2">
        <v>7.95</v>
      </c>
      <c r="AM70" s="2" t="s">
        <v>332</v>
      </c>
      <c r="AN70" s="2">
        <v>89.75</v>
      </c>
      <c r="AO70" s="2" t="s">
        <v>332</v>
      </c>
      <c r="AP70" s="2">
        <v>115.67</v>
      </c>
      <c r="AQ70" s="2" t="s">
        <v>332</v>
      </c>
      <c r="AR70" s="2">
        <v>11.19</v>
      </c>
      <c r="AS70" s="2" t="s">
        <v>332</v>
      </c>
      <c r="AT70" s="2">
        <v>1219.98</v>
      </c>
      <c r="AU70" s="2" t="s">
        <v>332</v>
      </c>
      <c r="AV70" s="2">
        <v>143.80000000000001</v>
      </c>
      <c r="AW70" s="2" t="s">
        <v>332</v>
      </c>
      <c r="AX70" s="2" t="s">
        <v>102</v>
      </c>
      <c r="AY70" s="2" t="s">
        <v>332</v>
      </c>
      <c r="AZ70" s="2">
        <v>4.3</v>
      </c>
      <c r="BA70" s="2" t="s">
        <v>332</v>
      </c>
      <c r="BB70" s="2">
        <v>153.99</v>
      </c>
      <c r="BC70" s="2" t="s">
        <v>332</v>
      </c>
      <c r="BD70" s="2">
        <v>16.920000000000002</v>
      </c>
      <c r="BE70" s="2" t="s">
        <v>332</v>
      </c>
      <c r="BF70" s="2">
        <v>15.4</v>
      </c>
      <c r="BG70" s="2" t="s">
        <v>332</v>
      </c>
      <c r="BH70" s="2">
        <v>35.299999999999997</v>
      </c>
      <c r="BI70" s="2" t="s">
        <v>332</v>
      </c>
      <c r="BJ70" s="2" t="s">
        <v>139</v>
      </c>
      <c r="BK70" s="2" t="s">
        <v>332</v>
      </c>
      <c r="BL70" s="2">
        <v>24.23</v>
      </c>
      <c r="BM70" s="2" t="s">
        <v>332</v>
      </c>
      <c r="BN70" s="2">
        <v>43.77</v>
      </c>
      <c r="BO70" s="2" t="s">
        <v>332</v>
      </c>
      <c r="BP70" s="2">
        <v>27.51</v>
      </c>
      <c r="BQ70" s="2" t="s">
        <v>332</v>
      </c>
      <c r="BR70" s="2">
        <v>17.05</v>
      </c>
      <c r="BS70" s="2" t="s">
        <v>332</v>
      </c>
      <c r="BT70" s="2">
        <v>12.28</v>
      </c>
      <c r="BU70" s="2" t="s">
        <v>332</v>
      </c>
      <c r="BV70" s="1" t="s">
        <v>716</v>
      </c>
      <c r="BW70" s="1" t="s">
        <v>332</v>
      </c>
      <c r="BX70" s="1" t="s">
        <v>583</v>
      </c>
    </row>
    <row r="71" spans="1:76">
      <c r="A71" s="2" t="s">
        <v>1</v>
      </c>
      <c r="B71" s="2">
        <v>71</v>
      </c>
      <c r="C71" s="2" t="s">
        <v>333</v>
      </c>
      <c r="D71" s="2">
        <v>17.170000000000002</v>
      </c>
      <c r="E71" s="2" t="s">
        <v>333</v>
      </c>
      <c r="F71" s="2">
        <v>33.6</v>
      </c>
      <c r="G71" s="2" t="s">
        <v>333</v>
      </c>
      <c r="H71" s="2">
        <v>43.61</v>
      </c>
      <c r="I71" s="2" t="s">
        <v>333</v>
      </c>
      <c r="J71" s="2">
        <v>10.97</v>
      </c>
      <c r="K71" s="2" t="s">
        <v>333</v>
      </c>
      <c r="L71" s="2">
        <v>19.05</v>
      </c>
      <c r="M71" s="2" t="s">
        <v>333</v>
      </c>
      <c r="N71" s="2">
        <v>12.65</v>
      </c>
      <c r="O71" s="2" t="s">
        <v>333</v>
      </c>
      <c r="P71" s="2">
        <v>28.96</v>
      </c>
      <c r="Q71" s="2" t="s">
        <v>333</v>
      </c>
      <c r="R71" s="2">
        <v>23.56</v>
      </c>
      <c r="S71" s="2" t="s">
        <v>333</v>
      </c>
      <c r="T71" s="2">
        <v>17.8</v>
      </c>
      <c r="U71" s="2" t="s">
        <v>333</v>
      </c>
      <c r="V71" s="2">
        <v>5.48</v>
      </c>
      <c r="W71" s="2" t="s">
        <v>333</v>
      </c>
      <c r="X71" s="2">
        <v>116.39</v>
      </c>
      <c r="Y71" s="2" t="s">
        <v>333</v>
      </c>
      <c r="Z71" s="2">
        <v>27.95</v>
      </c>
      <c r="AA71" s="2" t="s">
        <v>333</v>
      </c>
      <c r="AB71" s="2">
        <v>23.99</v>
      </c>
      <c r="AC71" s="2" t="s">
        <v>333</v>
      </c>
      <c r="AD71" s="2">
        <v>18.18</v>
      </c>
      <c r="AE71" s="2" t="s">
        <v>333</v>
      </c>
      <c r="AF71" s="2">
        <v>30.5</v>
      </c>
      <c r="AG71" s="2" t="s">
        <v>333</v>
      </c>
      <c r="AH71" s="2">
        <v>45.1</v>
      </c>
      <c r="AI71" s="2" t="s">
        <v>333</v>
      </c>
      <c r="AJ71" s="2">
        <v>43.44</v>
      </c>
      <c r="AK71" s="2" t="s">
        <v>333</v>
      </c>
      <c r="AL71" s="2">
        <v>7.67</v>
      </c>
      <c r="AM71" s="2" t="s">
        <v>333</v>
      </c>
      <c r="AN71" s="2" t="s">
        <v>88</v>
      </c>
      <c r="AO71" s="2" t="s">
        <v>333</v>
      </c>
      <c r="AP71" s="2">
        <v>115.24</v>
      </c>
      <c r="AQ71" s="2" t="s">
        <v>333</v>
      </c>
      <c r="AR71" s="2">
        <v>11.31</v>
      </c>
      <c r="AS71" s="2" t="s">
        <v>333</v>
      </c>
      <c r="AT71" s="2">
        <v>1210.23</v>
      </c>
      <c r="AU71" s="2" t="s">
        <v>333</v>
      </c>
      <c r="AV71" s="2" t="s">
        <v>42</v>
      </c>
      <c r="AW71" s="2" t="s">
        <v>333</v>
      </c>
      <c r="AX71" s="2">
        <v>120.45</v>
      </c>
      <c r="AY71" s="2" t="s">
        <v>333</v>
      </c>
      <c r="AZ71" s="2">
        <v>4.33</v>
      </c>
      <c r="BA71" s="2" t="s">
        <v>333</v>
      </c>
      <c r="BB71" s="2" t="s">
        <v>100</v>
      </c>
      <c r="BC71" s="2" t="s">
        <v>333</v>
      </c>
      <c r="BD71" s="2">
        <v>16.62</v>
      </c>
      <c r="BE71" s="2" t="s">
        <v>333</v>
      </c>
      <c r="BF71" s="2">
        <v>15.1</v>
      </c>
      <c r="BG71" s="2" t="s">
        <v>333</v>
      </c>
      <c r="BH71" s="2">
        <v>34.82</v>
      </c>
      <c r="BI71" s="2" t="s">
        <v>333</v>
      </c>
      <c r="BJ71" s="2">
        <v>159.74</v>
      </c>
      <c r="BK71" s="2" t="s">
        <v>333</v>
      </c>
      <c r="BL71" s="2">
        <v>23.83</v>
      </c>
      <c r="BM71" s="2" t="s">
        <v>333</v>
      </c>
      <c r="BN71" s="2">
        <v>43.1</v>
      </c>
      <c r="BO71" s="2" t="s">
        <v>333</v>
      </c>
      <c r="BP71" s="2">
        <v>26.72</v>
      </c>
      <c r="BQ71" s="2" t="s">
        <v>333</v>
      </c>
      <c r="BR71" s="2">
        <v>16.899999999999999</v>
      </c>
      <c r="BS71" s="2" t="s">
        <v>333</v>
      </c>
      <c r="BT71" s="2">
        <v>12.02</v>
      </c>
      <c r="BU71" s="2" t="s">
        <v>333</v>
      </c>
      <c r="BV71" s="1" t="s">
        <v>717</v>
      </c>
      <c r="BW71" s="1" t="s">
        <v>333</v>
      </c>
      <c r="BX71" s="1" t="s">
        <v>581</v>
      </c>
    </row>
    <row r="72" spans="1:76">
      <c r="A72" s="2" t="s">
        <v>1</v>
      </c>
      <c r="B72" s="2">
        <v>72</v>
      </c>
      <c r="C72" s="2" t="s">
        <v>334</v>
      </c>
      <c r="D72" s="2">
        <v>17.48</v>
      </c>
      <c r="E72" s="2" t="s">
        <v>334</v>
      </c>
      <c r="F72" s="2">
        <v>33.43</v>
      </c>
      <c r="G72" s="2" t="s">
        <v>334</v>
      </c>
      <c r="H72" s="2">
        <v>43.97</v>
      </c>
      <c r="I72" s="2" t="s">
        <v>334</v>
      </c>
      <c r="J72" s="2">
        <v>10.96</v>
      </c>
      <c r="K72" s="2" t="s">
        <v>334</v>
      </c>
      <c r="L72" s="2">
        <v>19.12</v>
      </c>
      <c r="M72" s="2" t="s">
        <v>334</v>
      </c>
      <c r="N72" s="2">
        <v>12.5</v>
      </c>
      <c r="O72" s="2" t="s">
        <v>334</v>
      </c>
      <c r="P72" s="2">
        <v>28.79</v>
      </c>
      <c r="Q72" s="2" t="s">
        <v>334</v>
      </c>
      <c r="R72" s="2">
        <v>23.4</v>
      </c>
      <c r="S72" s="2" t="s">
        <v>334</v>
      </c>
      <c r="T72" s="2">
        <v>18.03</v>
      </c>
      <c r="U72" s="2" t="s">
        <v>334</v>
      </c>
      <c r="V72" s="2">
        <v>5.5</v>
      </c>
      <c r="W72" s="2" t="s">
        <v>334</v>
      </c>
      <c r="X72" s="2" t="s">
        <v>95</v>
      </c>
      <c r="Y72" s="2" t="s">
        <v>334</v>
      </c>
      <c r="Z72" s="2">
        <v>28.19</v>
      </c>
      <c r="AA72" s="2" t="s">
        <v>334</v>
      </c>
      <c r="AB72" s="2">
        <v>24.26</v>
      </c>
      <c r="AC72" s="2" t="s">
        <v>334</v>
      </c>
      <c r="AD72" s="2">
        <v>17.8</v>
      </c>
      <c r="AE72" s="2" t="s">
        <v>334</v>
      </c>
      <c r="AF72" s="2">
        <v>30.49</v>
      </c>
      <c r="AG72" s="2" t="s">
        <v>334</v>
      </c>
      <c r="AH72" s="2">
        <v>45.44</v>
      </c>
      <c r="AI72" s="2" t="s">
        <v>334</v>
      </c>
      <c r="AJ72" s="2">
        <v>43.75</v>
      </c>
      <c r="AK72" s="2" t="s">
        <v>334</v>
      </c>
      <c r="AL72" s="2">
        <v>7.7</v>
      </c>
      <c r="AM72" s="2" t="s">
        <v>334</v>
      </c>
      <c r="AN72" s="2">
        <v>91.52</v>
      </c>
      <c r="AO72" s="2" t="s">
        <v>334</v>
      </c>
      <c r="AP72" s="2" t="s">
        <v>107</v>
      </c>
      <c r="AQ72" s="2" t="s">
        <v>334</v>
      </c>
      <c r="AR72" s="2">
        <v>11.31</v>
      </c>
      <c r="AS72" s="2" t="s">
        <v>334</v>
      </c>
      <c r="AT72" s="2" t="s">
        <v>335</v>
      </c>
      <c r="AU72" s="2" t="s">
        <v>334</v>
      </c>
      <c r="AV72" s="2">
        <v>139.4</v>
      </c>
      <c r="AW72" s="2" t="s">
        <v>334</v>
      </c>
      <c r="AX72" s="2">
        <v>120.84</v>
      </c>
      <c r="AY72" s="2" t="s">
        <v>334</v>
      </c>
      <c r="AZ72" s="2">
        <v>4.43</v>
      </c>
      <c r="BA72" s="2" t="s">
        <v>334</v>
      </c>
      <c r="BB72" s="2" t="s">
        <v>100</v>
      </c>
      <c r="BC72" s="2" t="s">
        <v>334</v>
      </c>
      <c r="BD72" s="2">
        <v>16.34</v>
      </c>
      <c r="BE72" s="2" t="s">
        <v>334</v>
      </c>
      <c r="BF72" s="2">
        <v>15.55</v>
      </c>
      <c r="BG72" s="2" t="s">
        <v>334</v>
      </c>
      <c r="BH72" s="2">
        <v>35.229999999999997</v>
      </c>
      <c r="BI72" s="2" t="s">
        <v>334</v>
      </c>
      <c r="BJ72" s="2">
        <v>158.51</v>
      </c>
      <c r="BK72" s="2" t="s">
        <v>334</v>
      </c>
      <c r="BL72" s="2">
        <v>23.68</v>
      </c>
      <c r="BM72" s="2" t="s">
        <v>334</v>
      </c>
      <c r="BN72" s="2">
        <v>43.6</v>
      </c>
      <c r="BO72" s="2" t="s">
        <v>334</v>
      </c>
      <c r="BP72" s="2">
        <v>26.74</v>
      </c>
      <c r="BQ72" s="2" t="s">
        <v>334</v>
      </c>
      <c r="BR72" s="2">
        <v>16.91</v>
      </c>
      <c r="BS72" s="2" t="s">
        <v>334</v>
      </c>
      <c r="BT72" s="2">
        <v>12.19</v>
      </c>
      <c r="BU72" s="2" t="s">
        <v>334</v>
      </c>
      <c r="BV72" s="1" t="s">
        <v>718</v>
      </c>
      <c r="BW72" s="1" t="s">
        <v>334</v>
      </c>
      <c r="BX72" s="1" t="s">
        <v>583</v>
      </c>
    </row>
    <row r="73" spans="1:76">
      <c r="A73" s="2" t="s">
        <v>1</v>
      </c>
      <c r="B73" s="2">
        <v>73</v>
      </c>
      <c r="C73" s="2" t="s">
        <v>336</v>
      </c>
      <c r="D73" s="2">
        <v>17.5</v>
      </c>
      <c r="E73" s="2" t="s">
        <v>336</v>
      </c>
      <c r="F73" s="2">
        <v>33.479999999999997</v>
      </c>
      <c r="G73" s="2" t="s">
        <v>336</v>
      </c>
      <c r="H73" s="2">
        <v>44.01</v>
      </c>
      <c r="I73" s="2" t="s">
        <v>336</v>
      </c>
      <c r="J73" s="2">
        <v>11.05</v>
      </c>
      <c r="K73" s="2" t="s">
        <v>336</v>
      </c>
      <c r="L73" s="2">
        <v>19.260000000000002</v>
      </c>
      <c r="M73" s="2" t="s">
        <v>336</v>
      </c>
      <c r="N73" s="2">
        <v>12.51</v>
      </c>
      <c r="O73" s="2" t="s">
        <v>336</v>
      </c>
      <c r="P73" s="2">
        <v>29.04</v>
      </c>
      <c r="Q73" s="2" t="s">
        <v>336</v>
      </c>
      <c r="R73" s="2">
        <v>23.6</v>
      </c>
      <c r="S73" s="2" t="s">
        <v>336</v>
      </c>
      <c r="T73" s="2">
        <v>18.260000000000002</v>
      </c>
      <c r="U73" s="2" t="s">
        <v>336</v>
      </c>
      <c r="V73" s="2">
        <v>5.54</v>
      </c>
      <c r="W73" s="2" t="s">
        <v>336</v>
      </c>
      <c r="X73" s="2" t="s">
        <v>95</v>
      </c>
      <c r="Y73" s="2" t="s">
        <v>336</v>
      </c>
      <c r="Z73" s="2">
        <v>28.2</v>
      </c>
      <c r="AA73" s="2" t="s">
        <v>336</v>
      </c>
      <c r="AB73" s="2">
        <v>24.36</v>
      </c>
      <c r="AC73" s="2" t="s">
        <v>336</v>
      </c>
      <c r="AD73" s="2">
        <v>18.2</v>
      </c>
      <c r="AE73" s="2" t="s">
        <v>336</v>
      </c>
      <c r="AF73" s="2">
        <v>30.07</v>
      </c>
      <c r="AG73" s="2" t="s">
        <v>336</v>
      </c>
      <c r="AH73" s="2">
        <v>46.59</v>
      </c>
      <c r="AI73" s="2" t="s">
        <v>336</v>
      </c>
      <c r="AJ73" s="2" t="s">
        <v>55</v>
      </c>
      <c r="AK73" s="2" t="s">
        <v>336</v>
      </c>
      <c r="AL73" s="2">
        <v>7.75</v>
      </c>
      <c r="AM73" s="2" t="s">
        <v>336</v>
      </c>
      <c r="AN73" s="2">
        <v>91.8</v>
      </c>
      <c r="AO73" s="2" t="s">
        <v>336</v>
      </c>
      <c r="AP73" s="2">
        <v>116.25</v>
      </c>
      <c r="AQ73" s="2" t="s">
        <v>336</v>
      </c>
      <c r="AR73" s="2">
        <v>11.3</v>
      </c>
      <c r="AS73" s="2" t="s">
        <v>336</v>
      </c>
      <c r="AT73" s="2" t="s">
        <v>337</v>
      </c>
      <c r="AU73" s="2" t="s">
        <v>336</v>
      </c>
      <c r="AV73" s="2">
        <v>139.9</v>
      </c>
      <c r="AW73" s="2" t="s">
        <v>336</v>
      </c>
      <c r="AX73" s="2">
        <v>120.68</v>
      </c>
      <c r="AY73" s="2" t="s">
        <v>336</v>
      </c>
      <c r="AZ73" s="2">
        <v>4.47</v>
      </c>
      <c r="BA73" s="2" t="s">
        <v>336</v>
      </c>
      <c r="BB73" s="2" t="s">
        <v>126</v>
      </c>
      <c r="BC73" s="2" t="s">
        <v>336</v>
      </c>
      <c r="BD73" s="2">
        <v>16.61</v>
      </c>
      <c r="BE73" s="2" t="s">
        <v>336</v>
      </c>
      <c r="BF73" s="2">
        <v>15.46</v>
      </c>
      <c r="BG73" s="2" t="s">
        <v>336</v>
      </c>
      <c r="BH73" s="2">
        <v>35.82</v>
      </c>
      <c r="BI73" s="2" t="s">
        <v>336</v>
      </c>
      <c r="BJ73" s="2">
        <v>159.5</v>
      </c>
      <c r="BK73" s="2" t="s">
        <v>336</v>
      </c>
      <c r="BL73" s="2">
        <v>23.61</v>
      </c>
      <c r="BM73" s="2" t="s">
        <v>336</v>
      </c>
      <c r="BN73" s="2">
        <v>44.55</v>
      </c>
      <c r="BO73" s="2" t="s">
        <v>336</v>
      </c>
      <c r="BP73" s="2">
        <v>26.51</v>
      </c>
      <c r="BQ73" s="2" t="s">
        <v>336</v>
      </c>
      <c r="BR73" s="2">
        <v>17.100000000000001</v>
      </c>
      <c r="BS73" s="2" t="s">
        <v>336</v>
      </c>
      <c r="BT73" s="2">
        <v>12.13</v>
      </c>
      <c r="BU73" s="2" t="s">
        <v>336</v>
      </c>
      <c r="BV73" s="1" t="s">
        <v>719</v>
      </c>
      <c r="BW73" s="1" t="s">
        <v>336</v>
      </c>
      <c r="BX73" s="1" t="s">
        <v>617</v>
      </c>
    </row>
    <row r="74" spans="1:76">
      <c r="A74" s="2" t="s">
        <v>1</v>
      </c>
      <c r="B74" s="2">
        <v>74</v>
      </c>
      <c r="C74" s="2" t="s">
        <v>338</v>
      </c>
      <c r="D74" s="2" t="s">
        <v>44</v>
      </c>
      <c r="E74" s="2" t="s">
        <v>338</v>
      </c>
      <c r="F74" s="2">
        <v>32.5</v>
      </c>
      <c r="G74" s="2" t="s">
        <v>338</v>
      </c>
      <c r="H74" s="2">
        <v>42.93</v>
      </c>
      <c r="I74" s="2" t="s">
        <v>338</v>
      </c>
      <c r="J74" s="2">
        <v>10.7</v>
      </c>
      <c r="K74" s="2" t="s">
        <v>338</v>
      </c>
      <c r="L74" s="2">
        <v>18.68</v>
      </c>
      <c r="M74" s="2" t="s">
        <v>338</v>
      </c>
      <c r="N74" s="2">
        <v>12.18</v>
      </c>
      <c r="O74" s="2" t="s">
        <v>338</v>
      </c>
      <c r="P74" s="2">
        <v>28.28</v>
      </c>
      <c r="Q74" s="2" t="s">
        <v>338</v>
      </c>
      <c r="R74" s="2">
        <v>23.53</v>
      </c>
      <c r="S74" s="2" t="s">
        <v>338</v>
      </c>
      <c r="T74" s="2">
        <v>17.670000000000002</v>
      </c>
      <c r="U74" s="2" t="s">
        <v>338</v>
      </c>
      <c r="V74" s="2">
        <v>5.4</v>
      </c>
      <c r="W74" s="2" t="s">
        <v>338</v>
      </c>
      <c r="X74" s="2">
        <v>116.99</v>
      </c>
      <c r="Y74" s="2" t="s">
        <v>338</v>
      </c>
      <c r="Z74" s="2">
        <v>27.29</v>
      </c>
      <c r="AA74" s="2" t="s">
        <v>338</v>
      </c>
      <c r="AB74" s="2">
        <v>23.21</v>
      </c>
      <c r="AC74" s="2" t="s">
        <v>338</v>
      </c>
      <c r="AD74" s="2">
        <v>17.95</v>
      </c>
      <c r="AE74" s="2" t="s">
        <v>338</v>
      </c>
      <c r="AF74" s="2">
        <v>28.98</v>
      </c>
      <c r="AG74" s="2" t="s">
        <v>338</v>
      </c>
      <c r="AH74" s="2">
        <v>46.04</v>
      </c>
      <c r="AI74" s="2" t="s">
        <v>338</v>
      </c>
      <c r="AJ74" s="2">
        <v>43.97</v>
      </c>
      <c r="AK74" s="2" t="s">
        <v>338</v>
      </c>
      <c r="AL74" s="2">
        <v>7.71</v>
      </c>
      <c r="AM74" s="2" t="s">
        <v>338</v>
      </c>
      <c r="AN74" s="2">
        <v>91.5</v>
      </c>
      <c r="AO74" s="2" t="s">
        <v>338</v>
      </c>
      <c r="AP74" s="2">
        <v>117.3</v>
      </c>
      <c r="AQ74" s="2" t="s">
        <v>338</v>
      </c>
      <c r="AR74" s="2">
        <v>11.32</v>
      </c>
      <c r="AS74" s="2" t="s">
        <v>338</v>
      </c>
      <c r="AT74" s="2" t="s">
        <v>339</v>
      </c>
      <c r="AU74" s="2" t="s">
        <v>338</v>
      </c>
      <c r="AV74" s="2">
        <v>139.97</v>
      </c>
      <c r="AW74" s="2" t="s">
        <v>338</v>
      </c>
      <c r="AX74" s="2" t="s">
        <v>111</v>
      </c>
      <c r="AY74" s="2" t="s">
        <v>338</v>
      </c>
      <c r="AZ74" s="2">
        <v>4.5599999999999996</v>
      </c>
      <c r="BA74" s="2" t="s">
        <v>338</v>
      </c>
      <c r="BB74" s="2" t="s">
        <v>143</v>
      </c>
      <c r="BC74" s="2" t="s">
        <v>338</v>
      </c>
      <c r="BD74" s="2">
        <v>16.46</v>
      </c>
      <c r="BE74" s="2" t="s">
        <v>338</v>
      </c>
      <c r="BF74" s="2">
        <v>15.39</v>
      </c>
      <c r="BG74" s="2" t="s">
        <v>338</v>
      </c>
      <c r="BH74" s="2">
        <v>36.590000000000003</v>
      </c>
      <c r="BI74" s="2" t="s">
        <v>338</v>
      </c>
      <c r="BJ74" s="2" t="s">
        <v>142</v>
      </c>
      <c r="BK74" s="2" t="s">
        <v>338</v>
      </c>
      <c r="BL74" s="2">
        <v>22.85</v>
      </c>
      <c r="BM74" s="2" t="s">
        <v>338</v>
      </c>
      <c r="BN74" s="2" t="s">
        <v>84</v>
      </c>
      <c r="BO74" s="2" t="s">
        <v>338</v>
      </c>
      <c r="BP74" s="2">
        <v>26.17</v>
      </c>
      <c r="BQ74" s="2" t="s">
        <v>338</v>
      </c>
      <c r="BR74" s="2">
        <v>16.66</v>
      </c>
      <c r="BS74" s="2" t="s">
        <v>338</v>
      </c>
      <c r="BT74" s="2">
        <v>12.01</v>
      </c>
      <c r="BU74" s="2" t="s">
        <v>338</v>
      </c>
      <c r="BV74" s="1" t="s">
        <v>720</v>
      </c>
      <c r="BW74" s="1" t="s">
        <v>338</v>
      </c>
      <c r="BX74" s="1" t="s">
        <v>77</v>
      </c>
    </row>
    <row r="75" spans="1:76">
      <c r="A75" s="2" t="s">
        <v>1</v>
      </c>
      <c r="B75" s="2">
        <v>75</v>
      </c>
      <c r="C75" s="2" t="s">
        <v>340</v>
      </c>
      <c r="D75" s="2">
        <v>17.05</v>
      </c>
      <c r="E75" s="2" t="s">
        <v>340</v>
      </c>
      <c r="F75" s="2">
        <v>32.24</v>
      </c>
      <c r="G75" s="2" t="s">
        <v>340</v>
      </c>
      <c r="H75" s="2">
        <v>42.67</v>
      </c>
      <c r="I75" s="2" t="s">
        <v>340</v>
      </c>
      <c r="J75" s="2">
        <v>10.55</v>
      </c>
      <c r="K75" s="2" t="s">
        <v>340</v>
      </c>
      <c r="L75" s="2">
        <v>18.989999999999998</v>
      </c>
      <c r="M75" s="2" t="s">
        <v>340</v>
      </c>
      <c r="N75" s="2">
        <v>12.14</v>
      </c>
      <c r="O75" s="2" t="s">
        <v>340</v>
      </c>
      <c r="P75" s="2">
        <v>28.08</v>
      </c>
      <c r="Q75" s="2" t="s">
        <v>340</v>
      </c>
      <c r="R75" s="2">
        <v>23.74</v>
      </c>
      <c r="S75" s="2" t="s">
        <v>340</v>
      </c>
      <c r="T75" s="2">
        <v>17.399999999999999</v>
      </c>
      <c r="U75" s="2" t="s">
        <v>340</v>
      </c>
      <c r="V75" s="2">
        <v>5.39</v>
      </c>
      <c r="W75" s="2" t="s">
        <v>340</v>
      </c>
      <c r="X75" s="2">
        <v>117.5</v>
      </c>
      <c r="Y75" s="2" t="s">
        <v>340</v>
      </c>
      <c r="Z75" s="2">
        <v>27.45</v>
      </c>
      <c r="AA75" s="2" t="s">
        <v>340</v>
      </c>
      <c r="AB75" s="2">
        <v>23.27</v>
      </c>
      <c r="AC75" s="2" t="s">
        <v>340</v>
      </c>
      <c r="AD75" s="2">
        <v>18.079999999999998</v>
      </c>
      <c r="AE75" s="2" t="s">
        <v>340</v>
      </c>
      <c r="AF75" s="2">
        <v>29.9</v>
      </c>
      <c r="AG75" s="2" t="s">
        <v>340</v>
      </c>
      <c r="AH75" s="2">
        <v>45.32</v>
      </c>
      <c r="AI75" s="2" t="s">
        <v>340</v>
      </c>
      <c r="AJ75" s="2">
        <v>43.76</v>
      </c>
      <c r="AK75" s="2" t="s">
        <v>340</v>
      </c>
      <c r="AL75" s="2">
        <v>7.68</v>
      </c>
      <c r="AM75" s="2" t="s">
        <v>340</v>
      </c>
      <c r="AN75" s="2">
        <v>89.95</v>
      </c>
      <c r="AO75" s="2" t="s">
        <v>340</v>
      </c>
      <c r="AP75" s="2">
        <v>117.2</v>
      </c>
      <c r="AQ75" s="2" t="s">
        <v>340</v>
      </c>
      <c r="AR75" s="2">
        <v>11.23</v>
      </c>
      <c r="AS75" s="2" t="s">
        <v>340</v>
      </c>
      <c r="AT75" s="2" t="s">
        <v>341</v>
      </c>
      <c r="AU75" s="2" t="s">
        <v>340</v>
      </c>
      <c r="AV75" s="2" t="s">
        <v>91</v>
      </c>
      <c r="AW75" s="2" t="s">
        <v>340</v>
      </c>
      <c r="AX75" s="2">
        <v>121.05</v>
      </c>
      <c r="AY75" s="2" t="s">
        <v>340</v>
      </c>
      <c r="AZ75" s="2">
        <v>4.51</v>
      </c>
      <c r="BA75" s="2" t="s">
        <v>340</v>
      </c>
      <c r="BB75" s="2">
        <v>155.54</v>
      </c>
      <c r="BC75" s="2" t="s">
        <v>340</v>
      </c>
      <c r="BD75" s="2">
        <v>16.22</v>
      </c>
      <c r="BE75" s="2" t="s">
        <v>340</v>
      </c>
      <c r="BF75" s="2">
        <v>15.2</v>
      </c>
      <c r="BG75" s="2" t="s">
        <v>340</v>
      </c>
      <c r="BH75" s="2">
        <v>36.020000000000003</v>
      </c>
      <c r="BI75" s="2" t="s">
        <v>340</v>
      </c>
      <c r="BJ75" s="2">
        <v>160.4</v>
      </c>
      <c r="BK75" s="2" t="s">
        <v>340</v>
      </c>
      <c r="BL75" s="2">
        <v>22.81</v>
      </c>
      <c r="BM75" s="2" t="s">
        <v>340</v>
      </c>
      <c r="BN75" s="2">
        <v>43.3</v>
      </c>
      <c r="BO75" s="2" t="s">
        <v>340</v>
      </c>
      <c r="BP75" s="2">
        <v>26.02</v>
      </c>
      <c r="BQ75" s="2" t="s">
        <v>340</v>
      </c>
      <c r="BR75" s="2" t="s">
        <v>82</v>
      </c>
      <c r="BS75" s="2" t="s">
        <v>340</v>
      </c>
      <c r="BT75" s="2">
        <v>11.83</v>
      </c>
      <c r="BU75" s="2" t="s">
        <v>340</v>
      </c>
      <c r="BV75" s="1" t="s">
        <v>721</v>
      </c>
      <c r="BW75" s="1" t="s">
        <v>340</v>
      </c>
      <c r="BX75" s="1" t="s">
        <v>722</v>
      </c>
    </row>
    <row r="76" spans="1:76">
      <c r="A76" s="2" t="s">
        <v>1</v>
      </c>
      <c r="B76" s="2">
        <v>76</v>
      </c>
      <c r="C76" s="2" t="s">
        <v>342</v>
      </c>
      <c r="D76" s="2">
        <v>17.2</v>
      </c>
      <c r="E76" s="2" t="s">
        <v>342</v>
      </c>
      <c r="F76" s="2">
        <v>32.799999999999997</v>
      </c>
      <c r="G76" s="2" t="s">
        <v>342</v>
      </c>
      <c r="H76" s="2">
        <v>42.48</v>
      </c>
      <c r="I76" s="2" t="s">
        <v>342</v>
      </c>
      <c r="J76" s="2">
        <v>10.69</v>
      </c>
      <c r="K76" s="2" t="s">
        <v>342</v>
      </c>
      <c r="L76" s="2">
        <v>18.86</v>
      </c>
      <c r="M76" s="2" t="s">
        <v>342</v>
      </c>
      <c r="N76" s="2">
        <v>12.33</v>
      </c>
      <c r="O76" s="2" t="s">
        <v>342</v>
      </c>
      <c r="P76" s="2">
        <v>28.5</v>
      </c>
      <c r="Q76" s="2" t="s">
        <v>342</v>
      </c>
      <c r="R76" s="2">
        <v>23.7</v>
      </c>
      <c r="S76" s="2" t="s">
        <v>342</v>
      </c>
      <c r="T76" s="2">
        <v>17.829999999999998</v>
      </c>
      <c r="U76" s="2" t="s">
        <v>342</v>
      </c>
      <c r="V76" s="2">
        <v>5.6</v>
      </c>
      <c r="W76" s="2" t="s">
        <v>342</v>
      </c>
      <c r="X76" s="2">
        <v>118.2</v>
      </c>
      <c r="Y76" s="2" t="s">
        <v>342</v>
      </c>
      <c r="Z76" s="2">
        <v>27.5</v>
      </c>
      <c r="AA76" s="2" t="s">
        <v>342</v>
      </c>
      <c r="AB76" s="2">
        <v>23.28</v>
      </c>
      <c r="AC76" s="2" t="s">
        <v>342</v>
      </c>
      <c r="AD76" s="2">
        <v>17.8</v>
      </c>
      <c r="AE76" s="2" t="s">
        <v>342</v>
      </c>
      <c r="AF76" s="2">
        <v>29.15</v>
      </c>
      <c r="AG76" s="2" t="s">
        <v>342</v>
      </c>
      <c r="AH76" s="2">
        <v>45.67</v>
      </c>
      <c r="AI76" s="2" t="s">
        <v>342</v>
      </c>
      <c r="AJ76" s="2">
        <v>44.1</v>
      </c>
      <c r="AK76" s="2" t="s">
        <v>342</v>
      </c>
      <c r="AL76" s="2">
        <v>7.74</v>
      </c>
      <c r="AM76" s="2" t="s">
        <v>342</v>
      </c>
      <c r="AN76" s="2">
        <v>91.5</v>
      </c>
      <c r="AO76" s="2" t="s">
        <v>342</v>
      </c>
      <c r="AP76" s="2">
        <v>117.23</v>
      </c>
      <c r="AQ76" s="2" t="s">
        <v>342</v>
      </c>
      <c r="AR76" s="2">
        <v>11.14</v>
      </c>
      <c r="AS76" s="2" t="s">
        <v>342</v>
      </c>
      <c r="AT76" s="2" t="s">
        <v>158</v>
      </c>
      <c r="AU76" s="2" t="s">
        <v>342</v>
      </c>
      <c r="AV76" s="2" t="s">
        <v>42</v>
      </c>
      <c r="AW76" s="2" t="s">
        <v>342</v>
      </c>
      <c r="AX76" s="2" t="s">
        <v>111</v>
      </c>
      <c r="AY76" s="2" t="s">
        <v>342</v>
      </c>
      <c r="AZ76" s="2">
        <v>4.54</v>
      </c>
      <c r="BA76" s="2" t="s">
        <v>342</v>
      </c>
      <c r="BB76" s="2">
        <v>156.80000000000001</v>
      </c>
      <c r="BC76" s="2" t="s">
        <v>342</v>
      </c>
      <c r="BD76" s="2">
        <v>16.25</v>
      </c>
      <c r="BE76" s="2" t="s">
        <v>342</v>
      </c>
      <c r="BF76" s="2">
        <v>15.05</v>
      </c>
      <c r="BG76" s="2" t="s">
        <v>342</v>
      </c>
      <c r="BH76" s="2">
        <v>35.1</v>
      </c>
      <c r="BI76" s="2" t="s">
        <v>342</v>
      </c>
      <c r="BJ76" s="2">
        <v>159.61000000000001</v>
      </c>
      <c r="BK76" s="2" t="s">
        <v>342</v>
      </c>
      <c r="BL76" s="2">
        <v>22.87</v>
      </c>
      <c r="BM76" s="2" t="s">
        <v>342</v>
      </c>
      <c r="BN76" s="2">
        <v>43.9</v>
      </c>
      <c r="BO76" s="2" t="s">
        <v>342</v>
      </c>
      <c r="BP76" s="2">
        <v>26.52</v>
      </c>
      <c r="BQ76" s="2" t="s">
        <v>342</v>
      </c>
      <c r="BR76" s="2">
        <v>16.170000000000002</v>
      </c>
      <c r="BS76" s="2" t="s">
        <v>342</v>
      </c>
      <c r="BT76" s="2">
        <v>11.87</v>
      </c>
      <c r="BU76" s="2" t="s">
        <v>342</v>
      </c>
      <c r="BV76" s="1" t="s">
        <v>724</v>
      </c>
      <c r="BW76" s="1" t="s">
        <v>342</v>
      </c>
      <c r="BX76" s="1" t="s">
        <v>725</v>
      </c>
    </row>
    <row r="77" spans="1:76">
      <c r="A77" s="2" t="s">
        <v>1</v>
      </c>
      <c r="B77" s="2">
        <v>77</v>
      </c>
      <c r="C77" s="2" t="s">
        <v>343</v>
      </c>
      <c r="D77" s="2">
        <v>17.55</v>
      </c>
      <c r="E77" s="2" t="s">
        <v>343</v>
      </c>
      <c r="F77" s="2">
        <v>33.049999999999997</v>
      </c>
      <c r="G77" s="2" t="s">
        <v>343</v>
      </c>
      <c r="H77" s="2">
        <v>42.2</v>
      </c>
      <c r="I77" s="2" t="s">
        <v>343</v>
      </c>
      <c r="J77" s="2">
        <v>11.41</v>
      </c>
      <c r="K77" s="2" t="s">
        <v>343</v>
      </c>
      <c r="L77" s="2">
        <v>18.59</v>
      </c>
      <c r="M77" s="2" t="s">
        <v>343</v>
      </c>
      <c r="N77" s="2">
        <v>12.43</v>
      </c>
      <c r="O77" s="2" t="s">
        <v>343</v>
      </c>
      <c r="P77" s="2">
        <v>28.75</v>
      </c>
      <c r="Q77" s="2" t="s">
        <v>343</v>
      </c>
      <c r="R77" s="2">
        <v>24.14</v>
      </c>
      <c r="S77" s="2" t="s">
        <v>343</v>
      </c>
      <c r="T77" s="2">
        <v>17.87</v>
      </c>
      <c r="U77" s="2" t="s">
        <v>343</v>
      </c>
      <c r="V77" s="2">
        <v>5.54</v>
      </c>
      <c r="W77" s="2" t="s">
        <v>343</v>
      </c>
      <c r="X77" s="2">
        <v>118.29</v>
      </c>
      <c r="Y77" s="2" t="s">
        <v>343</v>
      </c>
      <c r="Z77" s="2">
        <v>27.42</v>
      </c>
      <c r="AA77" s="2" t="s">
        <v>343</v>
      </c>
      <c r="AB77" s="2">
        <v>23.31</v>
      </c>
      <c r="AC77" s="2" t="s">
        <v>343</v>
      </c>
      <c r="AD77" s="2">
        <v>17.95</v>
      </c>
      <c r="AE77" s="2" t="s">
        <v>343</v>
      </c>
      <c r="AF77" s="2">
        <v>29.15</v>
      </c>
      <c r="AG77" s="2" t="s">
        <v>343</v>
      </c>
      <c r="AH77" s="2">
        <v>47.24</v>
      </c>
      <c r="AI77" s="2" t="s">
        <v>343</v>
      </c>
      <c r="AJ77" s="2">
        <v>44.9</v>
      </c>
      <c r="AK77" s="2" t="s">
        <v>343</v>
      </c>
      <c r="AL77" s="2">
        <v>7.9</v>
      </c>
      <c r="AM77" s="2" t="s">
        <v>343</v>
      </c>
      <c r="AN77" s="2">
        <v>92.28</v>
      </c>
      <c r="AO77" s="2" t="s">
        <v>343</v>
      </c>
      <c r="AP77" s="2">
        <v>117.19</v>
      </c>
      <c r="AQ77" s="2" t="s">
        <v>343</v>
      </c>
      <c r="AR77" s="2">
        <v>11.16</v>
      </c>
      <c r="AS77" s="2" t="s">
        <v>343</v>
      </c>
      <c r="AT77" s="2" t="s">
        <v>158</v>
      </c>
      <c r="AU77" s="2" t="s">
        <v>343</v>
      </c>
      <c r="AV77" s="2">
        <v>140.5</v>
      </c>
      <c r="AW77" s="2" t="s">
        <v>343</v>
      </c>
      <c r="AX77" s="2">
        <v>122.18</v>
      </c>
      <c r="AY77" s="2" t="s">
        <v>343</v>
      </c>
      <c r="AZ77" s="2">
        <v>4.5</v>
      </c>
      <c r="BA77" s="2" t="s">
        <v>343</v>
      </c>
      <c r="BB77" s="2" t="s">
        <v>98</v>
      </c>
      <c r="BC77" s="2" t="s">
        <v>343</v>
      </c>
      <c r="BD77" s="2">
        <v>15.93</v>
      </c>
      <c r="BE77" s="2" t="s">
        <v>343</v>
      </c>
      <c r="BF77" s="2">
        <v>14.73</v>
      </c>
      <c r="BG77" s="2" t="s">
        <v>343</v>
      </c>
      <c r="BH77" s="2">
        <v>34.299999999999997</v>
      </c>
      <c r="BI77" s="2" t="s">
        <v>343</v>
      </c>
      <c r="BJ77" s="2" t="s">
        <v>53</v>
      </c>
      <c r="BK77" s="2" t="s">
        <v>343</v>
      </c>
      <c r="BL77" s="2">
        <v>22.97</v>
      </c>
      <c r="BM77" s="2" t="s">
        <v>343</v>
      </c>
      <c r="BN77" s="2">
        <v>44.06</v>
      </c>
      <c r="BO77" s="2" t="s">
        <v>343</v>
      </c>
      <c r="BP77" s="2">
        <v>26.74</v>
      </c>
      <c r="BQ77" s="2" t="s">
        <v>343</v>
      </c>
      <c r="BR77" s="2">
        <v>16.190000000000001</v>
      </c>
      <c r="BS77" s="2" t="s">
        <v>343</v>
      </c>
      <c r="BT77" s="2">
        <v>11.79</v>
      </c>
      <c r="BU77" s="2" t="s">
        <v>343</v>
      </c>
      <c r="BV77" s="1" t="s">
        <v>726</v>
      </c>
      <c r="BW77" s="1" t="s">
        <v>343</v>
      </c>
      <c r="BX77" s="1" t="s">
        <v>727</v>
      </c>
    </row>
    <row r="78" spans="1:76">
      <c r="A78" s="2" t="s">
        <v>1</v>
      </c>
      <c r="B78" s="2">
        <v>78</v>
      </c>
      <c r="C78" s="2" t="s">
        <v>344</v>
      </c>
      <c r="D78" s="2">
        <v>17.600000000000001</v>
      </c>
      <c r="E78" s="2" t="s">
        <v>344</v>
      </c>
      <c r="F78" s="2">
        <v>34.26</v>
      </c>
      <c r="G78" s="2" t="s">
        <v>344</v>
      </c>
      <c r="H78" s="2">
        <v>43.11</v>
      </c>
      <c r="I78" s="2" t="s">
        <v>344</v>
      </c>
      <c r="J78" s="2">
        <v>11.65</v>
      </c>
      <c r="K78" s="2" t="s">
        <v>344</v>
      </c>
      <c r="L78" s="2">
        <v>18.940000000000001</v>
      </c>
      <c r="M78" s="2" t="s">
        <v>344</v>
      </c>
      <c r="N78" s="2">
        <v>12.7</v>
      </c>
      <c r="O78" s="2" t="s">
        <v>344</v>
      </c>
      <c r="P78" s="2">
        <v>29.25</v>
      </c>
      <c r="Q78" s="2" t="s">
        <v>344</v>
      </c>
      <c r="R78" s="2">
        <v>24.4</v>
      </c>
      <c r="S78" s="2" t="s">
        <v>344</v>
      </c>
      <c r="T78" s="2">
        <v>17.88</v>
      </c>
      <c r="U78" s="2" t="s">
        <v>344</v>
      </c>
      <c r="V78" s="2">
        <v>5.58</v>
      </c>
      <c r="W78" s="2" t="s">
        <v>344</v>
      </c>
      <c r="X78" s="2">
        <v>118.55</v>
      </c>
      <c r="Y78" s="2" t="s">
        <v>344</v>
      </c>
      <c r="Z78" s="2">
        <v>27.97</v>
      </c>
      <c r="AA78" s="2" t="s">
        <v>344</v>
      </c>
      <c r="AB78" s="2">
        <v>23.42</v>
      </c>
      <c r="AC78" s="2" t="s">
        <v>344</v>
      </c>
      <c r="AD78" s="2">
        <v>18.399999999999999</v>
      </c>
      <c r="AE78" s="2" t="s">
        <v>344</v>
      </c>
      <c r="AF78" s="2">
        <v>30.85</v>
      </c>
      <c r="AG78" s="2" t="s">
        <v>344</v>
      </c>
      <c r="AH78" s="2">
        <v>48.64</v>
      </c>
      <c r="AI78" s="2" t="s">
        <v>344</v>
      </c>
      <c r="AJ78" s="2">
        <v>45.12</v>
      </c>
      <c r="AK78" s="2" t="s">
        <v>344</v>
      </c>
      <c r="AL78" s="2">
        <v>7.88</v>
      </c>
      <c r="AM78" s="2" t="s">
        <v>344</v>
      </c>
      <c r="AN78" s="2">
        <v>93.15</v>
      </c>
      <c r="AO78" s="2" t="s">
        <v>344</v>
      </c>
      <c r="AP78" s="2">
        <v>117.45</v>
      </c>
      <c r="AQ78" s="2" t="s">
        <v>344</v>
      </c>
      <c r="AR78" s="2">
        <v>11.27</v>
      </c>
      <c r="AS78" s="2" t="s">
        <v>344</v>
      </c>
      <c r="AT78" s="2" t="s">
        <v>158</v>
      </c>
      <c r="AU78" s="2" t="s">
        <v>344</v>
      </c>
      <c r="AV78" s="2">
        <v>139.99</v>
      </c>
      <c r="AW78" s="2" t="s">
        <v>344</v>
      </c>
      <c r="AX78" s="2">
        <v>121.9</v>
      </c>
      <c r="AY78" s="2" t="s">
        <v>344</v>
      </c>
      <c r="AZ78" s="2">
        <v>4.4800000000000004</v>
      </c>
      <c r="BA78" s="2" t="s">
        <v>344</v>
      </c>
      <c r="BB78" s="2">
        <v>157.63999999999999</v>
      </c>
      <c r="BC78" s="2" t="s">
        <v>344</v>
      </c>
      <c r="BD78" s="2">
        <v>16.600000000000001</v>
      </c>
      <c r="BE78" s="2" t="s">
        <v>344</v>
      </c>
      <c r="BF78" s="2">
        <v>14.75</v>
      </c>
      <c r="BG78" s="2" t="s">
        <v>344</v>
      </c>
      <c r="BH78" s="2">
        <v>34.130000000000003</v>
      </c>
      <c r="BI78" s="2" t="s">
        <v>344</v>
      </c>
      <c r="BJ78" s="2" t="s">
        <v>71</v>
      </c>
      <c r="BK78" s="2" t="s">
        <v>344</v>
      </c>
      <c r="BL78" s="2">
        <v>23.67</v>
      </c>
      <c r="BM78" s="2" t="s">
        <v>344</v>
      </c>
      <c r="BN78" s="2">
        <v>45.05</v>
      </c>
      <c r="BO78" s="2" t="s">
        <v>344</v>
      </c>
      <c r="BP78" s="2">
        <v>27.26</v>
      </c>
      <c r="BQ78" s="2" t="s">
        <v>344</v>
      </c>
      <c r="BR78" s="2" t="s">
        <v>44</v>
      </c>
      <c r="BS78" s="2" t="s">
        <v>344</v>
      </c>
      <c r="BT78" s="2">
        <v>11.93</v>
      </c>
      <c r="BU78" s="2" t="s">
        <v>344</v>
      </c>
      <c r="BV78" s="1" t="s">
        <v>728</v>
      </c>
      <c r="BW78" s="1" t="s">
        <v>344</v>
      </c>
      <c r="BX78" s="1" t="s">
        <v>77</v>
      </c>
    </row>
    <row r="79" spans="1:76">
      <c r="A79" s="2" t="s">
        <v>1</v>
      </c>
      <c r="B79" s="2">
        <v>79</v>
      </c>
      <c r="C79" s="2" t="s">
        <v>346</v>
      </c>
      <c r="D79" s="2">
        <v>17.8</v>
      </c>
      <c r="E79" s="2" t="s">
        <v>346</v>
      </c>
      <c r="F79" s="2">
        <v>34.26</v>
      </c>
      <c r="G79" s="2" t="s">
        <v>346</v>
      </c>
      <c r="H79" s="2">
        <v>43.82</v>
      </c>
      <c r="I79" s="2" t="s">
        <v>346</v>
      </c>
      <c r="J79" s="2">
        <v>11.36</v>
      </c>
      <c r="K79" s="2" t="s">
        <v>346</v>
      </c>
      <c r="L79" s="2">
        <v>18.75</v>
      </c>
      <c r="M79" s="2" t="s">
        <v>346</v>
      </c>
      <c r="N79" s="2">
        <v>12.91</v>
      </c>
      <c r="O79" s="2" t="s">
        <v>346</v>
      </c>
      <c r="P79" s="2">
        <v>29.53</v>
      </c>
      <c r="Q79" s="2" t="s">
        <v>346</v>
      </c>
      <c r="R79" s="2">
        <v>24.61</v>
      </c>
      <c r="S79" s="2" t="s">
        <v>346</v>
      </c>
      <c r="T79" s="2">
        <v>17.93</v>
      </c>
      <c r="U79" s="2" t="s">
        <v>346</v>
      </c>
      <c r="V79" s="2">
        <v>5.64</v>
      </c>
      <c r="W79" s="2" t="s">
        <v>346</v>
      </c>
      <c r="X79" s="2">
        <v>117.35</v>
      </c>
      <c r="Y79" s="2" t="s">
        <v>346</v>
      </c>
      <c r="Z79" s="2">
        <v>28.07</v>
      </c>
      <c r="AA79" s="2" t="s">
        <v>346</v>
      </c>
      <c r="AB79" s="2">
        <v>23.81</v>
      </c>
      <c r="AC79" s="2" t="s">
        <v>346</v>
      </c>
      <c r="AD79" s="2">
        <v>18.350000000000001</v>
      </c>
      <c r="AE79" s="2" t="s">
        <v>346</v>
      </c>
      <c r="AF79" s="2">
        <v>29.92</v>
      </c>
      <c r="AG79" s="2" t="s">
        <v>346</v>
      </c>
      <c r="AH79" s="2">
        <v>47.99</v>
      </c>
      <c r="AI79" s="2" t="s">
        <v>346</v>
      </c>
      <c r="AJ79" s="2">
        <v>45.05</v>
      </c>
      <c r="AK79" s="2" t="s">
        <v>346</v>
      </c>
      <c r="AL79" s="2" t="s">
        <v>62</v>
      </c>
      <c r="AM79" s="2" t="s">
        <v>346</v>
      </c>
      <c r="AN79" s="2">
        <v>93.7</v>
      </c>
      <c r="AO79" s="2" t="s">
        <v>346</v>
      </c>
      <c r="AP79" s="2">
        <v>117.11</v>
      </c>
      <c r="AQ79" s="2" t="s">
        <v>346</v>
      </c>
      <c r="AR79" s="2">
        <v>11.1</v>
      </c>
      <c r="AS79" s="2" t="s">
        <v>346</v>
      </c>
      <c r="AT79" s="2" t="s">
        <v>158</v>
      </c>
      <c r="AU79" s="2" t="s">
        <v>346</v>
      </c>
      <c r="AV79" s="2">
        <v>140.4</v>
      </c>
      <c r="AW79" s="2" t="s">
        <v>346</v>
      </c>
      <c r="AX79" s="2">
        <v>122.29</v>
      </c>
      <c r="AY79" s="2" t="s">
        <v>346</v>
      </c>
      <c r="AZ79" s="2">
        <v>4.51</v>
      </c>
      <c r="BA79" s="2" t="s">
        <v>346</v>
      </c>
      <c r="BB79" s="2">
        <v>158.80000000000001</v>
      </c>
      <c r="BC79" s="2" t="s">
        <v>346</v>
      </c>
      <c r="BD79" s="2">
        <v>16.96</v>
      </c>
      <c r="BE79" s="2" t="s">
        <v>346</v>
      </c>
      <c r="BF79" s="2" t="s">
        <v>61</v>
      </c>
      <c r="BG79" s="2" t="s">
        <v>346</v>
      </c>
      <c r="BH79" s="2">
        <v>34.19</v>
      </c>
      <c r="BI79" s="2" t="s">
        <v>346</v>
      </c>
      <c r="BJ79" s="2">
        <v>163.5</v>
      </c>
      <c r="BK79" s="2" t="s">
        <v>346</v>
      </c>
      <c r="BL79" s="2">
        <v>23.75</v>
      </c>
      <c r="BM79" s="2" t="s">
        <v>346</v>
      </c>
      <c r="BN79" s="2">
        <v>45.16</v>
      </c>
      <c r="BO79" s="2" t="s">
        <v>346</v>
      </c>
      <c r="BP79" s="2">
        <v>27.31</v>
      </c>
      <c r="BQ79" s="2" t="s">
        <v>346</v>
      </c>
      <c r="BR79" s="2">
        <v>16.989999999999998</v>
      </c>
      <c r="BS79" s="2" t="s">
        <v>346</v>
      </c>
      <c r="BT79" s="2">
        <v>11.8</v>
      </c>
      <c r="BU79" s="2" t="s">
        <v>346</v>
      </c>
      <c r="BV79" s="1" t="s">
        <v>906</v>
      </c>
      <c r="BW79" s="1" t="s">
        <v>346</v>
      </c>
      <c r="BX79" s="1" t="s">
        <v>907</v>
      </c>
    </row>
    <row r="80" spans="1:76">
      <c r="A80" s="2" t="s">
        <v>1</v>
      </c>
      <c r="B80" s="2">
        <v>80</v>
      </c>
      <c r="C80" s="2" t="s">
        <v>347</v>
      </c>
      <c r="D80" s="2">
        <v>17.850000000000001</v>
      </c>
      <c r="E80" s="2" t="s">
        <v>347</v>
      </c>
      <c r="F80" s="2">
        <v>34.409999999999997</v>
      </c>
      <c r="G80" s="2" t="s">
        <v>347</v>
      </c>
      <c r="H80" s="2">
        <v>43.22</v>
      </c>
      <c r="I80" s="2" t="s">
        <v>347</v>
      </c>
      <c r="J80" s="2">
        <v>11.49</v>
      </c>
      <c r="K80" s="2" t="s">
        <v>347</v>
      </c>
      <c r="L80" s="2">
        <v>18.690000000000001</v>
      </c>
      <c r="M80" s="2" t="s">
        <v>347</v>
      </c>
      <c r="N80" s="2">
        <v>12.93</v>
      </c>
      <c r="O80" s="2" t="s">
        <v>347</v>
      </c>
      <c r="P80" s="2">
        <v>29.69</v>
      </c>
      <c r="Q80" s="2" t="s">
        <v>347</v>
      </c>
      <c r="R80" s="2">
        <v>24.63</v>
      </c>
      <c r="S80" s="2" t="s">
        <v>347</v>
      </c>
      <c r="T80" s="2">
        <v>17.440000000000001</v>
      </c>
      <c r="U80" s="2" t="s">
        <v>347</v>
      </c>
      <c r="V80" s="2">
        <v>5.51</v>
      </c>
      <c r="W80" s="2" t="s">
        <v>347</v>
      </c>
      <c r="X80" s="2">
        <v>118.1</v>
      </c>
      <c r="Y80" s="2" t="s">
        <v>347</v>
      </c>
      <c r="Z80" s="2">
        <v>27.81</v>
      </c>
      <c r="AA80" s="2" t="s">
        <v>347</v>
      </c>
      <c r="AB80" s="2">
        <v>23.36</v>
      </c>
      <c r="AC80" s="2" t="s">
        <v>347</v>
      </c>
      <c r="AD80" s="2">
        <v>18.25</v>
      </c>
      <c r="AE80" s="2" t="s">
        <v>347</v>
      </c>
      <c r="AF80" s="2">
        <v>29.72</v>
      </c>
      <c r="AG80" s="2" t="s">
        <v>347</v>
      </c>
      <c r="AH80" s="2">
        <v>47.91</v>
      </c>
      <c r="AI80" s="2" t="s">
        <v>347</v>
      </c>
      <c r="AJ80" s="2">
        <v>45.1</v>
      </c>
      <c r="AK80" s="2" t="s">
        <v>347</v>
      </c>
      <c r="AL80" s="2">
        <v>7.93</v>
      </c>
      <c r="AM80" s="2" t="s">
        <v>347</v>
      </c>
      <c r="AN80" s="2">
        <v>94.4</v>
      </c>
      <c r="AO80" s="2" t="s">
        <v>347</v>
      </c>
      <c r="AP80" s="2">
        <v>117.5</v>
      </c>
      <c r="AQ80" s="2" t="s">
        <v>347</v>
      </c>
      <c r="AR80" s="2">
        <v>11.19</v>
      </c>
      <c r="AS80" s="2" t="s">
        <v>347</v>
      </c>
      <c r="AT80" s="2" t="s">
        <v>335</v>
      </c>
      <c r="AU80" s="2" t="s">
        <v>347</v>
      </c>
      <c r="AV80" s="2">
        <v>141.99</v>
      </c>
      <c r="AW80" s="2" t="s">
        <v>347</v>
      </c>
      <c r="AX80" s="2">
        <v>122.8</v>
      </c>
      <c r="AY80" s="2" t="s">
        <v>347</v>
      </c>
      <c r="AZ80" s="2">
        <v>4.53</v>
      </c>
      <c r="BA80" s="2" t="s">
        <v>347</v>
      </c>
      <c r="BB80" s="2">
        <v>158.88</v>
      </c>
      <c r="BC80" s="2" t="s">
        <v>347</v>
      </c>
      <c r="BD80" s="2">
        <v>17.03</v>
      </c>
      <c r="BE80" s="2" t="s">
        <v>347</v>
      </c>
      <c r="BF80" s="2">
        <v>16.2</v>
      </c>
      <c r="BG80" s="2" t="s">
        <v>347</v>
      </c>
      <c r="BH80" s="2">
        <v>34.200000000000003</v>
      </c>
      <c r="BI80" s="2" t="s">
        <v>347</v>
      </c>
      <c r="BJ80" s="2">
        <v>165.3</v>
      </c>
      <c r="BK80" s="2" t="s">
        <v>347</v>
      </c>
      <c r="BL80" s="2">
        <v>23.78</v>
      </c>
      <c r="BM80" s="2" t="s">
        <v>347</v>
      </c>
      <c r="BN80" s="2">
        <v>44.51</v>
      </c>
      <c r="BO80" s="2" t="s">
        <v>347</v>
      </c>
      <c r="BP80" s="2">
        <v>27.6</v>
      </c>
      <c r="BQ80" s="2" t="s">
        <v>347</v>
      </c>
      <c r="BR80" s="2">
        <v>16.940000000000001</v>
      </c>
      <c r="BS80" s="2" t="s">
        <v>347</v>
      </c>
      <c r="BT80" s="2">
        <v>11.7</v>
      </c>
      <c r="BU80" s="2" t="s">
        <v>347</v>
      </c>
      <c r="BV80" s="1" t="s">
        <v>908</v>
      </c>
      <c r="BW80" s="1" t="s">
        <v>347</v>
      </c>
      <c r="BX80" s="1" t="s">
        <v>909</v>
      </c>
    </row>
    <row r="81" spans="1:76">
      <c r="A81" s="2" t="s">
        <v>1</v>
      </c>
      <c r="B81" s="2">
        <v>81</v>
      </c>
      <c r="C81" s="2" t="s">
        <v>348</v>
      </c>
      <c r="D81" s="2">
        <v>18.28</v>
      </c>
      <c r="E81" s="2" t="s">
        <v>348</v>
      </c>
      <c r="F81" s="2">
        <v>34.89</v>
      </c>
      <c r="G81" s="2" t="s">
        <v>348</v>
      </c>
      <c r="H81" s="2">
        <v>43.31</v>
      </c>
      <c r="I81" s="2" t="s">
        <v>348</v>
      </c>
      <c r="J81" s="2">
        <v>11.52</v>
      </c>
      <c r="K81" s="2" t="s">
        <v>348</v>
      </c>
      <c r="L81" s="2">
        <v>18.87</v>
      </c>
      <c r="M81" s="2" t="s">
        <v>348</v>
      </c>
      <c r="N81" s="2">
        <v>13.17</v>
      </c>
      <c r="O81" s="2" t="s">
        <v>348</v>
      </c>
      <c r="P81" s="2">
        <v>29.9</v>
      </c>
      <c r="Q81" s="2" t="s">
        <v>348</v>
      </c>
      <c r="R81" s="2">
        <v>24.65</v>
      </c>
      <c r="S81" s="2" t="s">
        <v>348</v>
      </c>
      <c r="T81" s="2">
        <v>17.579999999999998</v>
      </c>
      <c r="U81" s="2" t="s">
        <v>348</v>
      </c>
      <c r="V81" s="2">
        <v>5.65</v>
      </c>
      <c r="W81" s="2" t="s">
        <v>348</v>
      </c>
      <c r="X81" s="2">
        <v>117.54</v>
      </c>
      <c r="Y81" s="2" t="s">
        <v>348</v>
      </c>
      <c r="Z81" s="2">
        <v>27.77</v>
      </c>
      <c r="AA81" s="2" t="s">
        <v>348</v>
      </c>
      <c r="AB81" s="2">
        <v>23.29</v>
      </c>
      <c r="AC81" s="2" t="s">
        <v>348</v>
      </c>
      <c r="AD81" s="2">
        <v>18.14</v>
      </c>
      <c r="AE81" s="2" t="s">
        <v>348</v>
      </c>
      <c r="AF81" s="2">
        <v>30.37</v>
      </c>
      <c r="AG81" s="2" t="s">
        <v>348</v>
      </c>
      <c r="AH81" s="2">
        <v>46.8</v>
      </c>
      <c r="AI81" s="2" t="s">
        <v>348</v>
      </c>
      <c r="AJ81" s="2">
        <v>45.35</v>
      </c>
      <c r="AK81" s="2" t="s">
        <v>348</v>
      </c>
      <c r="AL81" s="2">
        <v>8.09</v>
      </c>
      <c r="AM81" s="2" t="s">
        <v>348</v>
      </c>
      <c r="AN81" s="2">
        <v>94.93</v>
      </c>
      <c r="AO81" s="2" t="s">
        <v>348</v>
      </c>
      <c r="AP81" s="2">
        <v>117.75</v>
      </c>
      <c r="AQ81" s="2" t="s">
        <v>348</v>
      </c>
      <c r="AR81" s="2">
        <v>11.2</v>
      </c>
      <c r="AS81" s="2" t="s">
        <v>348</v>
      </c>
      <c r="AT81" s="2">
        <v>1200.44</v>
      </c>
      <c r="AU81" s="2" t="s">
        <v>348</v>
      </c>
      <c r="AV81" s="2">
        <v>142.15</v>
      </c>
      <c r="AW81" s="2" t="s">
        <v>348</v>
      </c>
      <c r="AX81" s="2">
        <v>122.96</v>
      </c>
      <c r="AY81" s="2" t="s">
        <v>348</v>
      </c>
      <c r="AZ81" s="2">
        <v>4.53</v>
      </c>
      <c r="BA81" s="2" t="s">
        <v>348</v>
      </c>
      <c r="BB81" s="2">
        <v>159.46</v>
      </c>
      <c r="BC81" s="2" t="s">
        <v>348</v>
      </c>
      <c r="BD81" s="2">
        <v>17.02</v>
      </c>
      <c r="BE81" s="2" t="s">
        <v>348</v>
      </c>
      <c r="BF81" s="2">
        <v>16.239999999999998</v>
      </c>
      <c r="BG81" s="2" t="s">
        <v>348</v>
      </c>
      <c r="BH81" s="2" t="s">
        <v>324</v>
      </c>
      <c r="BI81" s="2" t="s">
        <v>348</v>
      </c>
      <c r="BJ81" s="2">
        <v>168.03</v>
      </c>
      <c r="BK81" s="2" t="s">
        <v>348</v>
      </c>
      <c r="BL81" s="2">
        <v>24.37</v>
      </c>
      <c r="BM81" s="2" t="s">
        <v>348</v>
      </c>
      <c r="BN81" s="2">
        <v>45.2</v>
      </c>
      <c r="BO81" s="2" t="s">
        <v>348</v>
      </c>
      <c r="BP81" s="2">
        <v>27.93</v>
      </c>
      <c r="BQ81" s="2" t="s">
        <v>348</v>
      </c>
      <c r="BR81" s="2" t="s">
        <v>44</v>
      </c>
      <c r="BS81" s="2" t="s">
        <v>348</v>
      </c>
      <c r="BT81" s="2">
        <v>11.55</v>
      </c>
      <c r="BU81" s="2" t="s">
        <v>348</v>
      </c>
      <c r="BV81" s="1" t="s">
        <v>910</v>
      </c>
      <c r="BW81" s="1" t="s">
        <v>348</v>
      </c>
      <c r="BX81" s="1" t="s">
        <v>911</v>
      </c>
    </row>
    <row r="82" spans="1:76">
      <c r="A82" s="2" t="s">
        <v>1</v>
      </c>
      <c r="B82" s="2">
        <v>82</v>
      </c>
      <c r="C82" s="2" t="s">
        <v>349</v>
      </c>
      <c r="D82" s="2">
        <v>18.149999999999999</v>
      </c>
      <c r="E82" s="2" t="s">
        <v>349</v>
      </c>
      <c r="F82" s="2">
        <v>35.07</v>
      </c>
      <c r="G82" s="2" t="s">
        <v>349</v>
      </c>
      <c r="H82" s="2">
        <v>43.57</v>
      </c>
      <c r="I82" s="2" t="s">
        <v>349</v>
      </c>
      <c r="J82" s="2">
        <v>11.85</v>
      </c>
      <c r="K82" s="2" t="s">
        <v>349</v>
      </c>
      <c r="L82" s="2">
        <v>18.850000000000001</v>
      </c>
      <c r="M82" s="2" t="s">
        <v>349</v>
      </c>
      <c r="N82" s="2">
        <v>13.15</v>
      </c>
      <c r="O82" s="2" t="s">
        <v>349</v>
      </c>
      <c r="P82" s="2">
        <v>29.76</v>
      </c>
      <c r="Q82" s="2" t="s">
        <v>349</v>
      </c>
      <c r="R82" s="2">
        <v>24.72</v>
      </c>
      <c r="S82" s="2" t="s">
        <v>349</v>
      </c>
      <c r="T82" s="2">
        <v>17.57</v>
      </c>
      <c r="U82" s="2" t="s">
        <v>349</v>
      </c>
      <c r="V82" s="2">
        <v>5.79</v>
      </c>
      <c r="W82" s="2" t="s">
        <v>349</v>
      </c>
      <c r="X82" s="2">
        <v>118.12</v>
      </c>
      <c r="Y82" s="2" t="s">
        <v>349</v>
      </c>
      <c r="Z82" s="2">
        <v>27.83</v>
      </c>
      <c r="AA82" s="2" t="s">
        <v>349</v>
      </c>
      <c r="AB82" s="2">
        <v>23.18</v>
      </c>
      <c r="AC82" s="2" t="s">
        <v>349</v>
      </c>
      <c r="AD82" s="2">
        <v>18.329999999999998</v>
      </c>
      <c r="AE82" s="2" t="s">
        <v>349</v>
      </c>
      <c r="AF82" s="2">
        <v>29.91</v>
      </c>
      <c r="AG82" s="2" t="s">
        <v>349</v>
      </c>
      <c r="AH82" s="2">
        <v>46.71</v>
      </c>
      <c r="AI82" s="2" t="s">
        <v>349</v>
      </c>
      <c r="AJ82" s="2">
        <v>45.41</v>
      </c>
      <c r="AK82" s="2" t="s">
        <v>349</v>
      </c>
      <c r="AL82" s="2">
        <v>8.18</v>
      </c>
      <c r="AM82" s="2" t="s">
        <v>349</v>
      </c>
      <c r="AN82" s="2">
        <v>93.85</v>
      </c>
      <c r="AO82" s="2" t="s">
        <v>349</v>
      </c>
      <c r="AP82" s="2" t="s">
        <v>95</v>
      </c>
      <c r="AQ82" s="2" t="s">
        <v>349</v>
      </c>
      <c r="AR82" s="2">
        <v>11.19</v>
      </c>
      <c r="AS82" s="2" t="s">
        <v>349</v>
      </c>
      <c r="AT82" s="2" t="s">
        <v>350</v>
      </c>
      <c r="AU82" s="2" t="s">
        <v>349</v>
      </c>
      <c r="AV82" s="2" t="s">
        <v>199</v>
      </c>
      <c r="AW82" s="2" t="s">
        <v>349</v>
      </c>
      <c r="AX82" s="2">
        <v>122.95</v>
      </c>
      <c r="AY82" s="2" t="s">
        <v>349</v>
      </c>
      <c r="AZ82" s="2">
        <v>4.5199999999999996</v>
      </c>
      <c r="BA82" s="2" t="s">
        <v>349</v>
      </c>
      <c r="BB82" s="2">
        <v>159.99</v>
      </c>
      <c r="BC82" s="2" t="s">
        <v>349</v>
      </c>
      <c r="BD82" s="2">
        <v>17.399999999999999</v>
      </c>
      <c r="BE82" s="2" t="s">
        <v>349</v>
      </c>
      <c r="BF82" s="2">
        <v>16.39</v>
      </c>
      <c r="BG82" s="2" t="s">
        <v>349</v>
      </c>
      <c r="BH82" s="2">
        <v>35.53</v>
      </c>
      <c r="BI82" s="2" t="s">
        <v>349</v>
      </c>
      <c r="BJ82" s="2" t="s">
        <v>352</v>
      </c>
      <c r="BK82" s="2" t="s">
        <v>349</v>
      </c>
      <c r="BL82" s="2">
        <v>24.24</v>
      </c>
      <c r="BM82" s="2" t="s">
        <v>349</v>
      </c>
      <c r="BN82" s="2">
        <v>46.15</v>
      </c>
      <c r="BO82" s="2" t="s">
        <v>349</v>
      </c>
      <c r="BP82" s="2">
        <v>27.66</v>
      </c>
      <c r="BQ82" s="2" t="s">
        <v>349</v>
      </c>
      <c r="BR82" s="2">
        <v>17.260000000000002</v>
      </c>
      <c r="BS82" s="2" t="s">
        <v>349</v>
      </c>
      <c r="BT82" s="2">
        <v>11.75</v>
      </c>
      <c r="BU82" s="2" t="s">
        <v>349</v>
      </c>
      <c r="BV82" s="1" t="s">
        <v>912</v>
      </c>
      <c r="BW82" s="1" t="s">
        <v>349</v>
      </c>
      <c r="BX82" s="1" t="s">
        <v>913</v>
      </c>
    </row>
    <row r="83" spans="1:76">
      <c r="A83" s="2" t="s">
        <v>1</v>
      </c>
      <c r="B83" s="2">
        <v>83</v>
      </c>
      <c r="C83" s="2" t="s">
        <v>351</v>
      </c>
      <c r="D83" s="2">
        <v>18.3</v>
      </c>
      <c r="E83" s="2" t="s">
        <v>351</v>
      </c>
      <c r="F83" s="2">
        <v>34.46</v>
      </c>
      <c r="G83" s="2" t="s">
        <v>351</v>
      </c>
      <c r="H83" s="2">
        <v>43.76</v>
      </c>
      <c r="I83" s="2" t="s">
        <v>351</v>
      </c>
      <c r="J83" s="2">
        <v>11.68</v>
      </c>
      <c r="K83" s="2" t="s">
        <v>351</v>
      </c>
      <c r="L83" s="2">
        <v>18.989999999999998</v>
      </c>
      <c r="M83" s="2" t="s">
        <v>351</v>
      </c>
      <c r="N83" s="2">
        <v>13.07</v>
      </c>
      <c r="O83" s="2" t="s">
        <v>351</v>
      </c>
      <c r="P83" s="2">
        <v>29.66</v>
      </c>
      <c r="Q83" s="2" t="s">
        <v>351</v>
      </c>
      <c r="R83" s="2">
        <v>24.56</v>
      </c>
      <c r="S83" s="2" t="s">
        <v>351</v>
      </c>
      <c r="T83" s="2">
        <v>17.670000000000002</v>
      </c>
      <c r="U83" s="2" t="s">
        <v>351</v>
      </c>
      <c r="V83" s="2">
        <v>5.89</v>
      </c>
      <c r="W83" s="2" t="s">
        <v>351</v>
      </c>
      <c r="X83" s="2">
        <v>118.25</v>
      </c>
      <c r="Y83" s="2" t="s">
        <v>351</v>
      </c>
      <c r="Z83" s="2">
        <v>28.06</v>
      </c>
      <c r="AA83" s="2" t="s">
        <v>351</v>
      </c>
      <c r="AB83" s="2">
        <v>23.39</v>
      </c>
      <c r="AC83" s="2" t="s">
        <v>351</v>
      </c>
      <c r="AD83" s="2">
        <v>18.13</v>
      </c>
      <c r="AE83" s="2" t="s">
        <v>351</v>
      </c>
      <c r="AF83" s="2">
        <v>29.58</v>
      </c>
      <c r="AG83" s="2" t="s">
        <v>351</v>
      </c>
      <c r="AH83" s="2">
        <v>46.03</v>
      </c>
      <c r="AI83" s="2" t="s">
        <v>351</v>
      </c>
      <c r="AJ83" s="2">
        <v>46.8</v>
      </c>
      <c r="AK83" s="2" t="s">
        <v>351</v>
      </c>
      <c r="AL83" s="2">
        <v>8.1199999999999992</v>
      </c>
      <c r="AM83" s="2" t="s">
        <v>351</v>
      </c>
      <c r="AN83" s="2">
        <v>94.4</v>
      </c>
      <c r="AO83" s="2" t="s">
        <v>351</v>
      </c>
      <c r="AP83" s="2">
        <v>118.5</v>
      </c>
      <c r="AQ83" s="2" t="s">
        <v>351</v>
      </c>
      <c r="AR83" s="2">
        <v>11.2</v>
      </c>
      <c r="AS83" s="2" t="s">
        <v>351</v>
      </c>
      <c r="AT83" s="2" t="s">
        <v>350</v>
      </c>
      <c r="AU83" s="2" t="s">
        <v>351</v>
      </c>
      <c r="AV83" s="2" t="s">
        <v>199</v>
      </c>
      <c r="AW83" s="2" t="s">
        <v>351</v>
      </c>
      <c r="AX83" s="2">
        <v>123.67</v>
      </c>
      <c r="AY83" s="2" t="s">
        <v>351</v>
      </c>
      <c r="AZ83" s="2">
        <v>4.5199999999999996</v>
      </c>
      <c r="BA83" s="2" t="s">
        <v>351</v>
      </c>
      <c r="BB83" s="2">
        <v>161.36000000000001</v>
      </c>
      <c r="BC83" s="2" t="s">
        <v>351</v>
      </c>
      <c r="BD83" s="2">
        <v>17.72</v>
      </c>
      <c r="BE83" s="2" t="s">
        <v>351</v>
      </c>
      <c r="BF83" s="2">
        <v>16.28</v>
      </c>
      <c r="BG83" s="2" t="s">
        <v>351</v>
      </c>
      <c r="BH83" s="2">
        <v>35.200000000000003</v>
      </c>
      <c r="BI83" s="2" t="s">
        <v>351</v>
      </c>
      <c r="BJ83" s="2" t="s">
        <v>354</v>
      </c>
      <c r="BK83" s="2" t="s">
        <v>351</v>
      </c>
      <c r="BL83" s="2">
        <v>24.36</v>
      </c>
      <c r="BM83" s="2" t="s">
        <v>351</v>
      </c>
      <c r="BN83" s="2">
        <v>46.44</v>
      </c>
      <c r="BO83" s="2" t="s">
        <v>351</v>
      </c>
      <c r="BP83" s="2">
        <v>27.6</v>
      </c>
      <c r="BQ83" s="2" t="s">
        <v>351</v>
      </c>
      <c r="BR83" s="2">
        <v>17.12</v>
      </c>
      <c r="BS83" s="2" t="s">
        <v>351</v>
      </c>
      <c r="BT83" s="2">
        <v>11.61</v>
      </c>
      <c r="BU83" s="2" t="s">
        <v>351</v>
      </c>
      <c r="BV83" s="1" t="s">
        <v>914</v>
      </c>
      <c r="BW83" s="1" t="s">
        <v>351</v>
      </c>
      <c r="BX83" s="1" t="s">
        <v>915</v>
      </c>
    </row>
    <row r="84" spans="1:76">
      <c r="A84" s="2" t="s">
        <v>1</v>
      </c>
      <c r="B84" s="2">
        <v>84</v>
      </c>
      <c r="C84" s="2" t="s">
        <v>353</v>
      </c>
      <c r="D84" s="2">
        <v>18.350000000000001</v>
      </c>
      <c r="E84" s="2" t="s">
        <v>353</v>
      </c>
      <c r="F84" s="2">
        <v>34.799999999999997</v>
      </c>
      <c r="G84" s="2" t="s">
        <v>353</v>
      </c>
      <c r="H84" s="2">
        <v>44.14</v>
      </c>
      <c r="I84" s="2" t="s">
        <v>353</v>
      </c>
      <c r="J84" s="2">
        <v>11.7</v>
      </c>
      <c r="K84" s="2" t="s">
        <v>353</v>
      </c>
      <c r="L84" s="2">
        <v>19.23</v>
      </c>
      <c r="M84" s="2" t="s">
        <v>353</v>
      </c>
      <c r="N84" s="2">
        <v>13.26</v>
      </c>
      <c r="O84" s="2" t="s">
        <v>353</v>
      </c>
      <c r="P84" s="2">
        <v>30.07</v>
      </c>
      <c r="Q84" s="2" t="s">
        <v>353</v>
      </c>
      <c r="R84" s="2" t="s">
        <v>52</v>
      </c>
      <c r="S84" s="2" t="s">
        <v>353</v>
      </c>
      <c r="T84" s="2">
        <v>17.690000000000001</v>
      </c>
      <c r="U84" s="2" t="s">
        <v>353</v>
      </c>
      <c r="V84" s="2">
        <v>5.87</v>
      </c>
      <c r="W84" s="2" t="s">
        <v>353</v>
      </c>
      <c r="X84" s="2" t="s">
        <v>96</v>
      </c>
      <c r="Y84" s="2" t="s">
        <v>353</v>
      </c>
      <c r="Z84" s="2">
        <v>28.28</v>
      </c>
      <c r="AA84" s="2" t="s">
        <v>353</v>
      </c>
      <c r="AB84" s="2">
        <v>23.29</v>
      </c>
      <c r="AC84" s="2" t="s">
        <v>353</v>
      </c>
      <c r="AD84" s="2">
        <v>18.71</v>
      </c>
      <c r="AE84" s="2" t="s">
        <v>353</v>
      </c>
      <c r="AF84" s="2">
        <v>29.91</v>
      </c>
      <c r="AG84" s="2" t="s">
        <v>353</v>
      </c>
      <c r="AH84" s="2">
        <v>47.21</v>
      </c>
      <c r="AI84" s="2" t="s">
        <v>353</v>
      </c>
      <c r="AJ84" s="2">
        <v>45.97</v>
      </c>
      <c r="AK84" s="2" t="s">
        <v>353</v>
      </c>
      <c r="AL84" s="2">
        <v>8.1199999999999992</v>
      </c>
      <c r="AM84" s="2" t="s">
        <v>353</v>
      </c>
      <c r="AN84" s="2">
        <v>94.4</v>
      </c>
      <c r="AO84" s="2" t="s">
        <v>353</v>
      </c>
      <c r="AP84" s="2" t="s">
        <v>96</v>
      </c>
      <c r="AQ84" s="2" t="s">
        <v>353</v>
      </c>
      <c r="AR84" s="2">
        <v>11.2</v>
      </c>
      <c r="AS84" s="2" t="s">
        <v>353</v>
      </c>
      <c r="AT84" s="2" t="s">
        <v>350</v>
      </c>
      <c r="AU84" s="2" t="s">
        <v>353</v>
      </c>
      <c r="AV84" s="2">
        <v>143.4</v>
      </c>
      <c r="AW84" s="2" t="s">
        <v>353</v>
      </c>
      <c r="AX84" s="2">
        <v>124.53</v>
      </c>
      <c r="AY84" s="2" t="s">
        <v>353</v>
      </c>
      <c r="AZ84" s="2">
        <v>4.55</v>
      </c>
      <c r="BA84" s="2" t="s">
        <v>353</v>
      </c>
      <c r="BB84" s="2" t="s">
        <v>59</v>
      </c>
      <c r="BC84" s="2" t="s">
        <v>353</v>
      </c>
      <c r="BD84" s="2">
        <v>17.559999999999999</v>
      </c>
      <c r="BE84" s="2" t="s">
        <v>353</v>
      </c>
      <c r="BF84" s="2">
        <v>16.100000000000001</v>
      </c>
      <c r="BG84" s="2" t="s">
        <v>353</v>
      </c>
      <c r="BH84" s="2">
        <v>35.14</v>
      </c>
      <c r="BI84" s="2" t="s">
        <v>353</v>
      </c>
      <c r="BJ84" s="2">
        <v>168.48</v>
      </c>
      <c r="BK84" s="2" t="s">
        <v>353</v>
      </c>
      <c r="BL84" s="2">
        <v>24.44</v>
      </c>
      <c r="BM84" s="2" t="s">
        <v>353</v>
      </c>
      <c r="BN84" s="2">
        <v>46.89</v>
      </c>
      <c r="BO84" s="2" t="s">
        <v>353</v>
      </c>
      <c r="BP84" s="2">
        <v>27.77</v>
      </c>
      <c r="BQ84" s="2" t="s">
        <v>353</v>
      </c>
      <c r="BR84" s="2">
        <v>17.079999999999998</v>
      </c>
      <c r="BS84" s="2" t="s">
        <v>353</v>
      </c>
      <c r="BT84" s="2">
        <v>11.81</v>
      </c>
      <c r="BU84" s="2" t="s">
        <v>353</v>
      </c>
      <c r="BV84" s="1" t="s">
        <v>916</v>
      </c>
      <c r="BW84" s="1" t="s">
        <v>353</v>
      </c>
      <c r="BX84" s="1" t="s">
        <v>917</v>
      </c>
    </row>
    <row r="85" spans="1:76">
      <c r="A85" s="2" t="s">
        <v>1</v>
      </c>
      <c r="B85" s="2">
        <v>85</v>
      </c>
      <c r="C85" s="2" t="s">
        <v>355</v>
      </c>
      <c r="D85" s="2">
        <v>18.47</v>
      </c>
      <c r="E85" s="2" t="s">
        <v>355</v>
      </c>
      <c r="F85" s="2">
        <v>35.35</v>
      </c>
      <c r="G85" s="2" t="s">
        <v>355</v>
      </c>
      <c r="H85" s="2">
        <v>43.95</v>
      </c>
      <c r="I85" s="2" t="s">
        <v>355</v>
      </c>
      <c r="J85" s="2">
        <v>12.11</v>
      </c>
      <c r="K85" s="2" t="s">
        <v>355</v>
      </c>
      <c r="L85" s="2" t="s">
        <v>46</v>
      </c>
      <c r="M85" s="2" t="s">
        <v>355</v>
      </c>
      <c r="N85" s="2">
        <v>13.56</v>
      </c>
      <c r="O85" s="2" t="s">
        <v>355</v>
      </c>
      <c r="P85" s="2">
        <v>30.51</v>
      </c>
      <c r="Q85" s="2" t="s">
        <v>355</v>
      </c>
      <c r="R85" s="2">
        <v>24.75</v>
      </c>
      <c r="S85" s="2" t="s">
        <v>355</v>
      </c>
      <c r="T85" s="2">
        <v>17.989999999999998</v>
      </c>
      <c r="U85" s="2" t="s">
        <v>355</v>
      </c>
      <c r="V85" s="2">
        <v>5.82</v>
      </c>
      <c r="W85" s="2" t="s">
        <v>355</v>
      </c>
      <c r="X85" s="2">
        <v>118.3</v>
      </c>
      <c r="Y85" s="2" t="s">
        <v>355</v>
      </c>
      <c r="Z85" s="2">
        <v>28.24</v>
      </c>
      <c r="AA85" s="2" t="s">
        <v>355</v>
      </c>
      <c r="AB85" s="2">
        <v>23.04</v>
      </c>
      <c r="AC85" s="2" t="s">
        <v>355</v>
      </c>
      <c r="AD85" s="2">
        <v>18.88</v>
      </c>
      <c r="AE85" s="2" t="s">
        <v>355</v>
      </c>
      <c r="AF85" s="2">
        <v>30.3</v>
      </c>
      <c r="AG85" s="2" t="s">
        <v>355</v>
      </c>
      <c r="AH85" s="2">
        <v>47.3</v>
      </c>
      <c r="AI85" s="2" t="s">
        <v>355</v>
      </c>
      <c r="AJ85" s="2">
        <v>45.1</v>
      </c>
      <c r="AK85" s="2" t="s">
        <v>355</v>
      </c>
      <c r="AL85" s="2">
        <v>8.0399999999999991</v>
      </c>
      <c r="AM85" s="2" t="s">
        <v>355</v>
      </c>
      <c r="AN85" s="2">
        <v>94.38</v>
      </c>
      <c r="AO85" s="2" t="s">
        <v>355</v>
      </c>
      <c r="AP85" s="2">
        <v>119.55</v>
      </c>
      <c r="AQ85" s="2" t="s">
        <v>355</v>
      </c>
      <c r="AR85" s="2">
        <v>11.2</v>
      </c>
      <c r="AS85" s="2" t="s">
        <v>355</v>
      </c>
      <c r="AT85" s="2" t="s">
        <v>167</v>
      </c>
      <c r="AU85" s="2" t="s">
        <v>355</v>
      </c>
      <c r="AV85" s="2">
        <v>143.69999999999999</v>
      </c>
      <c r="AW85" s="2" t="s">
        <v>355</v>
      </c>
      <c r="AX85" s="2">
        <v>124.2</v>
      </c>
      <c r="AY85" s="2" t="s">
        <v>355</v>
      </c>
      <c r="AZ85" s="2">
        <v>4.6500000000000004</v>
      </c>
      <c r="BA85" s="2" t="s">
        <v>355</v>
      </c>
      <c r="BB85" s="2">
        <v>161.99</v>
      </c>
      <c r="BC85" s="2" t="s">
        <v>355</v>
      </c>
      <c r="BD85" s="2">
        <v>17.809999999999999</v>
      </c>
      <c r="BE85" s="2" t="s">
        <v>355</v>
      </c>
      <c r="BF85" s="2">
        <v>15.85</v>
      </c>
      <c r="BG85" s="2" t="s">
        <v>355</v>
      </c>
      <c r="BH85" s="2">
        <v>35.200000000000003</v>
      </c>
      <c r="BI85" s="2" t="s">
        <v>355</v>
      </c>
      <c r="BJ85" s="2">
        <v>169.5</v>
      </c>
      <c r="BK85" s="2" t="s">
        <v>355</v>
      </c>
      <c r="BL85" s="2">
        <v>24.74</v>
      </c>
      <c r="BM85" s="2" t="s">
        <v>355</v>
      </c>
      <c r="BN85" s="2">
        <v>47.53</v>
      </c>
      <c r="BO85" s="2" t="s">
        <v>355</v>
      </c>
      <c r="BP85" s="2">
        <v>28.57</v>
      </c>
      <c r="BQ85" s="2" t="s">
        <v>355</v>
      </c>
      <c r="BR85" s="2">
        <v>17.600000000000001</v>
      </c>
      <c r="BS85" s="2" t="s">
        <v>355</v>
      </c>
      <c r="BT85" s="2">
        <v>11.88</v>
      </c>
      <c r="BU85" s="2" t="s">
        <v>355</v>
      </c>
      <c r="BV85" s="1" t="s">
        <v>918</v>
      </c>
      <c r="BW85" s="1" t="s">
        <v>355</v>
      </c>
      <c r="BX85" s="1" t="s">
        <v>919</v>
      </c>
    </row>
    <row r="86" spans="1:76">
      <c r="A86" s="2" t="s">
        <v>1</v>
      </c>
      <c r="B86" s="2">
        <v>86</v>
      </c>
      <c r="C86" s="2" t="s">
        <v>356</v>
      </c>
      <c r="D86" s="2">
        <v>18.399999999999999</v>
      </c>
      <c r="E86" s="2" t="s">
        <v>356</v>
      </c>
      <c r="F86" s="2">
        <v>35.54</v>
      </c>
      <c r="G86" s="2" t="s">
        <v>356</v>
      </c>
      <c r="H86" s="2">
        <v>43.74</v>
      </c>
      <c r="I86" s="2" t="s">
        <v>356</v>
      </c>
      <c r="J86" s="2">
        <v>12.4</v>
      </c>
      <c r="K86" s="2" t="s">
        <v>356</v>
      </c>
      <c r="L86" s="2">
        <v>18.739999999999998</v>
      </c>
      <c r="M86" s="2" t="s">
        <v>356</v>
      </c>
      <c r="N86" s="2">
        <v>13.66</v>
      </c>
      <c r="O86" s="2" t="s">
        <v>356</v>
      </c>
      <c r="P86" s="2">
        <v>30.96</v>
      </c>
      <c r="Q86" s="2" t="s">
        <v>356</v>
      </c>
      <c r="R86" s="2">
        <v>24.46</v>
      </c>
      <c r="S86" s="2" t="s">
        <v>356</v>
      </c>
      <c r="T86" s="2">
        <v>17.690000000000001</v>
      </c>
      <c r="U86" s="2" t="s">
        <v>356</v>
      </c>
      <c r="V86" s="2">
        <v>5.98</v>
      </c>
      <c r="W86" s="2" t="s">
        <v>356</v>
      </c>
      <c r="X86" s="2">
        <v>119.75</v>
      </c>
      <c r="Y86" s="2" t="s">
        <v>356</v>
      </c>
      <c r="Z86" s="2">
        <v>28.1</v>
      </c>
      <c r="AA86" s="2" t="s">
        <v>356</v>
      </c>
      <c r="AB86" s="2">
        <v>23.16</v>
      </c>
      <c r="AC86" s="2" t="s">
        <v>356</v>
      </c>
      <c r="AD86" s="2">
        <v>18.77</v>
      </c>
      <c r="AE86" s="2" t="s">
        <v>356</v>
      </c>
      <c r="AF86" s="2">
        <v>29.89</v>
      </c>
      <c r="AG86" s="2" t="s">
        <v>356</v>
      </c>
      <c r="AH86" s="2">
        <v>47.11</v>
      </c>
      <c r="AI86" s="2" t="s">
        <v>356</v>
      </c>
      <c r="AJ86" s="2" t="s">
        <v>83</v>
      </c>
      <c r="AK86" s="2" t="s">
        <v>356</v>
      </c>
      <c r="AL86" s="2">
        <v>7.96</v>
      </c>
      <c r="AM86" s="2" t="s">
        <v>356</v>
      </c>
      <c r="AN86" s="2">
        <v>94.72</v>
      </c>
      <c r="AO86" s="2" t="s">
        <v>356</v>
      </c>
      <c r="AP86" s="2">
        <v>119.75</v>
      </c>
      <c r="AQ86" s="2" t="s">
        <v>356</v>
      </c>
      <c r="AR86" s="2">
        <v>11.2</v>
      </c>
      <c r="AS86" s="2" t="s">
        <v>356</v>
      </c>
      <c r="AT86" s="2">
        <v>1211.1099999999999</v>
      </c>
      <c r="AU86" s="2" t="s">
        <v>356</v>
      </c>
      <c r="AV86" s="2">
        <v>142.68</v>
      </c>
      <c r="AW86" s="2" t="s">
        <v>356</v>
      </c>
      <c r="AX86" s="2" t="s">
        <v>106</v>
      </c>
      <c r="AY86" s="2" t="s">
        <v>356</v>
      </c>
      <c r="AZ86" s="2">
        <v>4.8499999999999996</v>
      </c>
      <c r="BA86" s="2" t="s">
        <v>356</v>
      </c>
      <c r="BB86" s="2">
        <v>161.25</v>
      </c>
      <c r="BC86" s="2" t="s">
        <v>356</v>
      </c>
      <c r="BD86" s="2">
        <v>17.61</v>
      </c>
      <c r="BE86" s="2" t="s">
        <v>356</v>
      </c>
      <c r="BF86" s="2">
        <v>15.8</v>
      </c>
      <c r="BG86" s="2" t="s">
        <v>356</v>
      </c>
      <c r="BH86" s="2">
        <v>36.03</v>
      </c>
      <c r="BI86" s="2" t="s">
        <v>356</v>
      </c>
      <c r="BJ86" s="2" t="s">
        <v>359</v>
      </c>
      <c r="BK86" s="2" t="s">
        <v>356</v>
      </c>
      <c r="BL86" s="2">
        <v>25.84</v>
      </c>
      <c r="BM86" s="2" t="s">
        <v>356</v>
      </c>
      <c r="BN86" s="2">
        <v>48.24</v>
      </c>
      <c r="BO86" s="2" t="s">
        <v>356</v>
      </c>
      <c r="BP86" s="2">
        <v>28.95</v>
      </c>
      <c r="BQ86" s="2" t="s">
        <v>356</v>
      </c>
      <c r="BR86" s="2">
        <v>17.53</v>
      </c>
      <c r="BS86" s="2" t="s">
        <v>356</v>
      </c>
      <c r="BT86" s="2">
        <v>11.85</v>
      </c>
      <c r="BU86" s="2" t="s">
        <v>356</v>
      </c>
      <c r="BV86" s="1" t="s">
        <v>920</v>
      </c>
      <c r="BW86" s="1" t="s">
        <v>356</v>
      </c>
      <c r="BX86" s="1" t="s">
        <v>921</v>
      </c>
    </row>
    <row r="87" spans="1:76">
      <c r="A87" s="2" t="s">
        <v>1</v>
      </c>
      <c r="B87" s="2">
        <v>87</v>
      </c>
      <c r="C87" s="2" t="s">
        <v>357</v>
      </c>
      <c r="D87" s="2">
        <v>18.34</v>
      </c>
      <c r="E87" s="2" t="s">
        <v>357</v>
      </c>
      <c r="F87" s="2">
        <v>35.65</v>
      </c>
      <c r="G87" s="2" t="s">
        <v>357</v>
      </c>
      <c r="H87" s="2">
        <v>43.81</v>
      </c>
      <c r="I87" s="2" t="s">
        <v>357</v>
      </c>
      <c r="J87" s="2">
        <v>12.21</v>
      </c>
      <c r="K87" s="2" t="s">
        <v>357</v>
      </c>
      <c r="L87" s="2">
        <v>18.37</v>
      </c>
      <c r="M87" s="2" t="s">
        <v>357</v>
      </c>
      <c r="N87" s="2">
        <v>13.65</v>
      </c>
      <c r="O87" s="2" t="s">
        <v>357</v>
      </c>
      <c r="P87" s="2">
        <v>31.17</v>
      </c>
      <c r="Q87" s="2" t="s">
        <v>357</v>
      </c>
      <c r="R87" s="2">
        <v>24.6</v>
      </c>
      <c r="S87" s="2" t="s">
        <v>357</v>
      </c>
      <c r="T87" s="2">
        <v>17.27</v>
      </c>
      <c r="U87" s="2" t="s">
        <v>357</v>
      </c>
      <c r="V87" s="2" t="s">
        <v>406</v>
      </c>
      <c r="W87" s="2" t="s">
        <v>357</v>
      </c>
      <c r="X87" s="2">
        <v>119.39</v>
      </c>
      <c r="Y87" s="2" t="s">
        <v>357</v>
      </c>
      <c r="Z87" s="2" t="s">
        <v>81</v>
      </c>
      <c r="AA87" s="2" t="s">
        <v>357</v>
      </c>
      <c r="AB87" s="2">
        <v>23.04</v>
      </c>
      <c r="AC87" s="2" t="s">
        <v>357</v>
      </c>
      <c r="AD87" s="2">
        <v>18.5</v>
      </c>
      <c r="AE87" s="2" t="s">
        <v>357</v>
      </c>
      <c r="AF87" s="2">
        <v>29.61</v>
      </c>
      <c r="AG87" s="2" t="s">
        <v>357</v>
      </c>
      <c r="AH87" s="2">
        <v>46.75</v>
      </c>
      <c r="AI87" s="2" t="s">
        <v>357</v>
      </c>
      <c r="AJ87" s="2">
        <v>45.15</v>
      </c>
      <c r="AK87" s="2" t="s">
        <v>357</v>
      </c>
      <c r="AL87" s="2">
        <v>7.97</v>
      </c>
      <c r="AM87" s="2" t="s">
        <v>357</v>
      </c>
      <c r="AN87" s="2">
        <v>95.29</v>
      </c>
      <c r="AO87" s="2" t="s">
        <v>357</v>
      </c>
      <c r="AP87" s="2" t="s">
        <v>96</v>
      </c>
      <c r="AQ87" s="2" t="s">
        <v>357</v>
      </c>
      <c r="AR87" s="2">
        <v>11.18</v>
      </c>
      <c r="AS87" s="2" t="s">
        <v>357</v>
      </c>
      <c r="AT87" s="2" t="s">
        <v>358</v>
      </c>
      <c r="AU87" s="2" t="s">
        <v>357</v>
      </c>
      <c r="AV87" s="2" t="s">
        <v>108</v>
      </c>
      <c r="AW87" s="2" t="s">
        <v>357</v>
      </c>
      <c r="AX87" s="2">
        <v>124.4</v>
      </c>
      <c r="AY87" s="2" t="s">
        <v>357</v>
      </c>
      <c r="AZ87" s="2">
        <v>5.16</v>
      </c>
      <c r="BA87" s="2" t="s">
        <v>357</v>
      </c>
      <c r="BB87" s="2">
        <v>161.85</v>
      </c>
      <c r="BC87" s="2" t="s">
        <v>357</v>
      </c>
      <c r="BD87" s="2">
        <v>17.079999999999998</v>
      </c>
      <c r="BE87" s="2" t="s">
        <v>357</v>
      </c>
      <c r="BF87" s="2">
        <v>15.71</v>
      </c>
      <c r="BG87" s="2" t="s">
        <v>357</v>
      </c>
      <c r="BH87" s="2">
        <v>36.5</v>
      </c>
      <c r="BI87" s="2" t="s">
        <v>357</v>
      </c>
      <c r="BJ87" s="2">
        <v>171.2</v>
      </c>
      <c r="BK87" s="2" t="s">
        <v>357</v>
      </c>
      <c r="BL87" s="2">
        <v>26.1</v>
      </c>
      <c r="BM87" s="2" t="s">
        <v>357</v>
      </c>
      <c r="BN87" s="2">
        <v>48.62</v>
      </c>
      <c r="BO87" s="2" t="s">
        <v>357</v>
      </c>
      <c r="BP87" s="2">
        <v>28.32</v>
      </c>
      <c r="BQ87" s="2" t="s">
        <v>357</v>
      </c>
      <c r="BR87" s="2">
        <v>17.8</v>
      </c>
      <c r="BS87" s="2" t="s">
        <v>357</v>
      </c>
      <c r="BT87" s="2">
        <v>11.76</v>
      </c>
      <c r="BU87" s="2" t="s">
        <v>357</v>
      </c>
      <c r="BV87" s="1" t="s">
        <v>922</v>
      </c>
      <c r="BW87" s="1" t="s">
        <v>357</v>
      </c>
      <c r="BX87" s="1" t="s">
        <v>923</v>
      </c>
    </row>
    <row r="88" spans="1:76">
      <c r="A88" s="2" t="s">
        <v>1</v>
      </c>
      <c r="B88" s="2">
        <v>88</v>
      </c>
      <c r="C88" s="2" t="s">
        <v>360</v>
      </c>
      <c r="D88" s="2">
        <v>18.36</v>
      </c>
      <c r="E88" s="2" t="s">
        <v>360</v>
      </c>
      <c r="F88" s="2">
        <v>35.19</v>
      </c>
      <c r="G88" s="2" t="s">
        <v>360</v>
      </c>
      <c r="H88" s="2">
        <v>43.53</v>
      </c>
      <c r="I88" s="2" t="s">
        <v>360</v>
      </c>
      <c r="J88" s="2">
        <v>12.45</v>
      </c>
      <c r="K88" s="2" t="s">
        <v>360</v>
      </c>
      <c r="L88" s="2">
        <v>18.059999999999999</v>
      </c>
      <c r="M88" s="2" t="s">
        <v>360</v>
      </c>
      <c r="N88" s="2">
        <v>13.79</v>
      </c>
      <c r="O88" s="2" t="s">
        <v>360</v>
      </c>
      <c r="P88" s="2">
        <v>31.26</v>
      </c>
      <c r="Q88" s="2" t="s">
        <v>360</v>
      </c>
      <c r="R88" s="2">
        <v>24.65</v>
      </c>
      <c r="S88" s="2" t="s">
        <v>360</v>
      </c>
      <c r="T88" s="2">
        <v>17.36</v>
      </c>
      <c r="U88" s="2" t="s">
        <v>360</v>
      </c>
      <c r="V88" s="2">
        <v>5.95</v>
      </c>
      <c r="W88" s="2" t="s">
        <v>360</v>
      </c>
      <c r="X88" s="2">
        <v>119.37</v>
      </c>
      <c r="Y88" s="2" t="s">
        <v>360</v>
      </c>
      <c r="Z88" s="2">
        <v>27.89</v>
      </c>
      <c r="AA88" s="2" t="s">
        <v>360</v>
      </c>
      <c r="AB88" s="2">
        <v>23.02</v>
      </c>
      <c r="AC88" s="2" t="s">
        <v>360</v>
      </c>
      <c r="AD88" s="2">
        <v>18.68</v>
      </c>
      <c r="AE88" s="2" t="s">
        <v>360</v>
      </c>
      <c r="AF88" s="2">
        <v>30.14</v>
      </c>
      <c r="AG88" s="2" t="s">
        <v>360</v>
      </c>
      <c r="AH88" s="2">
        <v>48.56</v>
      </c>
      <c r="AI88" s="2" t="s">
        <v>360</v>
      </c>
      <c r="AJ88" s="2">
        <v>44.22</v>
      </c>
      <c r="AK88" s="2" t="s">
        <v>360</v>
      </c>
      <c r="AL88" s="2">
        <v>7.93</v>
      </c>
      <c r="AM88" s="2" t="s">
        <v>360</v>
      </c>
      <c r="AN88" s="2">
        <v>95.02</v>
      </c>
      <c r="AO88" s="2" t="s">
        <v>360</v>
      </c>
      <c r="AP88" s="2" t="s">
        <v>102</v>
      </c>
      <c r="AQ88" s="2" t="s">
        <v>360</v>
      </c>
      <c r="AR88" s="2">
        <v>11.2</v>
      </c>
      <c r="AS88" s="2" t="s">
        <v>360</v>
      </c>
      <c r="AT88" s="2">
        <v>1217.01</v>
      </c>
      <c r="AU88" s="2" t="s">
        <v>360</v>
      </c>
      <c r="AV88" s="2">
        <v>145.65</v>
      </c>
      <c r="AW88" s="2" t="s">
        <v>360</v>
      </c>
      <c r="AX88" s="2">
        <v>124.4</v>
      </c>
      <c r="AY88" s="2" t="s">
        <v>360</v>
      </c>
      <c r="AZ88" s="2">
        <v>5.36</v>
      </c>
      <c r="BA88" s="2" t="s">
        <v>360</v>
      </c>
      <c r="BB88" s="2">
        <v>161.19999999999999</v>
      </c>
      <c r="BC88" s="2" t="s">
        <v>360</v>
      </c>
      <c r="BD88" s="2">
        <v>16.78</v>
      </c>
      <c r="BE88" s="2" t="s">
        <v>360</v>
      </c>
      <c r="BF88" s="2" t="s">
        <v>82</v>
      </c>
      <c r="BG88" s="2" t="s">
        <v>360</v>
      </c>
      <c r="BH88" s="2">
        <v>36.17</v>
      </c>
      <c r="BI88" s="2" t="s">
        <v>360</v>
      </c>
      <c r="BJ88" s="2">
        <v>170.97</v>
      </c>
      <c r="BK88" s="2" t="s">
        <v>360</v>
      </c>
      <c r="BL88" s="2">
        <v>25.41</v>
      </c>
      <c r="BM88" s="2" t="s">
        <v>360</v>
      </c>
      <c r="BN88" s="2">
        <v>48.41</v>
      </c>
      <c r="BO88" s="2" t="s">
        <v>360</v>
      </c>
      <c r="BP88" s="2">
        <v>29.25</v>
      </c>
      <c r="BQ88" s="2" t="s">
        <v>360</v>
      </c>
      <c r="BR88" s="2">
        <v>17.920000000000002</v>
      </c>
      <c r="BS88" s="2" t="s">
        <v>360</v>
      </c>
      <c r="BT88" s="2">
        <v>11.8</v>
      </c>
      <c r="BU88" s="2" t="s">
        <v>360</v>
      </c>
      <c r="BV88" s="1" t="s">
        <v>924</v>
      </c>
      <c r="BW88" s="1" t="s">
        <v>360</v>
      </c>
      <c r="BX88" s="1" t="s">
        <v>925</v>
      </c>
    </row>
    <row r="89" spans="1:76">
      <c r="A89" s="2" t="s">
        <v>1</v>
      </c>
      <c r="B89" s="2">
        <v>89</v>
      </c>
      <c r="C89" s="2" t="s">
        <v>361</v>
      </c>
      <c r="D89" s="2">
        <v>18.57</v>
      </c>
      <c r="E89" s="2" t="s">
        <v>361</v>
      </c>
      <c r="F89" s="2">
        <v>34.78</v>
      </c>
      <c r="G89" s="2" t="s">
        <v>361</v>
      </c>
      <c r="H89" s="2">
        <v>44.22</v>
      </c>
      <c r="I89" s="2" t="s">
        <v>361</v>
      </c>
      <c r="J89" s="2">
        <v>12.88</v>
      </c>
      <c r="K89" s="2" t="s">
        <v>361</v>
      </c>
      <c r="L89" s="2">
        <v>18.510000000000002</v>
      </c>
      <c r="M89" s="2" t="s">
        <v>361</v>
      </c>
      <c r="N89" s="2">
        <v>13.91</v>
      </c>
      <c r="O89" s="2" t="s">
        <v>361</v>
      </c>
      <c r="P89" s="2">
        <v>31.84</v>
      </c>
      <c r="Q89" s="2" t="s">
        <v>361</v>
      </c>
      <c r="R89" s="2">
        <v>24.7</v>
      </c>
      <c r="S89" s="2" t="s">
        <v>361</v>
      </c>
      <c r="T89" s="2">
        <v>17.52</v>
      </c>
      <c r="U89" s="2" t="s">
        <v>361</v>
      </c>
      <c r="V89" s="2">
        <v>5.98</v>
      </c>
      <c r="W89" s="2" t="s">
        <v>361</v>
      </c>
      <c r="X89" s="2">
        <v>120.5</v>
      </c>
      <c r="Y89" s="2" t="s">
        <v>361</v>
      </c>
      <c r="Z89" s="2" t="s">
        <v>81</v>
      </c>
      <c r="AA89" s="2" t="s">
        <v>361</v>
      </c>
      <c r="AB89" s="2">
        <v>23.06</v>
      </c>
      <c r="AC89" s="2" t="s">
        <v>361</v>
      </c>
      <c r="AD89" s="2">
        <v>18.91</v>
      </c>
      <c r="AE89" s="2" t="s">
        <v>361</v>
      </c>
      <c r="AF89" s="2">
        <v>29.7</v>
      </c>
      <c r="AG89" s="2" t="s">
        <v>361</v>
      </c>
      <c r="AH89" s="2">
        <v>48.7</v>
      </c>
      <c r="AI89" s="2" t="s">
        <v>361</v>
      </c>
      <c r="AJ89" s="2">
        <v>44.36</v>
      </c>
      <c r="AK89" s="2" t="s">
        <v>361</v>
      </c>
      <c r="AL89" s="2">
        <v>7.9</v>
      </c>
      <c r="AM89" s="2" t="s">
        <v>361</v>
      </c>
      <c r="AN89" s="2">
        <v>95.89</v>
      </c>
      <c r="AO89" s="2" t="s">
        <v>361</v>
      </c>
      <c r="AP89" s="2">
        <v>119.85</v>
      </c>
      <c r="AQ89" s="2" t="s">
        <v>361</v>
      </c>
      <c r="AR89" s="2">
        <v>11.2</v>
      </c>
      <c r="AS89" s="2" t="s">
        <v>361</v>
      </c>
      <c r="AT89" s="2" t="s">
        <v>362</v>
      </c>
      <c r="AU89" s="2" t="s">
        <v>361</v>
      </c>
      <c r="AV89" s="2">
        <v>145.1</v>
      </c>
      <c r="AW89" s="2" t="s">
        <v>361</v>
      </c>
      <c r="AX89" s="2">
        <v>124.5</v>
      </c>
      <c r="AY89" s="2" t="s">
        <v>361</v>
      </c>
      <c r="AZ89" s="2">
        <v>5.5</v>
      </c>
      <c r="BA89" s="2" t="s">
        <v>361</v>
      </c>
      <c r="BB89" s="2">
        <v>162.57</v>
      </c>
      <c r="BC89" s="2" t="s">
        <v>361</v>
      </c>
      <c r="BD89" s="2" t="s">
        <v>44</v>
      </c>
      <c r="BE89" s="2" t="s">
        <v>361</v>
      </c>
      <c r="BF89" s="2">
        <v>16.5</v>
      </c>
      <c r="BG89" s="2" t="s">
        <v>361</v>
      </c>
      <c r="BH89" s="2">
        <v>36.799999999999997</v>
      </c>
      <c r="BI89" s="2" t="s">
        <v>361</v>
      </c>
      <c r="BJ89" s="2">
        <v>172.7</v>
      </c>
      <c r="BK89" s="2" t="s">
        <v>361</v>
      </c>
      <c r="BL89" s="2">
        <v>25.58</v>
      </c>
      <c r="BM89" s="2" t="s">
        <v>361</v>
      </c>
      <c r="BN89" s="2">
        <v>48.75</v>
      </c>
      <c r="BO89" s="2" t="s">
        <v>361</v>
      </c>
      <c r="BP89" s="2">
        <v>29.6</v>
      </c>
      <c r="BQ89" s="2" t="s">
        <v>361</v>
      </c>
      <c r="BR89" s="2">
        <v>18.16</v>
      </c>
      <c r="BS89" s="2" t="s">
        <v>361</v>
      </c>
      <c r="BT89" s="2">
        <v>11.67</v>
      </c>
      <c r="BU89" s="2" t="s">
        <v>361</v>
      </c>
      <c r="BV89" s="1" t="s">
        <v>926</v>
      </c>
      <c r="BW89" s="1" t="s">
        <v>361</v>
      </c>
      <c r="BX89" s="1" t="s">
        <v>927</v>
      </c>
    </row>
    <row r="90" spans="1:76">
      <c r="A90" s="2" t="s">
        <v>1</v>
      </c>
      <c r="B90" s="2">
        <v>90</v>
      </c>
      <c r="C90" s="2" t="s">
        <v>363</v>
      </c>
      <c r="D90" s="2">
        <v>18.39</v>
      </c>
      <c r="E90" s="2" t="s">
        <v>363</v>
      </c>
      <c r="F90" s="2">
        <v>34.18</v>
      </c>
      <c r="G90" s="2" t="s">
        <v>363</v>
      </c>
      <c r="H90" s="2">
        <v>44.69</v>
      </c>
      <c r="I90" s="2" t="s">
        <v>363</v>
      </c>
      <c r="J90" s="2">
        <v>12.7</v>
      </c>
      <c r="K90" s="2" t="s">
        <v>363</v>
      </c>
      <c r="L90" s="2">
        <v>18.649999999999999</v>
      </c>
      <c r="M90" s="2" t="s">
        <v>363</v>
      </c>
      <c r="N90" s="2">
        <v>13.78</v>
      </c>
      <c r="O90" s="2" t="s">
        <v>363</v>
      </c>
      <c r="P90" s="2">
        <v>31.37</v>
      </c>
      <c r="Q90" s="2" t="s">
        <v>363</v>
      </c>
      <c r="R90" s="2">
        <v>24.82</v>
      </c>
      <c r="S90" s="2" t="s">
        <v>363</v>
      </c>
      <c r="T90" s="2">
        <v>18.05</v>
      </c>
      <c r="U90" s="2" t="s">
        <v>363</v>
      </c>
      <c r="V90" s="2">
        <v>5.96</v>
      </c>
      <c r="W90" s="2" t="s">
        <v>363</v>
      </c>
      <c r="X90" s="2">
        <v>123.5</v>
      </c>
      <c r="Y90" s="2" t="s">
        <v>363</v>
      </c>
      <c r="Z90" s="2" t="s">
        <v>81</v>
      </c>
      <c r="AA90" s="2" t="s">
        <v>363</v>
      </c>
      <c r="AB90" s="2">
        <v>23.25</v>
      </c>
      <c r="AC90" s="2" t="s">
        <v>363</v>
      </c>
      <c r="AD90" s="2">
        <v>18.829999999999998</v>
      </c>
      <c r="AE90" s="2" t="s">
        <v>363</v>
      </c>
      <c r="AF90" s="2">
        <v>29.8</v>
      </c>
      <c r="AG90" s="2" t="s">
        <v>363</v>
      </c>
      <c r="AH90" s="2">
        <v>48.65</v>
      </c>
      <c r="AI90" s="2" t="s">
        <v>363</v>
      </c>
      <c r="AJ90" s="2">
        <v>44.55</v>
      </c>
      <c r="AK90" s="2" t="s">
        <v>363</v>
      </c>
      <c r="AL90" s="2">
        <v>7.81</v>
      </c>
      <c r="AM90" s="2" t="s">
        <v>363</v>
      </c>
      <c r="AN90" s="2">
        <v>97.15</v>
      </c>
      <c r="AO90" s="2" t="s">
        <v>363</v>
      </c>
      <c r="AP90" s="2" t="s">
        <v>103</v>
      </c>
      <c r="AQ90" s="2" t="s">
        <v>363</v>
      </c>
      <c r="AR90" s="2">
        <v>11.19</v>
      </c>
      <c r="AS90" s="2" t="s">
        <v>363</v>
      </c>
      <c r="AT90" s="2" t="s">
        <v>341</v>
      </c>
      <c r="AU90" s="2" t="s">
        <v>363</v>
      </c>
      <c r="AV90" s="2">
        <v>145.35</v>
      </c>
      <c r="AW90" s="2" t="s">
        <v>363</v>
      </c>
      <c r="AX90" s="2">
        <v>125.2</v>
      </c>
      <c r="AY90" s="2" t="s">
        <v>363</v>
      </c>
      <c r="AZ90" s="2">
        <v>5.7</v>
      </c>
      <c r="BA90" s="2" t="s">
        <v>363</v>
      </c>
      <c r="BB90" s="2">
        <v>162.55000000000001</v>
      </c>
      <c r="BC90" s="2" t="s">
        <v>363</v>
      </c>
      <c r="BD90" s="2">
        <v>16.809999999999999</v>
      </c>
      <c r="BE90" s="2" t="s">
        <v>363</v>
      </c>
      <c r="BF90" s="2">
        <v>16.93</v>
      </c>
      <c r="BG90" s="2" t="s">
        <v>363</v>
      </c>
      <c r="BH90" s="2">
        <v>37.130000000000003</v>
      </c>
      <c r="BI90" s="2" t="s">
        <v>363</v>
      </c>
      <c r="BJ90" s="2">
        <v>171.51</v>
      </c>
      <c r="BK90" s="2" t="s">
        <v>363</v>
      </c>
      <c r="BL90" s="2">
        <v>25.52</v>
      </c>
      <c r="BM90" s="2" t="s">
        <v>363</v>
      </c>
      <c r="BN90" s="2">
        <v>47.9</v>
      </c>
      <c r="BO90" s="2" t="s">
        <v>363</v>
      </c>
      <c r="BP90" s="2">
        <v>29.82</v>
      </c>
      <c r="BQ90" s="2" t="s">
        <v>363</v>
      </c>
      <c r="BR90" s="2">
        <v>18.38</v>
      </c>
      <c r="BS90" s="2" t="s">
        <v>363</v>
      </c>
      <c r="BT90" s="2">
        <v>11.53</v>
      </c>
      <c r="BU90" s="2" t="s">
        <v>363</v>
      </c>
      <c r="BV90" s="1" t="s">
        <v>928</v>
      </c>
      <c r="BW90" s="1" t="s">
        <v>363</v>
      </c>
      <c r="BX90" s="1" t="s">
        <v>929</v>
      </c>
    </row>
    <row r="91" spans="1:76">
      <c r="A91" s="2" t="s">
        <v>1</v>
      </c>
      <c r="B91" s="2">
        <v>91</v>
      </c>
      <c r="C91" s="2" t="s">
        <v>364</v>
      </c>
      <c r="D91" s="2">
        <v>18.23</v>
      </c>
      <c r="E91" s="2" t="s">
        <v>364</v>
      </c>
      <c r="F91" s="2" t="s">
        <v>365</v>
      </c>
      <c r="G91" s="2" t="s">
        <v>364</v>
      </c>
      <c r="H91" s="2">
        <v>45.31</v>
      </c>
      <c r="I91" s="2" t="s">
        <v>364</v>
      </c>
      <c r="J91" s="2">
        <v>13.1</v>
      </c>
      <c r="K91" s="2" t="s">
        <v>364</v>
      </c>
      <c r="L91" s="2">
        <v>18.86</v>
      </c>
      <c r="M91" s="2" t="s">
        <v>364</v>
      </c>
      <c r="N91" s="2">
        <v>13.95</v>
      </c>
      <c r="O91" s="2" t="s">
        <v>364</v>
      </c>
      <c r="P91" s="2">
        <v>31.56</v>
      </c>
      <c r="Q91" s="2" t="s">
        <v>364</v>
      </c>
      <c r="R91" s="2">
        <v>24.8</v>
      </c>
      <c r="S91" s="2" t="s">
        <v>364</v>
      </c>
      <c r="T91" s="2">
        <v>18.170000000000002</v>
      </c>
      <c r="U91" s="2" t="s">
        <v>364</v>
      </c>
      <c r="V91" s="2">
        <v>6.01</v>
      </c>
      <c r="W91" s="2" t="s">
        <v>364</v>
      </c>
      <c r="X91" s="2">
        <v>122.98</v>
      </c>
      <c r="Y91" s="2" t="s">
        <v>364</v>
      </c>
      <c r="Z91" s="2">
        <v>28.59</v>
      </c>
      <c r="AA91" s="2" t="s">
        <v>364</v>
      </c>
      <c r="AB91" s="2">
        <v>23.63</v>
      </c>
      <c r="AC91" s="2" t="s">
        <v>364</v>
      </c>
      <c r="AD91" s="2">
        <v>18.920000000000002</v>
      </c>
      <c r="AE91" s="2" t="s">
        <v>364</v>
      </c>
      <c r="AF91" s="2">
        <v>29.7</v>
      </c>
      <c r="AG91" s="2" t="s">
        <v>364</v>
      </c>
      <c r="AH91" s="2">
        <v>48.59</v>
      </c>
      <c r="AI91" s="2" t="s">
        <v>364</v>
      </c>
      <c r="AJ91" s="2">
        <v>44.55</v>
      </c>
      <c r="AK91" s="2" t="s">
        <v>364</v>
      </c>
      <c r="AL91" s="2">
        <v>7.85</v>
      </c>
      <c r="AM91" s="2" t="s">
        <v>364</v>
      </c>
      <c r="AN91" s="2">
        <v>98.99</v>
      </c>
      <c r="AO91" s="2" t="s">
        <v>364</v>
      </c>
      <c r="AP91" s="2">
        <v>123.5</v>
      </c>
      <c r="AQ91" s="2" t="s">
        <v>364</v>
      </c>
      <c r="AR91" s="2">
        <v>11.21</v>
      </c>
      <c r="AS91" s="2" t="s">
        <v>364</v>
      </c>
      <c r="AT91" s="2">
        <v>1218.3</v>
      </c>
      <c r="AU91" s="2" t="s">
        <v>364</v>
      </c>
      <c r="AV91" s="2" t="s">
        <v>108</v>
      </c>
      <c r="AW91" s="2" t="s">
        <v>364</v>
      </c>
      <c r="AX91" s="2">
        <v>125.8</v>
      </c>
      <c r="AY91" s="2" t="s">
        <v>364</v>
      </c>
      <c r="AZ91" s="2">
        <v>6.47</v>
      </c>
      <c r="BA91" s="2" t="s">
        <v>364</v>
      </c>
      <c r="BB91" s="2" t="s">
        <v>59</v>
      </c>
      <c r="BC91" s="2" t="s">
        <v>364</v>
      </c>
      <c r="BD91" s="2">
        <v>17.170000000000002</v>
      </c>
      <c r="BE91" s="2" t="s">
        <v>364</v>
      </c>
      <c r="BF91" s="2">
        <v>17.05</v>
      </c>
      <c r="BG91" s="2" t="s">
        <v>364</v>
      </c>
      <c r="BH91" s="2" t="s">
        <v>367</v>
      </c>
      <c r="BI91" s="2" t="s">
        <v>364</v>
      </c>
      <c r="BJ91" s="2">
        <v>170.66</v>
      </c>
      <c r="BK91" s="2" t="s">
        <v>364</v>
      </c>
      <c r="BL91" s="2">
        <v>25.85</v>
      </c>
      <c r="BM91" s="2" t="s">
        <v>364</v>
      </c>
      <c r="BN91" s="2">
        <v>48.5</v>
      </c>
      <c r="BO91" s="2" t="s">
        <v>364</v>
      </c>
      <c r="BP91" s="2">
        <v>30.08</v>
      </c>
      <c r="BQ91" s="2" t="s">
        <v>364</v>
      </c>
      <c r="BR91" s="2">
        <v>18.5</v>
      </c>
      <c r="BS91" s="2" t="s">
        <v>364</v>
      </c>
      <c r="BT91" s="2">
        <v>11.72</v>
      </c>
      <c r="BU91" s="2" t="s">
        <v>364</v>
      </c>
      <c r="BV91" s="1" t="s">
        <v>930</v>
      </c>
      <c r="BW91" s="1" t="s">
        <v>364</v>
      </c>
      <c r="BX91" s="1" t="s">
        <v>58</v>
      </c>
    </row>
    <row r="92" spans="1:76">
      <c r="A92" s="2" t="s">
        <v>1</v>
      </c>
      <c r="B92" s="2">
        <v>92</v>
      </c>
      <c r="C92" s="2" t="s">
        <v>366</v>
      </c>
      <c r="D92" s="2">
        <v>18.04</v>
      </c>
      <c r="E92" s="2" t="s">
        <v>366</v>
      </c>
      <c r="F92" s="2">
        <v>33.97</v>
      </c>
      <c r="G92" s="2" t="s">
        <v>366</v>
      </c>
      <c r="H92" s="2">
        <v>45.26</v>
      </c>
      <c r="I92" s="2" t="s">
        <v>366</v>
      </c>
      <c r="J92" s="2">
        <v>13.16</v>
      </c>
      <c r="K92" s="2" t="s">
        <v>366</v>
      </c>
      <c r="L92" s="2">
        <v>18.97</v>
      </c>
      <c r="M92" s="2" t="s">
        <v>366</v>
      </c>
      <c r="N92" s="2">
        <v>13.71</v>
      </c>
      <c r="O92" s="2" t="s">
        <v>366</v>
      </c>
      <c r="P92" s="2">
        <v>31.17</v>
      </c>
      <c r="Q92" s="2" t="s">
        <v>366</v>
      </c>
      <c r="R92" s="2">
        <v>24.55</v>
      </c>
      <c r="S92" s="2" t="s">
        <v>366</v>
      </c>
      <c r="T92" s="2">
        <v>17.59</v>
      </c>
      <c r="U92" s="2" t="s">
        <v>366</v>
      </c>
      <c r="V92" s="2">
        <v>6.05</v>
      </c>
      <c r="W92" s="2" t="s">
        <v>366</v>
      </c>
      <c r="X92" s="2">
        <v>124.03</v>
      </c>
      <c r="Y92" s="2" t="s">
        <v>366</v>
      </c>
      <c r="Z92" s="2">
        <v>28.88</v>
      </c>
      <c r="AA92" s="2" t="s">
        <v>366</v>
      </c>
      <c r="AB92" s="2">
        <v>23.57</v>
      </c>
      <c r="AC92" s="2" t="s">
        <v>366</v>
      </c>
      <c r="AD92" s="2">
        <v>19.13</v>
      </c>
      <c r="AE92" s="2" t="s">
        <v>366</v>
      </c>
      <c r="AF92" s="2">
        <v>29.01</v>
      </c>
      <c r="AG92" s="2" t="s">
        <v>366</v>
      </c>
      <c r="AH92" s="2">
        <v>47.2</v>
      </c>
      <c r="AI92" s="2" t="s">
        <v>366</v>
      </c>
      <c r="AJ92" s="2">
        <v>44.5</v>
      </c>
      <c r="AK92" s="2" t="s">
        <v>366</v>
      </c>
      <c r="AL92" s="2">
        <v>7.89</v>
      </c>
      <c r="AM92" s="2" t="s">
        <v>366</v>
      </c>
      <c r="AN92" s="2">
        <v>99.29</v>
      </c>
      <c r="AO92" s="2" t="s">
        <v>366</v>
      </c>
      <c r="AP92" s="2" t="s">
        <v>369</v>
      </c>
      <c r="AQ92" s="2" t="s">
        <v>366</v>
      </c>
      <c r="AR92" s="2">
        <v>11.2</v>
      </c>
      <c r="AS92" s="2" t="s">
        <v>366</v>
      </c>
      <c r="AT92" s="2">
        <v>1223.99</v>
      </c>
      <c r="AU92" s="2" t="s">
        <v>366</v>
      </c>
      <c r="AV92" s="2">
        <v>143.5</v>
      </c>
      <c r="AW92" s="2" t="s">
        <v>366</v>
      </c>
      <c r="AX92" s="2">
        <v>126.99</v>
      </c>
      <c r="AY92" s="2" t="s">
        <v>366</v>
      </c>
      <c r="AZ92" s="2">
        <v>6.12</v>
      </c>
      <c r="BA92" s="2" t="s">
        <v>366</v>
      </c>
      <c r="BB92" s="2">
        <v>162.19</v>
      </c>
      <c r="BC92" s="2" t="s">
        <v>366</v>
      </c>
      <c r="BD92" s="2">
        <v>17.260000000000002</v>
      </c>
      <c r="BE92" s="2" t="s">
        <v>366</v>
      </c>
      <c r="BF92" s="2">
        <v>17.34</v>
      </c>
      <c r="BG92" s="2" t="s">
        <v>366</v>
      </c>
      <c r="BH92" s="2">
        <v>37.75</v>
      </c>
      <c r="BI92" s="2" t="s">
        <v>366</v>
      </c>
      <c r="BJ92" s="2" t="s">
        <v>370</v>
      </c>
      <c r="BK92" s="2" t="s">
        <v>366</v>
      </c>
      <c r="BL92" s="2">
        <v>25.5</v>
      </c>
      <c r="BM92" s="2" t="s">
        <v>366</v>
      </c>
      <c r="BN92" s="2">
        <v>48.38</v>
      </c>
      <c r="BO92" s="2" t="s">
        <v>366</v>
      </c>
      <c r="BP92" s="2">
        <v>30.39</v>
      </c>
      <c r="BQ92" s="2" t="s">
        <v>366</v>
      </c>
      <c r="BR92" s="2">
        <v>18.5</v>
      </c>
      <c r="BS92" s="2" t="s">
        <v>366</v>
      </c>
      <c r="BT92" s="2">
        <v>11.71</v>
      </c>
      <c r="BU92" s="2" t="s">
        <v>366</v>
      </c>
      <c r="BV92" s="1" t="s">
        <v>931</v>
      </c>
      <c r="BW92" s="1" t="s">
        <v>366</v>
      </c>
      <c r="BX92" s="1" t="s">
        <v>932</v>
      </c>
    </row>
    <row r="93" spans="1:76">
      <c r="A93" s="2" t="s">
        <v>1</v>
      </c>
      <c r="B93" s="2">
        <v>93</v>
      </c>
      <c r="C93" s="2" t="s">
        <v>368</v>
      </c>
      <c r="D93" s="2">
        <v>18.649999999999999</v>
      </c>
      <c r="E93" s="2" t="s">
        <v>368</v>
      </c>
      <c r="F93" s="2">
        <v>34.32</v>
      </c>
      <c r="G93" s="2" t="s">
        <v>368</v>
      </c>
      <c r="H93" s="2">
        <v>45.98</v>
      </c>
      <c r="I93" s="2" t="s">
        <v>368</v>
      </c>
      <c r="J93" s="2">
        <v>13.15</v>
      </c>
      <c r="K93" s="2" t="s">
        <v>368</v>
      </c>
      <c r="L93" s="2">
        <v>18.899999999999999</v>
      </c>
      <c r="M93" s="2" t="s">
        <v>368</v>
      </c>
      <c r="N93" s="2">
        <v>13.76</v>
      </c>
      <c r="O93" s="2" t="s">
        <v>368</v>
      </c>
      <c r="P93" s="2">
        <v>31.19</v>
      </c>
      <c r="Q93" s="2" t="s">
        <v>368</v>
      </c>
      <c r="R93" s="2">
        <v>24.74</v>
      </c>
      <c r="S93" s="2" t="s">
        <v>368</v>
      </c>
      <c r="T93" s="2">
        <v>18.25</v>
      </c>
      <c r="U93" s="2" t="s">
        <v>368</v>
      </c>
      <c r="V93" s="2">
        <v>6.13</v>
      </c>
      <c r="W93" s="2" t="s">
        <v>368</v>
      </c>
      <c r="X93" s="2" t="s">
        <v>102</v>
      </c>
      <c r="Y93" s="2" t="s">
        <v>368</v>
      </c>
      <c r="Z93" s="2">
        <v>28.66</v>
      </c>
      <c r="AA93" s="2" t="s">
        <v>368</v>
      </c>
      <c r="AB93" s="2">
        <v>23.46</v>
      </c>
      <c r="AC93" s="2" t="s">
        <v>368</v>
      </c>
      <c r="AD93" s="2">
        <v>19.059999999999999</v>
      </c>
      <c r="AE93" s="2" t="s">
        <v>368</v>
      </c>
      <c r="AF93" s="2">
        <v>29.74</v>
      </c>
      <c r="AG93" s="2" t="s">
        <v>368</v>
      </c>
      <c r="AH93" s="2">
        <v>48.44</v>
      </c>
      <c r="AI93" s="2" t="s">
        <v>368</v>
      </c>
      <c r="AJ93" s="2">
        <v>44.26</v>
      </c>
      <c r="AK93" s="2" t="s">
        <v>368</v>
      </c>
      <c r="AL93" s="2">
        <v>8.06</v>
      </c>
      <c r="AM93" s="2" t="s">
        <v>368</v>
      </c>
      <c r="AN93" s="2">
        <v>100.22</v>
      </c>
      <c r="AO93" s="2" t="s">
        <v>368</v>
      </c>
      <c r="AP93" s="2">
        <v>124.18</v>
      </c>
      <c r="AQ93" s="2" t="s">
        <v>368</v>
      </c>
      <c r="AR93" s="2">
        <v>11.2</v>
      </c>
      <c r="AS93" s="2" t="s">
        <v>368</v>
      </c>
      <c r="AT93" s="2">
        <v>1219.95</v>
      </c>
      <c r="AU93" s="2" t="s">
        <v>368</v>
      </c>
      <c r="AV93" s="2">
        <v>146.69</v>
      </c>
      <c r="AW93" s="2" t="s">
        <v>368</v>
      </c>
      <c r="AX93" s="2">
        <v>125.97</v>
      </c>
      <c r="AY93" s="2" t="s">
        <v>368</v>
      </c>
      <c r="AZ93" s="2">
        <v>6.13</v>
      </c>
      <c r="BA93" s="2" t="s">
        <v>368</v>
      </c>
      <c r="BB93" s="2">
        <v>162.1</v>
      </c>
      <c r="BC93" s="2" t="s">
        <v>368</v>
      </c>
      <c r="BD93" s="2">
        <v>17.8</v>
      </c>
      <c r="BE93" s="2" t="s">
        <v>368</v>
      </c>
      <c r="BF93" s="2">
        <v>17.39</v>
      </c>
      <c r="BG93" s="2" t="s">
        <v>368</v>
      </c>
      <c r="BH93" s="2">
        <v>38.1</v>
      </c>
      <c r="BI93" s="2" t="s">
        <v>368</v>
      </c>
      <c r="BJ93" s="2">
        <v>170.5</v>
      </c>
      <c r="BK93" s="2" t="s">
        <v>368</v>
      </c>
      <c r="BL93" s="2">
        <v>25.88</v>
      </c>
      <c r="BM93" s="2" t="s">
        <v>368</v>
      </c>
      <c r="BN93" s="2">
        <v>49.2</v>
      </c>
      <c r="BO93" s="2" t="s">
        <v>368</v>
      </c>
      <c r="BP93" s="2">
        <v>30.43</v>
      </c>
      <c r="BQ93" s="2" t="s">
        <v>368</v>
      </c>
      <c r="BR93" s="2">
        <v>18.82</v>
      </c>
      <c r="BS93" s="2" t="s">
        <v>368</v>
      </c>
      <c r="BT93" s="2">
        <v>11.8</v>
      </c>
      <c r="BU93" s="2" t="s">
        <v>368</v>
      </c>
      <c r="BV93" s="1" t="s">
        <v>933</v>
      </c>
      <c r="BW93" s="1" t="s">
        <v>368</v>
      </c>
      <c r="BX93" s="1" t="s">
        <v>934</v>
      </c>
    </row>
    <row r="94" spans="1:76">
      <c r="A94" s="2" t="s">
        <v>1</v>
      </c>
      <c r="B94" s="2">
        <v>94</v>
      </c>
      <c r="C94" s="2" t="s">
        <v>371</v>
      </c>
      <c r="D94" s="2">
        <v>18.48</v>
      </c>
      <c r="E94" s="2" t="s">
        <v>371</v>
      </c>
      <c r="F94" s="2">
        <v>33.619999999999997</v>
      </c>
      <c r="G94" s="2" t="s">
        <v>371</v>
      </c>
      <c r="H94" s="2">
        <v>46.01</v>
      </c>
      <c r="I94" s="2" t="s">
        <v>371</v>
      </c>
      <c r="J94" s="2">
        <v>13.35</v>
      </c>
      <c r="K94" s="2" t="s">
        <v>371</v>
      </c>
      <c r="L94" s="2" t="s">
        <v>46</v>
      </c>
      <c r="M94" s="2" t="s">
        <v>371</v>
      </c>
      <c r="N94" s="2">
        <v>13.9</v>
      </c>
      <c r="O94" s="2" t="s">
        <v>371</v>
      </c>
      <c r="P94" s="2">
        <v>31.33</v>
      </c>
      <c r="Q94" s="2" t="s">
        <v>371</v>
      </c>
      <c r="R94" s="2">
        <v>24.88</v>
      </c>
      <c r="S94" s="2" t="s">
        <v>371</v>
      </c>
      <c r="T94" s="2">
        <v>19.100000000000001</v>
      </c>
      <c r="U94" s="2" t="s">
        <v>371</v>
      </c>
      <c r="V94" s="2">
        <v>6.02</v>
      </c>
      <c r="W94" s="2" t="s">
        <v>371</v>
      </c>
      <c r="X94" s="2">
        <v>118.97</v>
      </c>
      <c r="Y94" s="2" t="s">
        <v>371</v>
      </c>
      <c r="Z94" s="2" t="s">
        <v>77</v>
      </c>
      <c r="AA94" s="2" t="s">
        <v>371</v>
      </c>
      <c r="AB94" s="2">
        <v>23.31</v>
      </c>
      <c r="AC94" s="2" t="s">
        <v>371</v>
      </c>
      <c r="AD94" s="2">
        <v>19.399999999999999</v>
      </c>
      <c r="AE94" s="2" t="s">
        <v>371</v>
      </c>
      <c r="AF94" s="2">
        <v>30.48</v>
      </c>
      <c r="AG94" s="2" t="s">
        <v>371</v>
      </c>
      <c r="AH94" s="2">
        <v>49.82</v>
      </c>
      <c r="AI94" s="2" t="s">
        <v>371</v>
      </c>
      <c r="AJ94" s="2">
        <v>45.2</v>
      </c>
      <c r="AK94" s="2" t="s">
        <v>371</v>
      </c>
      <c r="AL94" s="2">
        <v>8.09</v>
      </c>
      <c r="AM94" s="2" t="s">
        <v>371</v>
      </c>
      <c r="AN94" s="2">
        <v>102.9</v>
      </c>
      <c r="AO94" s="2" t="s">
        <v>371</v>
      </c>
      <c r="AP94" s="2">
        <v>125.4</v>
      </c>
      <c r="AQ94" s="2" t="s">
        <v>371</v>
      </c>
      <c r="AR94" s="2">
        <v>11.24</v>
      </c>
      <c r="AS94" s="2" t="s">
        <v>371</v>
      </c>
      <c r="AT94" s="2" t="s">
        <v>362</v>
      </c>
      <c r="AU94" s="2" t="s">
        <v>371</v>
      </c>
      <c r="AV94" s="2">
        <v>145.25</v>
      </c>
      <c r="AW94" s="2" t="s">
        <v>371</v>
      </c>
      <c r="AX94" s="2">
        <v>125.27</v>
      </c>
      <c r="AY94" s="2" t="s">
        <v>371</v>
      </c>
      <c r="AZ94" s="2">
        <v>6.1</v>
      </c>
      <c r="BA94" s="2" t="s">
        <v>371</v>
      </c>
      <c r="BB94" s="2">
        <v>163.6</v>
      </c>
      <c r="BC94" s="2" t="s">
        <v>371</v>
      </c>
      <c r="BD94" s="2">
        <v>17.55</v>
      </c>
      <c r="BE94" s="2" t="s">
        <v>371</v>
      </c>
      <c r="BF94" s="2">
        <v>17.25</v>
      </c>
      <c r="BG94" s="2" t="s">
        <v>371</v>
      </c>
      <c r="BH94" s="2">
        <v>36.99</v>
      </c>
      <c r="BI94" s="2" t="s">
        <v>371</v>
      </c>
      <c r="BJ94" s="2">
        <v>172.8</v>
      </c>
      <c r="BK94" s="2" t="s">
        <v>371</v>
      </c>
      <c r="BL94" s="2">
        <v>26.13</v>
      </c>
      <c r="BM94" s="2" t="s">
        <v>371</v>
      </c>
      <c r="BN94" s="2">
        <v>49.27</v>
      </c>
      <c r="BO94" s="2" t="s">
        <v>371</v>
      </c>
      <c r="BP94" s="2">
        <v>30.36</v>
      </c>
      <c r="BQ94" s="2" t="s">
        <v>371</v>
      </c>
      <c r="BR94" s="2">
        <v>19.36</v>
      </c>
      <c r="BS94" s="2" t="s">
        <v>371</v>
      </c>
      <c r="BT94" s="2">
        <v>11.88</v>
      </c>
      <c r="BU94" s="2" t="s">
        <v>371</v>
      </c>
      <c r="BV94" s="1" t="s">
        <v>935</v>
      </c>
      <c r="BW94" s="1" t="s">
        <v>371</v>
      </c>
      <c r="BX94" s="1" t="s">
        <v>936</v>
      </c>
    </row>
    <row r="95" spans="1:76">
      <c r="A95" s="2" t="s">
        <v>1</v>
      </c>
      <c r="B95" s="2">
        <v>95</v>
      </c>
      <c r="C95" s="2" t="s">
        <v>372</v>
      </c>
      <c r="D95" s="2">
        <v>18.16</v>
      </c>
      <c r="E95" s="2" t="s">
        <v>372</v>
      </c>
      <c r="F95" s="2">
        <v>34.450000000000003</v>
      </c>
      <c r="G95" s="2" t="s">
        <v>372</v>
      </c>
      <c r="H95" s="2">
        <v>45.97</v>
      </c>
      <c r="I95" s="2" t="s">
        <v>372</v>
      </c>
      <c r="J95" s="2">
        <v>13.2</v>
      </c>
      <c r="K95" s="2" t="s">
        <v>372</v>
      </c>
      <c r="L95" s="2">
        <v>18.8</v>
      </c>
      <c r="M95" s="2" t="s">
        <v>372</v>
      </c>
      <c r="N95" s="2">
        <v>14.07</v>
      </c>
      <c r="O95" s="2" t="s">
        <v>372</v>
      </c>
      <c r="P95" s="2">
        <v>31.73</v>
      </c>
      <c r="Q95" s="2" t="s">
        <v>372</v>
      </c>
      <c r="R95" s="2">
        <v>24.54</v>
      </c>
      <c r="S95" s="2" t="s">
        <v>372</v>
      </c>
      <c r="T95" s="2">
        <v>18.73</v>
      </c>
      <c r="U95" s="2" t="s">
        <v>372</v>
      </c>
      <c r="V95" s="2">
        <v>5.93</v>
      </c>
      <c r="W95" s="2" t="s">
        <v>372</v>
      </c>
      <c r="X95" s="2">
        <v>119.18</v>
      </c>
      <c r="Y95" s="2" t="s">
        <v>372</v>
      </c>
      <c r="Z95" s="2">
        <v>28.87</v>
      </c>
      <c r="AA95" s="2" t="s">
        <v>372</v>
      </c>
      <c r="AB95" s="2">
        <v>23.1</v>
      </c>
      <c r="AC95" s="2" t="s">
        <v>372</v>
      </c>
      <c r="AD95" s="2">
        <v>18.87</v>
      </c>
      <c r="AE95" s="2" t="s">
        <v>372</v>
      </c>
      <c r="AF95" s="2">
        <v>29.91</v>
      </c>
      <c r="AG95" s="2" t="s">
        <v>372</v>
      </c>
      <c r="AH95" s="2">
        <v>49.87</v>
      </c>
      <c r="AI95" s="2" t="s">
        <v>372</v>
      </c>
      <c r="AJ95" s="2">
        <v>44.7</v>
      </c>
      <c r="AK95" s="2" t="s">
        <v>372</v>
      </c>
      <c r="AL95" s="2">
        <v>7.84</v>
      </c>
      <c r="AM95" s="2" t="s">
        <v>372</v>
      </c>
      <c r="AN95" s="2">
        <v>104.01</v>
      </c>
      <c r="AO95" s="2" t="s">
        <v>372</v>
      </c>
      <c r="AP95" s="2">
        <v>123.05</v>
      </c>
      <c r="AQ95" s="2" t="s">
        <v>372</v>
      </c>
      <c r="AR95" s="2">
        <v>11.4</v>
      </c>
      <c r="AS95" s="2" t="s">
        <v>372</v>
      </c>
      <c r="AT95" s="2" t="s">
        <v>373</v>
      </c>
      <c r="AU95" s="2" t="s">
        <v>372</v>
      </c>
      <c r="AV95" s="2">
        <v>142.44</v>
      </c>
      <c r="AW95" s="2" t="s">
        <v>372</v>
      </c>
      <c r="AX95" s="2" t="s">
        <v>375</v>
      </c>
      <c r="AY95" s="2" t="s">
        <v>372</v>
      </c>
      <c r="AZ95" s="2">
        <v>6.01</v>
      </c>
      <c r="BA95" s="2" t="s">
        <v>372</v>
      </c>
      <c r="BB95" s="2">
        <v>165.65</v>
      </c>
      <c r="BC95" s="2" t="s">
        <v>372</v>
      </c>
      <c r="BD95" s="2">
        <v>17.47</v>
      </c>
      <c r="BE95" s="2" t="s">
        <v>372</v>
      </c>
      <c r="BF95" s="2">
        <v>17.100000000000001</v>
      </c>
      <c r="BG95" s="2" t="s">
        <v>372</v>
      </c>
      <c r="BH95" s="2">
        <v>36.69</v>
      </c>
      <c r="BI95" s="2" t="s">
        <v>372</v>
      </c>
      <c r="BJ95" s="2" t="s">
        <v>359</v>
      </c>
      <c r="BK95" s="2" t="s">
        <v>372</v>
      </c>
      <c r="BL95" s="2">
        <v>26.74</v>
      </c>
      <c r="BM95" s="2" t="s">
        <v>372</v>
      </c>
      <c r="BN95" s="2">
        <v>49.3</v>
      </c>
      <c r="BO95" s="2" t="s">
        <v>372</v>
      </c>
      <c r="BP95" s="2">
        <v>29.65</v>
      </c>
      <c r="BQ95" s="2" t="s">
        <v>372</v>
      </c>
      <c r="BR95" s="2">
        <v>19.03</v>
      </c>
      <c r="BS95" s="2" t="s">
        <v>372</v>
      </c>
      <c r="BT95" s="2">
        <v>11.9</v>
      </c>
      <c r="BU95" s="2" t="s">
        <v>372</v>
      </c>
      <c r="BV95" s="1" t="s">
        <v>937</v>
      </c>
      <c r="BW95" s="1" t="s">
        <v>372</v>
      </c>
      <c r="BX95" s="1" t="s">
        <v>938</v>
      </c>
    </row>
    <row r="96" spans="1:76">
      <c r="A96" s="2" t="s">
        <v>1</v>
      </c>
      <c r="B96" s="2">
        <v>96</v>
      </c>
      <c r="C96" s="2" t="s">
        <v>374</v>
      </c>
      <c r="D96" s="2">
        <v>18.670000000000002</v>
      </c>
      <c r="E96" s="2" t="s">
        <v>374</v>
      </c>
      <c r="F96" s="2">
        <v>35.369999999999997</v>
      </c>
      <c r="G96" s="2" t="s">
        <v>374</v>
      </c>
      <c r="H96" s="2">
        <v>46.02</v>
      </c>
      <c r="I96" s="2" t="s">
        <v>374</v>
      </c>
      <c r="J96" s="2">
        <v>13.1</v>
      </c>
      <c r="K96" s="2" t="s">
        <v>374</v>
      </c>
      <c r="L96" s="2">
        <v>18.87</v>
      </c>
      <c r="M96" s="2" t="s">
        <v>374</v>
      </c>
      <c r="N96" s="2">
        <v>13.96</v>
      </c>
      <c r="O96" s="2" t="s">
        <v>374</v>
      </c>
      <c r="P96" s="2">
        <v>31.73</v>
      </c>
      <c r="Q96" s="2" t="s">
        <v>374</v>
      </c>
      <c r="R96" s="2">
        <v>24.5</v>
      </c>
      <c r="S96" s="2" t="s">
        <v>374</v>
      </c>
      <c r="T96" s="2">
        <v>18.7</v>
      </c>
      <c r="U96" s="2" t="s">
        <v>374</v>
      </c>
      <c r="V96" s="2">
        <v>6.08</v>
      </c>
      <c r="W96" s="2" t="s">
        <v>374</v>
      </c>
      <c r="X96" s="2">
        <v>119.9</v>
      </c>
      <c r="Y96" s="2" t="s">
        <v>374</v>
      </c>
      <c r="Z96" s="2">
        <v>28.74</v>
      </c>
      <c r="AA96" s="2" t="s">
        <v>374</v>
      </c>
      <c r="AB96" s="2">
        <v>23.22</v>
      </c>
      <c r="AC96" s="2" t="s">
        <v>374</v>
      </c>
      <c r="AD96" s="2" t="s">
        <v>46</v>
      </c>
      <c r="AE96" s="2" t="s">
        <v>374</v>
      </c>
      <c r="AF96" s="2" t="s">
        <v>58</v>
      </c>
      <c r="AG96" s="2" t="s">
        <v>374</v>
      </c>
      <c r="AH96" s="2">
        <v>49.69</v>
      </c>
      <c r="AI96" s="2" t="s">
        <v>374</v>
      </c>
      <c r="AJ96" s="2">
        <v>45.3</v>
      </c>
      <c r="AK96" s="2" t="s">
        <v>374</v>
      </c>
      <c r="AL96" s="2">
        <v>7.9</v>
      </c>
      <c r="AM96" s="2" t="s">
        <v>374</v>
      </c>
      <c r="AN96" s="2">
        <v>103.8</v>
      </c>
      <c r="AO96" s="2" t="s">
        <v>374</v>
      </c>
      <c r="AP96" s="2">
        <v>126.03</v>
      </c>
      <c r="AQ96" s="2" t="s">
        <v>374</v>
      </c>
      <c r="AR96" s="2">
        <v>11.49</v>
      </c>
      <c r="AS96" s="2" t="s">
        <v>374</v>
      </c>
      <c r="AT96" s="2">
        <v>1238.98</v>
      </c>
      <c r="AU96" s="2" t="s">
        <v>374</v>
      </c>
      <c r="AV96" s="2">
        <v>143.44999999999999</v>
      </c>
      <c r="AW96" s="2" t="s">
        <v>374</v>
      </c>
      <c r="AX96" s="2">
        <v>125.45</v>
      </c>
      <c r="AY96" s="2" t="s">
        <v>374</v>
      </c>
      <c r="AZ96" s="2">
        <v>5.99</v>
      </c>
      <c r="BA96" s="2" t="s">
        <v>374</v>
      </c>
      <c r="BB96" s="2">
        <v>166.84</v>
      </c>
      <c r="BC96" s="2" t="s">
        <v>374</v>
      </c>
      <c r="BD96" s="2">
        <v>17.739999999999998</v>
      </c>
      <c r="BE96" s="2" t="s">
        <v>374</v>
      </c>
      <c r="BF96" s="2">
        <v>17.25</v>
      </c>
      <c r="BG96" s="2" t="s">
        <v>374</v>
      </c>
      <c r="BH96" s="2">
        <v>36.67</v>
      </c>
      <c r="BI96" s="2" t="s">
        <v>374</v>
      </c>
      <c r="BJ96" s="2">
        <v>169.7</v>
      </c>
      <c r="BK96" s="2" t="s">
        <v>374</v>
      </c>
      <c r="BL96" s="2">
        <v>27.17</v>
      </c>
      <c r="BM96" s="2" t="s">
        <v>374</v>
      </c>
      <c r="BN96" s="2">
        <v>48.9</v>
      </c>
      <c r="BO96" s="2" t="s">
        <v>374</v>
      </c>
      <c r="BP96" s="2">
        <v>29.71</v>
      </c>
      <c r="BQ96" s="2" t="s">
        <v>374</v>
      </c>
      <c r="BR96" s="2">
        <v>19.16</v>
      </c>
      <c r="BS96" s="2" t="s">
        <v>374</v>
      </c>
      <c r="BT96" s="2">
        <v>12.12</v>
      </c>
      <c r="BU96" s="2" t="s">
        <v>374</v>
      </c>
      <c r="BV96" s="1" t="s">
        <v>939</v>
      </c>
      <c r="BW96" s="1" t="s">
        <v>374</v>
      </c>
      <c r="BX96" s="1" t="s">
        <v>940</v>
      </c>
    </row>
    <row r="97" spans="1:76">
      <c r="A97" s="2" t="s">
        <v>1</v>
      </c>
      <c r="B97" s="2">
        <v>97</v>
      </c>
      <c r="C97" s="2" t="s">
        <v>376</v>
      </c>
      <c r="D97" s="2">
        <v>18.45</v>
      </c>
      <c r="E97" s="2" t="s">
        <v>376</v>
      </c>
      <c r="F97" s="2">
        <v>35.46</v>
      </c>
      <c r="G97" s="2" t="s">
        <v>376</v>
      </c>
      <c r="H97" s="2">
        <v>46.25</v>
      </c>
      <c r="I97" s="2" t="s">
        <v>376</v>
      </c>
      <c r="J97" s="2">
        <v>13.39</v>
      </c>
      <c r="K97" s="2" t="s">
        <v>376</v>
      </c>
      <c r="L97" s="2">
        <v>18.98</v>
      </c>
      <c r="M97" s="2" t="s">
        <v>376</v>
      </c>
      <c r="N97" s="2">
        <v>13.94</v>
      </c>
      <c r="O97" s="2" t="s">
        <v>376</v>
      </c>
      <c r="P97" s="2">
        <v>31.89</v>
      </c>
      <c r="Q97" s="2" t="s">
        <v>376</v>
      </c>
      <c r="R97" s="2">
        <v>24.73</v>
      </c>
      <c r="S97" s="2" t="s">
        <v>376</v>
      </c>
      <c r="T97" s="2">
        <v>18.55</v>
      </c>
      <c r="U97" s="2" t="s">
        <v>376</v>
      </c>
      <c r="V97" s="2">
        <v>6.03</v>
      </c>
      <c r="W97" s="2" t="s">
        <v>376</v>
      </c>
      <c r="X97" s="2">
        <v>120.4</v>
      </c>
      <c r="Y97" s="2" t="s">
        <v>376</v>
      </c>
      <c r="Z97" s="2">
        <v>28.86</v>
      </c>
      <c r="AA97" s="2" t="s">
        <v>376</v>
      </c>
      <c r="AB97" s="2">
        <v>23.36</v>
      </c>
      <c r="AC97" s="2" t="s">
        <v>376</v>
      </c>
      <c r="AD97" s="2">
        <v>19.100000000000001</v>
      </c>
      <c r="AE97" s="2" t="s">
        <v>376</v>
      </c>
      <c r="AF97" s="2">
        <v>30.49</v>
      </c>
      <c r="AG97" s="2" t="s">
        <v>376</v>
      </c>
      <c r="AH97" s="2">
        <v>50.11</v>
      </c>
      <c r="AI97" s="2" t="s">
        <v>376</v>
      </c>
      <c r="AJ97" s="2">
        <v>44.76</v>
      </c>
      <c r="AK97" s="2" t="s">
        <v>376</v>
      </c>
      <c r="AL97" s="2">
        <v>8.0399999999999991</v>
      </c>
      <c r="AM97" s="2" t="s">
        <v>376</v>
      </c>
      <c r="AN97" s="2">
        <v>103.99</v>
      </c>
      <c r="AO97" s="2" t="s">
        <v>376</v>
      </c>
      <c r="AP97" s="2">
        <v>126.96</v>
      </c>
      <c r="AQ97" s="2" t="s">
        <v>376</v>
      </c>
      <c r="AR97" s="2">
        <v>11.59</v>
      </c>
      <c r="AS97" s="2" t="s">
        <v>376</v>
      </c>
      <c r="AT97" s="2" t="s">
        <v>200</v>
      </c>
      <c r="AU97" s="2" t="s">
        <v>376</v>
      </c>
      <c r="AV97" s="2">
        <v>143.4</v>
      </c>
      <c r="AW97" s="2" t="s">
        <v>376</v>
      </c>
      <c r="AX97" s="2">
        <v>125.49</v>
      </c>
      <c r="AY97" s="2" t="s">
        <v>376</v>
      </c>
      <c r="AZ97" s="2">
        <v>5.52</v>
      </c>
      <c r="BA97" s="2" t="s">
        <v>376</v>
      </c>
      <c r="BB97" s="2" t="s">
        <v>359</v>
      </c>
      <c r="BC97" s="2" t="s">
        <v>376</v>
      </c>
      <c r="BD97" s="2">
        <v>18.3</v>
      </c>
      <c r="BE97" s="2" t="s">
        <v>376</v>
      </c>
      <c r="BF97" s="2">
        <v>17.149999999999999</v>
      </c>
      <c r="BG97" s="2" t="s">
        <v>376</v>
      </c>
      <c r="BH97" s="2">
        <v>37.15</v>
      </c>
      <c r="BI97" s="2" t="s">
        <v>376</v>
      </c>
      <c r="BJ97" s="2">
        <v>169.75</v>
      </c>
      <c r="BK97" s="2" t="s">
        <v>376</v>
      </c>
      <c r="BL97" s="2">
        <v>28.09</v>
      </c>
      <c r="BM97" s="2" t="s">
        <v>376</v>
      </c>
      <c r="BN97" s="2">
        <v>49.4</v>
      </c>
      <c r="BO97" s="2" t="s">
        <v>376</v>
      </c>
      <c r="BP97" s="2">
        <v>30.9</v>
      </c>
      <c r="BQ97" s="2" t="s">
        <v>376</v>
      </c>
      <c r="BR97" s="2">
        <v>19.73</v>
      </c>
      <c r="BS97" s="2" t="s">
        <v>376</v>
      </c>
      <c r="BT97" s="2">
        <v>12.28</v>
      </c>
      <c r="BU97" s="2" t="s">
        <v>376</v>
      </c>
      <c r="BV97" s="1" t="s">
        <v>941</v>
      </c>
      <c r="BW97" s="1" t="s">
        <v>376</v>
      </c>
      <c r="BX97" s="1" t="s">
        <v>942</v>
      </c>
    </row>
    <row r="98" spans="1:76">
      <c r="A98" s="2" t="s">
        <v>1</v>
      </c>
      <c r="B98" s="2">
        <v>98</v>
      </c>
      <c r="C98" s="2" t="s">
        <v>377</v>
      </c>
      <c r="D98" s="2">
        <v>18.43</v>
      </c>
      <c r="E98" s="2" t="s">
        <v>377</v>
      </c>
      <c r="F98" s="2">
        <v>34.69</v>
      </c>
      <c r="G98" s="2" t="s">
        <v>377</v>
      </c>
      <c r="H98" s="2">
        <v>45.2</v>
      </c>
      <c r="I98" s="2" t="s">
        <v>377</v>
      </c>
      <c r="J98" s="2">
        <v>13.1</v>
      </c>
      <c r="K98" s="2" t="s">
        <v>377</v>
      </c>
      <c r="L98" s="2">
        <v>18.77</v>
      </c>
      <c r="M98" s="2" t="s">
        <v>377</v>
      </c>
      <c r="N98" s="2">
        <v>13.76</v>
      </c>
      <c r="O98" s="2" t="s">
        <v>377</v>
      </c>
      <c r="P98" s="2">
        <v>31.36</v>
      </c>
      <c r="Q98" s="2" t="s">
        <v>377</v>
      </c>
      <c r="R98" s="2">
        <v>24.66</v>
      </c>
      <c r="S98" s="2" t="s">
        <v>377</v>
      </c>
      <c r="T98" s="2">
        <v>18.02</v>
      </c>
      <c r="U98" s="2" t="s">
        <v>377</v>
      </c>
      <c r="V98" s="2">
        <v>5.97</v>
      </c>
      <c r="W98" s="2" t="s">
        <v>377</v>
      </c>
      <c r="X98" s="2">
        <v>121.5</v>
      </c>
      <c r="Y98" s="2" t="s">
        <v>377</v>
      </c>
      <c r="Z98" s="2">
        <v>28.21</v>
      </c>
      <c r="AA98" s="2" t="s">
        <v>377</v>
      </c>
      <c r="AB98" s="2">
        <v>23.45</v>
      </c>
      <c r="AC98" s="2" t="s">
        <v>377</v>
      </c>
      <c r="AD98" s="2">
        <v>19.739999999999998</v>
      </c>
      <c r="AE98" s="2" t="s">
        <v>377</v>
      </c>
      <c r="AF98" s="2">
        <v>29.53</v>
      </c>
      <c r="AG98" s="2" t="s">
        <v>377</v>
      </c>
      <c r="AH98" s="2">
        <v>49.18</v>
      </c>
      <c r="AI98" s="2" t="s">
        <v>377</v>
      </c>
      <c r="AJ98" s="2" t="s">
        <v>83</v>
      </c>
      <c r="AK98" s="2" t="s">
        <v>377</v>
      </c>
      <c r="AL98" s="2">
        <v>7.83</v>
      </c>
      <c r="AM98" s="2" t="s">
        <v>377</v>
      </c>
      <c r="AN98" s="2">
        <v>102.2</v>
      </c>
      <c r="AO98" s="2" t="s">
        <v>377</v>
      </c>
      <c r="AP98" s="2">
        <v>123.55</v>
      </c>
      <c r="AQ98" s="2" t="s">
        <v>377</v>
      </c>
      <c r="AR98" s="2">
        <v>11.37</v>
      </c>
      <c r="AS98" s="2" t="s">
        <v>377</v>
      </c>
      <c r="AT98" s="2">
        <v>1225.75</v>
      </c>
      <c r="AU98" s="2" t="s">
        <v>377</v>
      </c>
      <c r="AV98" s="2" t="s">
        <v>199</v>
      </c>
      <c r="AW98" s="2" t="s">
        <v>377</v>
      </c>
      <c r="AX98" s="2">
        <v>125.8</v>
      </c>
      <c r="AY98" s="2" t="s">
        <v>377</v>
      </c>
      <c r="AZ98" s="2">
        <v>5.54</v>
      </c>
      <c r="BA98" s="2" t="s">
        <v>377</v>
      </c>
      <c r="BB98" s="2">
        <v>168.33</v>
      </c>
      <c r="BC98" s="2" t="s">
        <v>377</v>
      </c>
      <c r="BD98" s="2">
        <v>18.190000000000001</v>
      </c>
      <c r="BE98" s="2" t="s">
        <v>377</v>
      </c>
      <c r="BF98" s="2" t="s">
        <v>44</v>
      </c>
      <c r="BG98" s="2" t="s">
        <v>377</v>
      </c>
      <c r="BH98" s="2">
        <v>35.93</v>
      </c>
      <c r="BI98" s="2" t="s">
        <v>377</v>
      </c>
      <c r="BJ98" s="2">
        <v>169.43</v>
      </c>
      <c r="BK98" s="2" t="s">
        <v>377</v>
      </c>
      <c r="BL98" s="2">
        <v>28.24</v>
      </c>
      <c r="BM98" s="2" t="s">
        <v>377</v>
      </c>
      <c r="BN98" s="2">
        <v>48.7</v>
      </c>
      <c r="BO98" s="2" t="s">
        <v>377</v>
      </c>
      <c r="BP98" s="2">
        <v>30.02</v>
      </c>
      <c r="BQ98" s="2" t="s">
        <v>377</v>
      </c>
      <c r="BR98" s="2">
        <v>19.8</v>
      </c>
      <c r="BS98" s="2" t="s">
        <v>377</v>
      </c>
      <c r="BT98" s="2">
        <v>12.12</v>
      </c>
      <c r="BU98" s="2" t="s">
        <v>377</v>
      </c>
      <c r="BV98" s="1" t="s">
        <v>943</v>
      </c>
      <c r="BW98" s="1" t="s">
        <v>377</v>
      </c>
      <c r="BX98" s="1" t="s">
        <v>921</v>
      </c>
    </row>
    <row r="99" spans="1:76">
      <c r="A99" s="2" t="s">
        <v>1</v>
      </c>
      <c r="B99" s="2">
        <v>99</v>
      </c>
      <c r="C99" s="2" t="s">
        <v>378</v>
      </c>
      <c r="D99" s="2">
        <v>18.5</v>
      </c>
      <c r="E99" s="2" t="s">
        <v>378</v>
      </c>
      <c r="F99" s="2">
        <v>34.58</v>
      </c>
      <c r="G99" s="2" t="s">
        <v>378</v>
      </c>
      <c r="H99" s="2">
        <v>45.07</v>
      </c>
      <c r="I99" s="2" t="s">
        <v>378</v>
      </c>
      <c r="J99" s="2">
        <v>13.69</v>
      </c>
      <c r="K99" s="2" t="s">
        <v>378</v>
      </c>
      <c r="L99" s="2">
        <v>18.72</v>
      </c>
      <c r="M99" s="2" t="s">
        <v>378</v>
      </c>
      <c r="N99" s="2">
        <v>13.89</v>
      </c>
      <c r="O99" s="2" t="s">
        <v>378</v>
      </c>
      <c r="P99" s="2">
        <v>31.58</v>
      </c>
      <c r="Q99" s="2" t="s">
        <v>378</v>
      </c>
      <c r="R99" s="2">
        <v>24.7</v>
      </c>
      <c r="S99" s="2" t="s">
        <v>378</v>
      </c>
      <c r="T99" s="2">
        <v>17.89</v>
      </c>
      <c r="U99" s="2" t="s">
        <v>378</v>
      </c>
      <c r="V99" s="2">
        <v>5.93</v>
      </c>
      <c r="W99" s="2" t="s">
        <v>378</v>
      </c>
      <c r="X99" s="2" t="s">
        <v>102</v>
      </c>
      <c r="Y99" s="2" t="s">
        <v>378</v>
      </c>
      <c r="Z99" s="2">
        <v>28.13</v>
      </c>
      <c r="AA99" s="2" t="s">
        <v>378</v>
      </c>
      <c r="AB99" s="2">
        <v>22.49</v>
      </c>
      <c r="AC99" s="2" t="s">
        <v>378</v>
      </c>
      <c r="AD99" s="2">
        <v>20.18</v>
      </c>
      <c r="AE99" s="2" t="s">
        <v>378</v>
      </c>
      <c r="AF99" s="2">
        <v>29.92</v>
      </c>
      <c r="AG99" s="2" t="s">
        <v>378</v>
      </c>
      <c r="AH99" s="2">
        <v>48.13</v>
      </c>
      <c r="AI99" s="2" t="s">
        <v>378</v>
      </c>
      <c r="AJ99" s="2">
        <v>45.26</v>
      </c>
      <c r="AK99" s="2" t="s">
        <v>378</v>
      </c>
      <c r="AL99" s="2">
        <v>7.83</v>
      </c>
      <c r="AM99" s="2" t="s">
        <v>378</v>
      </c>
      <c r="AN99" s="2">
        <v>103.4</v>
      </c>
      <c r="AO99" s="2" t="s">
        <v>378</v>
      </c>
      <c r="AP99" s="2" t="s">
        <v>111</v>
      </c>
      <c r="AQ99" s="2" t="s">
        <v>378</v>
      </c>
      <c r="AR99" s="2">
        <v>11.45</v>
      </c>
      <c r="AS99" s="2" t="s">
        <v>378</v>
      </c>
      <c r="AT99" s="2">
        <v>1234.18</v>
      </c>
      <c r="AU99" s="2" t="s">
        <v>378</v>
      </c>
      <c r="AV99" s="2">
        <v>143.5</v>
      </c>
      <c r="AW99" s="2" t="s">
        <v>378</v>
      </c>
      <c r="AX99" s="2">
        <v>125.5</v>
      </c>
      <c r="AY99" s="2" t="s">
        <v>378</v>
      </c>
      <c r="AZ99" s="2">
        <v>5.08</v>
      </c>
      <c r="BA99" s="2" t="s">
        <v>378</v>
      </c>
      <c r="BB99" s="2">
        <v>169.87</v>
      </c>
      <c r="BC99" s="2" t="s">
        <v>378</v>
      </c>
      <c r="BD99" s="2">
        <v>18.010000000000002</v>
      </c>
      <c r="BE99" s="2" t="s">
        <v>378</v>
      </c>
      <c r="BF99" s="2" t="s">
        <v>44</v>
      </c>
      <c r="BG99" s="2" t="s">
        <v>378</v>
      </c>
      <c r="BH99" s="2">
        <v>35.409999999999997</v>
      </c>
      <c r="BI99" s="2" t="s">
        <v>378</v>
      </c>
      <c r="BJ99" s="2">
        <v>169.1</v>
      </c>
      <c r="BK99" s="2" t="s">
        <v>378</v>
      </c>
      <c r="BL99" s="2">
        <v>29.09</v>
      </c>
      <c r="BM99" s="2" t="s">
        <v>378</v>
      </c>
      <c r="BN99" s="2">
        <v>50.1</v>
      </c>
      <c r="BO99" s="2" t="s">
        <v>378</v>
      </c>
      <c r="BP99" s="2">
        <v>30.45</v>
      </c>
      <c r="BQ99" s="2" t="s">
        <v>378</v>
      </c>
      <c r="BR99" s="2">
        <v>19.54</v>
      </c>
      <c r="BS99" s="2" t="s">
        <v>378</v>
      </c>
      <c r="BT99" s="2">
        <v>12.04</v>
      </c>
      <c r="BU99" s="2" t="s">
        <v>378</v>
      </c>
      <c r="BV99" s="1" t="s">
        <v>944</v>
      </c>
      <c r="BW99" s="1" t="s">
        <v>378</v>
      </c>
      <c r="BX99" s="1" t="s">
        <v>945</v>
      </c>
    </row>
    <row r="100" spans="1:76">
      <c r="A100" s="2" t="s">
        <v>1</v>
      </c>
      <c r="B100" s="2">
        <v>100</v>
      </c>
      <c r="C100" s="2" t="s">
        <v>379</v>
      </c>
      <c r="D100" s="2">
        <v>18.23</v>
      </c>
      <c r="E100" s="2" t="s">
        <v>379</v>
      </c>
      <c r="F100" s="2">
        <v>34.159999999999997</v>
      </c>
      <c r="G100" s="2" t="s">
        <v>379</v>
      </c>
      <c r="H100" s="2">
        <v>44.57</v>
      </c>
      <c r="I100" s="2" t="s">
        <v>379</v>
      </c>
      <c r="J100" s="2">
        <v>12.9</v>
      </c>
      <c r="K100" s="2" t="s">
        <v>379</v>
      </c>
      <c r="L100" s="2">
        <v>18.96</v>
      </c>
      <c r="M100" s="2" t="s">
        <v>379</v>
      </c>
      <c r="N100" s="2">
        <v>13.73</v>
      </c>
      <c r="O100" s="2" t="s">
        <v>379</v>
      </c>
      <c r="P100" s="2">
        <v>30.92</v>
      </c>
      <c r="Q100" s="2" t="s">
        <v>379</v>
      </c>
      <c r="R100" s="2">
        <v>24.5</v>
      </c>
      <c r="S100" s="2" t="s">
        <v>379</v>
      </c>
      <c r="T100" s="2">
        <v>17.690000000000001</v>
      </c>
      <c r="U100" s="2" t="s">
        <v>379</v>
      </c>
      <c r="V100" s="2">
        <v>6.01</v>
      </c>
      <c r="W100" s="2" t="s">
        <v>379</v>
      </c>
      <c r="X100" s="2" t="s">
        <v>102</v>
      </c>
      <c r="Y100" s="2" t="s">
        <v>379</v>
      </c>
      <c r="Z100" s="2">
        <v>28.42</v>
      </c>
      <c r="AA100" s="2" t="s">
        <v>379</v>
      </c>
      <c r="AB100" s="2">
        <v>22.6</v>
      </c>
      <c r="AC100" s="2" t="s">
        <v>379</v>
      </c>
      <c r="AD100" s="2">
        <v>19.649999999999999</v>
      </c>
      <c r="AE100" s="2" t="s">
        <v>379</v>
      </c>
      <c r="AF100" s="2">
        <v>30.08</v>
      </c>
      <c r="AG100" s="2" t="s">
        <v>379</v>
      </c>
      <c r="AH100" s="2">
        <v>47.9</v>
      </c>
      <c r="AI100" s="2" t="s">
        <v>379</v>
      </c>
      <c r="AJ100" s="2">
        <v>44.93</v>
      </c>
      <c r="AK100" s="2" t="s">
        <v>379</v>
      </c>
      <c r="AL100" s="2">
        <v>7.75</v>
      </c>
      <c r="AM100" s="2" t="s">
        <v>379</v>
      </c>
      <c r="AN100" s="2">
        <v>104.06</v>
      </c>
      <c r="AO100" s="2" t="s">
        <v>379</v>
      </c>
      <c r="AP100" s="2" t="s">
        <v>111</v>
      </c>
      <c r="AQ100" s="2" t="s">
        <v>379</v>
      </c>
      <c r="AR100" s="2">
        <v>11.54</v>
      </c>
      <c r="AS100" s="2" t="s">
        <v>379</v>
      </c>
      <c r="AT100" s="2">
        <v>1234.49</v>
      </c>
      <c r="AU100" s="2" t="s">
        <v>379</v>
      </c>
      <c r="AV100" s="2">
        <v>141.69999999999999</v>
      </c>
      <c r="AW100" s="2" t="s">
        <v>379</v>
      </c>
      <c r="AX100" s="2">
        <v>125.54</v>
      </c>
      <c r="AY100" s="2" t="s">
        <v>379</v>
      </c>
      <c r="AZ100" s="2">
        <v>4.6399999999999997</v>
      </c>
      <c r="BA100" s="2" t="s">
        <v>379</v>
      </c>
      <c r="BB100" s="2">
        <v>169.02</v>
      </c>
      <c r="BC100" s="2" t="s">
        <v>379</v>
      </c>
      <c r="BD100" s="2">
        <v>17.64</v>
      </c>
      <c r="BE100" s="2" t="s">
        <v>379</v>
      </c>
      <c r="BF100" s="2">
        <v>17.18</v>
      </c>
      <c r="BG100" s="2" t="s">
        <v>379</v>
      </c>
      <c r="BH100" s="2">
        <v>34.380000000000003</v>
      </c>
      <c r="BI100" s="2" t="s">
        <v>379</v>
      </c>
      <c r="BJ100" s="2">
        <v>168.53</v>
      </c>
      <c r="BK100" s="2" t="s">
        <v>379</v>
      </c>
      <c r="BL100" s="2">
        <v>28.5</v>
      </c>
      <c r="BM100" s="2" t="s">
        <v>379</v>
      </c>
      <c r="BN100" s="2">
        <v>49.2</v>
      </c>
      <c r="BO100" s="2" t="s">
        <v>379</v>
      </c>
      <c r="BP100" s="2">
        <v>30.02</v>
      </c>
      <c r="BQ100" s="2" t="s">
        <v>379</v>
      </c>
      <c r="BR100" s="2">
        <v>19.36</v>
      </c>
      <c r="BS100" s="2" t="s">
        <v>379</v>
      </c>
      <c r="BT100" s="2">
        <v>11.96</v>
      </c>
      <c r="BU100" s="2" t="s">
        <v>379</v>
      </c>
      <c r="BV100" s="1" t="s">
        <v>946</v>
      </c>
      <c r="BW100" s="1" t="s">
        <v>379</v>
      </c>
      <c r="BX100" s="1" t="s">
        <v>77</v>
      </c>
    </row>
    <row r="101" spans="1:76">
      <c r="A101" s="2" t="s">
        <v>1</v>
      </c>
      <c r="B101" s="2">
        <v>101</v>
      </c>
      <c r="C101" s="2" t="s">
        <v>380</v>
      </c>
      <c r="D101" s="2">
        <v>18.170000000000002</v>
      </c>
      <c r="E101" s="2" t="s">
        <v>380</v>
      </c>
      <c r="F101" s="2">
        <v>34.21</v>
      </c>
      <c r="G101" s="2" t="s">
        <v>380</v>
      </c>
      <c r="H101" s="2">
        <v>44.43</v>
      </c>
      <c r="I101" s="2" t="s">
        <v>380</v>
      </c>
      <c r="J101" s="2">
        <v>13.08</v>
      </c>
      <c r="K101" s="2" t="s">
        <v>380</v>
      </c>
      <c r="L101" s="2">
        <v>18.88</v>
      </c>
      <c r="M101" s="2" t="s">
        <v>380</v>
      </c>
      <c r="N101" s="2">
        <v>13.5</v>
      </c>
      <c r="O101" s="2" t="s">
        <v>380</v>
      </c>
      <c r="P101" s="2">
        <v>30.79</v>
      </c>
      <c r="Q101" s="2" t="s">
        <v>380</v>
      </c>
      <c r="R101" s="2">
        <v>24.55</v>
      </c>
      <c r="S101" s="2" t="s">
        <v>380</v>
      </c>
      <c r="T101" s="2">
        <v>17.600000000000001</v>
      </c>
      <c r="U101" s="2" t="s">
        <v>380</v>
      </c>
      <c r="V101" s="2" t="s">
        <v>406</v>
      </c>
      <c r="W101" s="2" t="s">
        <v>380</v>
      </c>
      <c r="X101" s="2">
        <v>120.4</v>
      </c>
      <c r="Y101" s="2" t="s">
        <v>380</v>
      </c>
      <c r="Z101" s="2">
        <v>28.3</v>
      </c>
      <c r="AA101" s="2" t="s">
        <v>380</v>
      </c>
      <c r="AB101" s="2">
        <v>22.19</v>
      </c>
      <c r="AC101" s="2" t="s">
        <v>380</v>
      </c>
      <c r="AD101" s="2">
        <v>19.91</v>
      </c>
      <c r="AE101" s="2" t="s">
        <v>380</v>
      </c>
      <c r="AF101" s="2">
        <v>29.55</v>
      </c>
      <c r="AG101" s="2" t="s">
        <v>380</v>
      </c>
      <c r="AH101" s="2">
        <v>47.12</v>
      </c>
      <c r="AI101" s="2" t="s">
        <v>380</v>
      </c>
      <c r="AJ101" s="2">
        <v>44.86</v>
      </c>
      <c r="AK101" s="2" t="s">
        <v>380</v>
      </c>
      <c r="AL101" s="2">
        <v>7.7</v>
      </c>
      <c r="AM101" s="2" t="s">
        <v>380</v>
      </c>
      <c r="AN101" s="2">
        <v>104.89</v>
      </c>
      <c r="AO101" s="2" t="s">
        <v>380</v>
      </c>
      <c r="AP101" s="2">
        <v>121.01</v>
      </c>
      <c r="AQ101" s="2" t="s">
        <v>380</v>
      </c>
      <c r="AR101" s="2">
        <v>11.4</v>
      </c>
      <c r="AS101" s="2" t="s">
        <v>380</v>
      </c>
      <c r="AT101" s="2" t="s">
        <v>381</v>
      </c>
      <c r="AU101" s="2" t="s">
        <v>380</v>
      </c>
      <c r="AV101" s="2">
        <v>142.1</v>
      </c>
      <c r="AW101" s="2" t="s">
        <v>380</v>
      </c>
      <c r="AX101" s="2">
        <v>125.38</v>
      </c>
      <c r="AY101" s="2" t="s">
        <v>380</v>
      </c>
      <c r="AZ101" s="2">
        <v>4.99</v>
      </c>
      <c r="BA101" s="2" t="s">
        <v>380</v>
      </c>
      <c r="BB101" s="2">
        <v>169.15</v>
      </c>
      <c r="BC101" s="2" t="s">
        <v>380</v>
      </c>
      <c r="BD101" s="2">
        <v>17.899999999999999</v>
      </c>
      <c r="BE101" s="2" t="s">
        <v>380</v>
      </c>
      <c r="BF101" s="2">
        <v>17.14</v>
      </c>
      <c r="BG101" s="2" t="s">
        <v>380</v>
      </c>
      <c r="BH101" s="2">
        <v>33.11</v>
      </c>
      <c r="BI101" s="2" t="s">
        <v>380</v>
      </c>
      <c r="BJ101" s="2">
        <v>168.28</v>
      </c>
      <c r="BK101" s="2" t="s">
        <v>380</v>
      </c>
      <c r="BL101" s="2">
        <v>29.21</v>
      </c>
      <c r="BM101" s="2" t="s">
        <v>380</v>
      </c>
      <c r="BN101" s="2">
        <v>49.53</v>
      </c>
      <c r="BO101" s="2" t="s">
        <v>380</v>
      </c>
      <c r="BP101" s="2">
        <v>29.9</v>
      </c>
      <c r="BQ101" s="2" t="s">
        <v>380</v>
      </c>
      <c r="BR101" s="2">
        <v>19.28</v>
      </c>
      <c r="BS101" s="2" t="s">
        <v>380</v>
      </c>
      <c r="BT101" s="2">
        <v>12.01</v>
      </c>
      <c r="BU101" s="2" t="s">
        <v>380</v>
      </c>
      <c r="BV101" s="1" t="s">
        <v>947</v>
      </c>
      <c r="BW101" s="1" t="s">
        <v>380</v>
      </c>
      <c r="BX101" s="1" t="s">
        <v>948</v>
      </c>
    </row>
    <row r="102" spans="1:76">
      <c r="A102" s="2" t="s">
        <v>1</v>
      </c>
      <c r="B102" s="2">
        <v>102</v>
      </c>
      <c r="C102" s="2" t="s">
        <v>382</v>
      </c>
      <c r="D102" s="2">
        <v>18.34</v>
      </c>
      <c r="E102" s="2" t="s">
        <v>382</v>
      </c>
      <c r="F102" s="2">
        <v>34.4</v>
      </c>
      <c r="G102" s="2" t="s">
        <v>382</v>
      </c>
      <c r="H102" s="2">
        <v>44.32</v>
      </c>
      <c r="I102" s="2" t="s">
        <v>382</v>
      </c>
      <c r="J102" s="2">
        <v>13.25</v>
      </c>
      <c r="K102" s="2" t="s">
        <v>382</v>
      </c>
      <c r="L102" s="2">
        <v>19.149999999999999</v>
      </c>
      <c r="M102" s="2" t="s">
        <v>382</v>
      </c>
      <c r="N102" s="2">
        <v>13.63</v>
      </c>
      <c r="O102" s="2" t="s">
        <v>382</v>
      </c>
      <c r="P102" s="2">
        <v>30.89</v>
      </c>
      <c r="Q102" s="2" t="s">
        <v>382</v>
      </c>
      <c r="R102" s="2">
        <v>24.99</v>
      </c>
      <c r="S102" s="2" t="s">
        <v>382</v>
      </c>
      <c r="T102" s="2">
        <v>16.95</v>
      </c>
      <c r="U102" s="2" t="s">
        <v>382</v>
      </c>
      <c r="V102" s="2">
        <v>6.12</v>
      </c>
      <c r="W102" s="2" t="s">
        <v>382</v>
      </c>
      <c r="X102" s="2">
        <v>119.93</v>
      </c>
      <c r="Y102" s="2" t="s">
        <v>382</v>
      </c>
      <c r="Z102" s="2" t="s">
        <v>81</v>
      </c>
      <c r="AA102" s="2" t="s">
        <v>382</v>
      </c>
      <c r="AB102" s="2">
        <v>22.1</v>
      </c>
      <c r="AC102" s="2" t="s">
        <v>382</v>
      </c>
      <c r="AD102" s="2">
        <v>19.7</v>
      </c>
      <c r="AE102" s="2" t="s">
        <v>382</v>
      </c>
      <c r="AF102" s="2">
        <v>28.5</v>
      </c>
      <c r="AG102" s="2" t="s">
        <v>382</v>
      </c>
      <c r="AH102" s="2" t="s">
        <v>134</v>
      </c>
      <c r="AI102" s="2" t="s">
        <v>382</v>
      </c>
      <c r="AJ102" s="2">
        <v>45.84</v>
      </c>
      <c r="AK102" s="2" t="s">
        <v>382</v>
      </c>
      <c r="AL102" s="2">
        <v>7.86</v>
      </c>
      <c r="AM102" s="2" t="s">
        <v>382</v>
      </c>
      <c r="AN102" s="2">
        <v>105.74</v>
      </c>
      <c r="AO102" s="2" t="s">
        <v>382</v>
      </c>
      <c r="AP102" s="2">
        <v>122.75</v>
      </c>
      <c r="AQ102" s="2" t="s">
        <v>382</v>
      </c>
      <c r="AR102" s="2">
        <v>11.2</v>
      </c>
      <c r="AS102" s="2" t="s">
        <v>382</v>
      </c>
      <c r="AT102" s="2">
        <v>1233.99</v>
      </c>
      <c r="AU102" s="2" t="s">
        <v>382</v>
      </c>
      <c r="AV102" s="2">
        <v>142.82</v>
      </c>
      <c r="AW102" s="2" t="s">
        <v>382</v>
      </c>
      <c r="AX102" s="2">
        <v>125.55</v>
      </c>
      <c r="AY102" s="2" t="s">
        <v>382</v>
      </c>
      <c r="AZ102" s="2">
        <v>5.25</v>
      </c>
      <c r="BA102" s="2" t="s">
        <v>382</v>
      </c>
      <c r="BB102" s="2">
        <v>172.2</v>
      </c>
      <c r="BC102" s="2" t="s">
        <v>382</v>
      </c>
      <c r="BD102" s="2">
        <v>17.600000000000001</v>
      </c>
      <c r="BE102" s="2" t="s">
        <v>382</v>
      </c>
      <c r="BF102" s="2">
        <v>17.54</v>
      </c>
      <c r="BG102" s="2" t="s">
        <v>382</v>
      </c>
      <c r="BH102" s="2">
        <v>33.549999999999997</v>
      </c>
      <c r="BI102" s="2" t="s">
        <v>382</v>
      </c>
      <c r="BJ102" s="2">
        <v>168.89</v>
      </c>
      <c r="BK102" s="2" t="s">
        <v>382</v>
      </c>
      <c r="BL102" s="2">
        <v>29.26</v>
      </c>
      <c r="BM102" s="2" t="s">
        <v>382</v>
      </c>
      <c r="BN102" s="2">
        <v>49.8</v>
      </c>
      <c r="BO102" s="2" t="s">
        <v>382</v>
      </c>
      <c r="BP102" s="2">
        <v>29.3</v>
      </c>
      <c r="BQ102" s="2" t="s">
        <v>382</v>
      </c>
      <c r="BR102" s="2">
        <v>19.46</v>
      </c>
      <c r="BS102" s="2" t="s">
        <v>382</v>
      </c>
      <c r="BT102" s="2">
        <v>12.12</v>
      </c>
      <c r="BU102" s="2" t="s">
        <v>382</v>
      </c>
      <c r="BV102" s="1" t="s">
        <v>949</v>
      </c>
      <c r="BW102" s="1" t="s">
        <v>382</v>
      </c>
      <c r="BX102" s="1" t="s">
        <v>950</v>
      </c>
    </row>
    <row r="103" spans="1:76">
      <c r="A103" s="2" t="s">
        <v>1</v>
      </c>
      <c r="B103" s="2">
        <v>103</v>
      </c>
      <c r="C103" s="2" t="s">
        <v>383</v>
      </c>
      <c r="D103" s="2">
        <v>18.21</v>
      </c>
      <c r="E103" s="2" t="s">
        <v>383</v>
      </c>
      <c r="F103" s="2">
        <v>33.9</v>
      </c>
      <c r="G103" s="2" t="s">
        <v>383</v>
      </c>
      <c r="H103" s="2">
        <v>44.75</v>
      </c>
      <c r="I103" s="2" t="s">
        <v>383</v>
      </c>
      <c r="J103" s="2">
        <v>13.55</v>
      </c>
      <c r="K103" s="2" t="s">
        <v>383</v>
      </c>
      <c r="L103" s="2">
        <v>19.100000000000001</v>
      </c>
      <c r="M103" s="2" t="s">
        <v>383</v>
      </c>
      <c r="N103" s="2">
        <v>13.6</v>
      </c>
      <c r="O103" s="2" t="s">
        <v>383</v>
      </c>
      <c r="P103" s="2">
        <v>30.81</v>
      </c>
      <c r="Q103" s="2" t="s">
        <v>383</v>
      </c>
      <c r="R103" s="2">
        <v>24.4</v>
      </c>
      <c r="S103" s="2" t="s">
        <v>383</v>
      </c>
      <c r="T103" s="2">
        <v>16.79</v>
      </c>
      <c r="U103" s="2" t="s">
        <v>383</v>
      </c>
      <c r="V103" s="2">
        <v>6.03</v>
      </c>
      <c r="W103" s="2" t="s">
        <v>383</v>
      </c>
      <c r="X103" s="2">
        <v>120.4</v>
      </c>
      <c r="Y103" s="2" t="s">
        <v>383</v>
      </c>
      <c r="Z103" s="2">
        <v>28.25</v>
      </c>
      <c r="AA103" s="2" t="s">
        <v>383</v>
      </c>
      <c r="AB103" s="2">
        <v>22.01</v>
      </c>
      <c r="AC103" s="2" t="s">
        <v>383</v>
      </c>
      <c r="AD103" s="2">
        <v>19.739999999999998</v>
      </c>
      <c r="AE103" s="2" t="s">
        <v>383</v>
      </c>
      <c r="AF103" s="2">
        <v>28.85</v>
      </c>
      <c r="AG103" s="2" t="s">
        <v>383</v>
      </c>
      <c r="AH103" s="2">
        <v>47.61</v>
      </c>
      <c r="AI103" s="2" t="s">
        <v>383</v>
      </c>
      <c r="AJ103" s="2">
        <v>46.8</v>
      </c>
      <c r="AK103" s="2" t="s">
        <v>383</v>
      </c>
      <c r="AL103" s="2">
        <v>7.75</v>
      </c>
      <c r="AM103" s="2" t="s">
        <v>383</v>
      </c>
      <c r="AN103" s="2">
        <v>106.4</v>
      </c>
      <c r="AO103" s="2" t="s">
        <v>383</v>
      </c>
      <c r="AP103" s="2" t="s">
        <v>106</v>
      </c>
      <c r="AQ103" s="2" t="s">
        <v>383</v>
      </c>
      <c r="AR103" s="2">
        <v>11.27</v>
      </c>
      <c r="AS103" s="2" t="s">
        <v>383</v>
      </c>
      <c r="AT103" s="2">
        <v>1220.55</v>
      </c>
      <c r="AU103" s="2" t="s">
        <v>383</v>
      </c>
      <c r="AV103" s="2">
        <v>142.80000000000001</v>
      </c>
      <c r="AW103" s="2" t="s">
        <v>383</v>
      </c>
      <c r="AX103" s="2">
        <v>125.65</v>
      </c>
      <c r="AY103" s="2" t="s">
        <v>383</v>
      </c>
      <c r="AZ103" s="2">
        <v>5.33</v>
      </c>
      <c r="BA103" s="2" t="s">
        <v>383</v>
      </c>
      <c r="BB103" s="2">
        <v>175.39</v>
      </c>
      <c r="BC103" s="2" t="s">
        <v>383</v>
      </c>
      <c r="BD103" s="2">
        <v>17.170000000000002</v>
      </c>
      <c r="BE103" s="2" t="s">
        <v>383</v>
      </c>
      <c r="BF103" s="2">
        <v>17.7</v>
      </c>
      <c r="BG103" s="2" t="s">
        <v>383</v>
      </c>
      <c r="BH103" s="2">
        <v>33.299999999999997</v>
      </c>
      <c r="BI103" s="2" t="s">
        <v>383</v>
      </c>
      <c r="BJ103" s="2" t="s">
        <v>359</v>
      </c>
      <c r="BK103" s="2" t="s">
        <v>383</v>
      </c>
      <c r="BL103" s="2">
        <v>29.3</v>
      </c>
      <c r="BM103" s="2" t="s">
        <v>383</v>
      </c>
      <c r="BN103" s="2">
        <v>49.04</v>
      </c>
      <c r="BO103" s="2" t="s">
        <v>383</v>
      </c>
      <c r="BP103" s="2">
        <v>29.08</v>
      </c>
      <c r="BQ103" s="2" t="s">
        <v>383</v>
      </c>
      <c r="BR103" s="2">
        <v>19.39</v>
      </c>
      <c r="BS103" s="2" t="s">
        <v>383</v>
      </c>
      <c r="BT103" s="2">
        <v>12.22</v>
      </c>
      <c r="BU103" s="2" t="s">
        <v>383</v>
      </c>
      <c r="BV103" s="2">
        <v>106269.25</v>
      </c>
      <c r="BW103" s="2" t="s">
        <v>383</v>
      </c>
      <c r="BX103" s="2">
        <v>29.35</v>
      </c>
    </row>
    <row r="104" spans="1:76">
      <c r="A104" s="2" t="s">
        <v>1</v>
      </c>
      <c r="B104" s="2">
        <v>104</v>
      </c>
      <c r="C104" s="2" t="s">
        <v>384</v>
      </c>
      <c r="D104" s="2">
        <v>18.37</v>
      </c>
      <c r="E104" s="2" t="s">
        <v>384</v>
      </c>
      <c r="F104" s="2">
        <v>34.03</v>
      </c>
      <c r="G104" s="2" t="s">
        <v>384</v>
      </c>
      <c r="H104" s="2">
        <v>44.7</v>
      </c>
      <c r="I104" s="2" t="s">
        <v>384</v>
      </c>
      <c r="J104" s="2">
        <v>13.75</v>
      </c>
      <c r="K104" s="2" t="s">
        <v>384</v>
      </c>
      <c r="L104" s="2" t="s">
        <v>46</v>
      </c>
      <c r="M104" s="2" t="s">
        <v>384</v>
      </c>
      <c r="N104" s="2">
        <v>13.42</v>
      </c>
      <c r="O104" s="2" t="s">
        <v>384</v>
      </c>
      <c r="P104" s="2">
        <v>30.3</v>
      </c>
      <c r="Q104" s="2" t="s">
        <v>384</v>
      </c>
      <c r="R104" s="2">
        <v>24.59</v>
      </c>
      <c r="S104" s="2" t="s">
        <v>384</v>
      </c>
      <c r="T104" s="2">
        <v>16.97</v>
      </c>
      <c r="U104" s="2" t="s">
        <v>384</v>
      </c>
      <c r="V104" s="2">
        <v>6.06</v>
      </c>
      <c r="W104" s="2" t="s">
        <v>384</v>
      </c>
      <c r="X104" s="2">
        <v>121.3</v>
      </c>
      <c r="Y104" s="2" t="s">
        <v>384</v>
      </c>
      <c r="Z104" s="2">
        <v>28.2</v>
      </c>
      <c r="AA104" s="2" t="s">
        <v>384</v>
      </c>
      <c r="AB104" s="2">
        <v>21.7</v>
      </c>
      <c r="AC104" s="2" t="s">
        <v>384</v>
      </c>
      <c r="AD104" s="2">
        <v>19.7</v>
      </c>
      <c r="AE104" s="2" t="s">
        <v>384</v>
      </c>
      <c r="AF104" s="2">
        <v>28.89</v>
      </c>
      <c r="AG104" s="2" t="s">
        <v>384</v>
      </c>
      <c r="AH104" s="2">
        <v>48.17</v>
      </c>
      <c r="AI104" s="2" t="s">
        <v>384</v>
      </c>
      <c r="AJ104" s="2">
        <v>45.66</v>
      </c>
      <c r="AK104" s="2" t="s">
        <v>384</v>
      </c>
      <c r="AL104" s="2">
        <v>7.8</v>
      </c>
      <c r="AM104" s="2" t="s">
        <v>384</v>
      </c>
      <c r="AN104" s="2">
        <v>106.9</v>
      </c>
      <c r="AO104" s="2" t="s">
        <v>384</v>
      </c>
      <c r="AP104" s="2">
        <v>124.8</v>
      </c>
      <c r="AQ104" s="2" t="s">
        <v>384</v>
      </c>
      <c r="AR104" s="2">
        <v>11.23</v>
      </c>
      <c r="AS104" s="2" t="s">
        <v>384</v>
      </c>
      <c r="AT104" s="2" t="s">
        <v>200</v>
      </c>
      <c r="AU104" s="2" t="s">
        <v>384</v>
      </c>
      <c r="AV104" s="2">
        <v>144.5</v>
      </c>
      <c r="AW104" s="2" t="s">
        <v>384</v>
      </c>
      <c r="AX104" s="2">
        <v>125.42</v>
      </c>
      <c r="AY104" s="2" t="s">
        <v>384</v>
      </c>
      <c r="AZ104" s="2">
        <v>5.38</v>
      </c>
      <c r="BA104" s="2" t="s">
        <v>384</v>
      </c>
      <c r="BB104" s="2">
        <v>177.01</v>
      </c>
      <c r="BC104" s="2" t="s">
        <v>384</v>
      </c>
      <c r="BD104" s="2" t="s">
        <v>44</v>
      </c>
      <c r="BE104" s="2" t="s">
        <v>384</v>
      </c>
      <c r="BF104" s="2">
        <v>17.71</v>
      </c>
      <c r="BG104" s="2" t="s">
        <v>384</v>
      </c>
      <c r="BH104" s="2">
        <v>33.56</v>
      </c>
      <c r="BI104" s="2" t="s">
        <v>384</v>
      </c>
      <c r="BJ104" s="2">
        <v>172.48</v>
      </c>
      <c r="BK104" s="2" t="s">
        <v>384</v>
      </c>
      <c r="BL104" s="2">
        <v>29.2</v>
      </c>
      <c r="BM104" s="2" t="s">
        <v>384</v>
      </c>
      <c r="BN104" s="2">
        <v>47.94</v>
      </c>
      <c r="BO104" s="2" t="s">
        <v>384</v>
      </c>
      <c r="BP104" s="2">
        <v>28.78</v>
      </c>
      <c r="BQ104" s="2" t="s">
        <v>384</v>
      </c>
      <c r="BR104" s="2">
        <v>19.239999999999998</v>
      </c>
      <c r="BS104" s="2" t="s">
        <v>384</v>
      </c>
      <c r="BT104" s="2">
        <v>12.25</v>
      </c>
      <c r="BU104" s="2" t="s">
        <v>384</v>
      </c>
      <c r="BV104" s="2">
        <v>105864.18</v>
      </c>
      <c r="BW104" s="2" t="s">
        <v>384</v>
      </c>
      <c r="BX104" s="2">
        <v>29.1</v>
      </c>
    </row>
    <row r="105" spans="1:76">
      <c r="A105" s="2" t="s">
        <v>1</v>
      </c>
      <c r="B105" s="2">
        <v>105</v>
      </c>
      <c r="C105" s="2" t="s">
        <v>385</v>
      </c>
      <c r="D105" s="2">
        <v>18.440000000000001</v>
      </c>
      <c r="E105" s="2" t="s">
        <v>385</v>
      </c>
      <c r="F105" s="2">
        <v>35.15</v>
      </c>
      <c r="G105" s="2" t="s">
        <v>385</v>
      </c>
      <c r="H105" s="2">
        <v>44.72</v>
      </c>
      <c r="I105" s="2" t="s">
        <v>385</v>
      </c>
      <c r="J105" s="2">
        <v>14.12</v>
      </c>
      <c r="K105" s="2" t="s">
        <v>385</v>
      </c>
      <c r="L105" s="2" t="s">
        <v>46</v>
      </c>
      <c r="M105" s="2" t="s">
        <v>385</v>
      </c>
      <c r="N105" s="2">
        <v>13.51</v>
      </c>
      <c r="O105" s="2" t="s">
        <v>385</v>
      </c>
      <c r="P105" s="2">
        <v>30.76</v>
      </c>
      <c r="Q105" s="2" t="s">
        <v>385</v>
      </c>
      <c r="R105" s="2">
        <v>24.85</v>
      </c>
      <c r="S105" s="2" t="s">
        <v>385</v>
      </c>
      <c r="T105" s="2">
        <v>17.61</v>
      </c>
      <c r="U105" s="2" t="s">
        <v>385</v>
      </c>
      <c r="V105" s="2">
        <v>6.11</v>
      </c>
      <c r="W105" s="2" t="s">
        <v>385</v>
      </c>
      <c r="X105" s="2">
        <v>122.5</v>
      </c>
      <c r="Y105" s="2" t="s">
        <v>385</v>
      </c>
      <c r="Z105" s="2">
        <v>27.83</v>
      </c>
      <c r="AA105" s="2" t="s">
        <v>385</v>
      </c>
      <c r="AB105" s="2">
        <v>21.51</v>
      </c>
      <c r="AC105" s="2" t="s">
        <v>385</v>
      </c>
      <c r="AD105" s="2">
        <v>19.690000000000001</v>
      </c>
      <c r="AE105" s="2" t="s">
        <v>385</v>
      </c>
      <c r="AF105" s="2">
        <v>28.6</v>
      </c>
      <c r="AG105" s="2" t="s">
        <v>385</v>
      </c>
      <c r="AH105" s="2">
        <v>48.42</v>
      </c>
      <c r="AI105" s="2" t="s">
        <v>385</v>
      </c>
      <c r="AJ105" s="2">
        <v>45.65</v>
      </c>
      <c r="AK105" s="2" t="s">
        <v>385</v>
      </c>
      <c r="AL105" s="2">
        <v>7.84</v>
      </c>
      <c r="AM105" s="2" t="s">
        <v>385</v>
      </c>
      <c r="AN105" s="2">
        <v>110.39</v>
      </c>
      <c r="AO105" s="2" t="s">
        <v>385</v>
      </c>
      <c r="AP105" s="2">
        <v>124.31</v>
      </c>
      <c r="AQ105" s="2" t="s">
        <v>385</v>
      </c>
      <c r="AR105" s="2">
        <v>11.24</v>
      </c>
      <c r="AS105" s="2" t="s">
        <v>385</v>
      </c>
      <c r="AT105" s="2" t="s">
        <v>192</v>
      </c>
      <c r="AU105" s="2" t="s">
        <v>385</v>
      </c>
      <c r="AV105" s="2">
        <v>140.77000000000001</v>
      </c>
      <c r="AW105" s="2" t="s">
        <v>385</v>
      </c>
      <c r="AX105" s="2">
        <v>125.3</v>
      </c>
      <c r="AY105" s="2" t="s">
        <v>385</v>
      </c>
      <c r="AZ105" s="2">
        <v>5.3</v>
      </c>
      <c r="BA105" s="2" t="s">
        <v>385</v>
      </c>
      <c r="BB105" s="2">
        <v>177.5</v>
      </c>
      <c r="BC105" s="2" t="s">
        <v>385</v>
      </c>
      <c r="BD105" s="2">
        <v>17.149999999999999</v>
      </c>
      <c r="BE105" s="2" t="s">
        <v>385</v>
      </c>
      <c r="BF105" s="2">
        <v>17.75</v>
      </c>
      <c r="BG105" s="2" t="s">
        <v>385</v>
      </c>
      <c r="BH105" s="2">
        <v>33.5</v>
      </c>
      <c r="BI105" s="2" t="s">
        <v>385</v>
      </c>
      <c r="BJ105" s="2" t="s">
        <v>387</v>
      </c>
      <c r="BK105" s="2" t="s">
        <v>385</v>
      </c>
      <c r="BL105" s="2">
        <v>28.88</v>
      </c>
      <c r="BM105" s="2" t="s">
        <v>385</v>
      </c>
      <c r="BN105" s="2">
        <v>48.88</v>
      </c>
      <c r="BO105" s="2" t="s">
        <v>385</v>
      </c>
      <c r="BP105" s="2">
        <v>29.85</v>
      </c>
      <c r="BQ105" s="2" t="s">
        <v>385</v>
      </c>
      <c r="BR105" s="2">
        <v>19.75</v>
      </c>
      <c r="BS105" s="2" t="s">
        <v>385</v>
      </c>
      <c r="BT105" s="2">
        <v>12.42</v>
      </c>
      <c r="BU105" s="2" t="s">
        <v>385</v>
      </c>
      <c r="BV105" s="2">
        <v>107496.73</v>
      </c>
      <c r="BW105" s="2" t="s">
        <v>385</v>
      </c>
      <c r="BX105" s="2">
        <v>29.4</v>
      </c>
    </row>
    <row r="106" spans="1:76">
      <c r="A106" s="2" t="s">
        <v>1</v>
      </c>
      <c r="B106" s="2">
        <v>106</v>
      </c>
      <c r="C106" s="2" t="s">
        <v>386</v>
      </c>
      <c r="D106" s="2">
        <v>18.34</v>
      </c>
      <c r="E106" s="2" t="s">
        <v>386</v>
      </c>
      <c r="F106" s="2">
        <v>35.200000000000003</v>
      </c>
      <c r="G106" s="2" t="s">
        <v>386</v>
      </c>
      <c r="H106" s="2">
        <v>45.36</v>
      </c>
      <c r="I106" s="2" t="s">
        <v>386</v>
      </c>
      <c r="J106" s="2">
        <v>14.37</v>
      </c>
      <c r="K106" s="2" t="s">
        <v>386</v>
      </c>
      <c r="L106" s="2">
        <v>19.04</v>
      </c>
      <c r="M106" s="2" t="s">
        <v>386</v>
      </c>
      <c r="N106" s="2">
        <v>13.71</v>
      </c>
      <c r="O106" s="2" t="s">
        <v>386</v>
      </c>
      <c r="P106" s="2">
        <v>30.73</v>
      </c>
      <c r="Q106" s="2" t="s">
        <v>386</v>
      </c>
      <c r="R106" s="2">
        <v>24.4</v>
      </c>
      <c r="S106" s="2" t="s">
        <v>386</v>
      </c>
      <c r="T106" s="2">
        <v>18.190000000000001</v>
      </c>
      <c r="U106" s="2" t="s">
        <v>386</v>
      </c>
      <c r="V106" s="2">
        <v>6.19</v>
      </c>
      <c r="W106" s="2" t="s">
        <v>386</v>
      </c>
      <c r="X106" s="2">
        <v>122.5</v>
      </c>
      <c r="Y106" s="2" t="s">
        <v>386</v>
      </c>
      <c r="Z106" s="2">
        <v>28.1</v>
      </c>
      <c r="AA106" s="2" t="s">
        <v>386</v>
      </c>
      <c r="AB106" s="2">
        <v>21.84</v>
      </c>
      <c r="AC106" s="2" t="s">
        <v>386</v>
      </c>
      <c r="AD106" s="2">
        <v>19.89</v>
      </c>
      <c r="AE106" s="2" t="s">
        <v>386</v>
      </c>
      <c r="AF106" s="2">
        <v>28.83</v>
      </c>
      <c r="AG106" s="2" t="s">
        <v>386</v>
      </c>
      <c r="AH106" s="2">
        <v>50.03</v>
      </c>
      <c r="AI106" s="2" t="s">
        <v>386</v>
      </c>
      <c r="AJ106" s="2">
        <v>45.5</v>
      </c>
      <c r="AK106" s="2" t="s">
        <v>386</v>
      </c>
      <c r="AL106" s="2">
        <v>7.93</v>
      </c>
      <c r="AM106" s="2" t="s">
        <v>386</v>
      </c>
      <c r="AN106" s="2">
        <v>110.89</v>
      </c>
      <c r="AO106" s="2" t="s">
        <v>386</v>
      </c>
      <c r="AP106" s="2">
        <v>123.99</v>
      </c>
      <c r="AQ106" s="2" t="s">
        <v>386</v>
      </c>
      <c r="AR106" s="2">
        <v>11.2</v>
      </c>
      <c r="AS106" s="2" t="s">
        <v>386</v>
      </c>
      <c r="AT106" s="2" t="s">
        <v>192</v>
      </c>
      <c r="AU106" s="2" t="s">
        <v>386</v>
      </c>
      <c r="AV106" s="2">
        <v>140.49</v>
      </c>
      <c r="AW106" s="2" t="s">
        <v>386</v>
      </c>
      <c r="AX106" s="2">
        <v>125.71</v>
      </c>
      <c r="AY106" s="2" t="s">
        <v>386</v>
      </c>
      <c r="AZ106" s="2">
        <v>5.26</v>
      </c>
      <c r="BA106" s="2" t="s">
        <v>386</v>
      </c>
      <c r="BB106" s="2">
        <v>177.5</v>
      </c>
      <c r="BC106" s="2" t="s">
        <v>386</v>
      </c>
      <c r="BD106" s="2">
        <v>17.149999999999999</v>
      </c>
      <c r="BE106" s="2" t="s">
        <v>386</v>
      </c>
      <c r="BF106" s="2">
        <v>17.739999999999998</v>
      </c>
      <c r="BG106" s="2" t="s">
        <v>386</v>
      </c>
      <c r="BH106" s="2">
        <v>33.549999999999997</v>
      </c>
      <c r="BI106" s="2" t="s">
        <v>386</v>
      </c>
      <c r="BJ106" s="2" t="s">
        <v>389</v>
      </c>
      <c r="BK106" s="2" t="s">
        <v>386</v>
      </c>
      <c r="BL106" s="2">
        <v>29.06</v>
      </c>
      <c r="BM106" s="2" t="s">
        <v>386</v>
      </c>
      <c r="BN106" s="2">
        <v>49.49</v>
      </c>
      <c r="BO106" s="2" t="s">
        <v>386</v>
      </c>
      <c r="BP106" s="2">
        <v>29.98</v>
      </c>
      <c r="BQ106" s="2" t="s">
        <v>386</v>
      </c>
      <c r="BR106" s="2">
        <v>20.62</v>
      </c>
      <c r="BS106" s="2" t="s">
        <v>386</v>
      </c>
      <c r="BT106" s="2">
        <v>12.41</v>
      </c>
      <c r="BU106" s="2" t="s">
        <v>386</v>
      </c>
      <c r="BV106" s="2">
        <v>108692.28</v>
      </c>
      <c r="BW106" s="2" t="s">
        <v>386</v>
      </c>
      <c r="BX106" s="2">
        <v>29.61</v>
      </c>
    </row>
    <row r="107" spans="1:76">
      <c r="A107" s="2" t="s">
        <v>1</v>
      </c>
      <c r="B107" s="2">
        <v>107</v>
      </c>
      <c r="C107" s="2" t="s">
        <v>388</v>
      </c>
      <c r="D107" s="2">
        <v>18.53</v>
      </c>
      <c r="E107" s="2" t="s">
        <v>388</v>
      </c>
      <c r="F107" s="2">
        <v>34.61</v>
      </c>
      <c r="G107" s="2" t="s">
        <v>388</v>
      </c>
      <c r="H107" s="2">
        <v>45.35</v>
      </c>
      <c r="I107" s="2" t="s">
        <v>388</v>
      </c>
      <c r="J107" s="2">
        <v>13.9</v>
      </c>
      <c r="K107" s="2" t="s">
        <v>388</v>
      </c>
      <c r="L107" s="2">
        <v>19.079999999999998</v>
      </c>
      <c r="M107" s="2" t="s">
        <v>388</v>
      </c>
      <c r="N107" s="2">
        <v>13.38</v>
      </c>
      <c r="O107" s="2" t="s">
        <v>388</v>
      </c>
      <c r="P107" s="2">
        <v>30.44</v>
      </c>
      <c r="Q107" s="2" t="s">
        <v>388</v>
      </c>
      <c r="R107" s="2">
        <v>24.56</v>
      </c>
      <c r="S107" s="2" t="s">
        <v>388</v>
      </c>
      <c r="T107" s="2">
        <v>18.3</v>
      </c>
      <c r="U107" s="2" t="s">
        <v>388</v>
      </c>
      <c r="V107" s="2">
        <v>6.18</v>
      </c>
      <c r="W107" s="2" t="s">
        <v>388</v>
      </c>
      <c r="X107" s="2" t="s">
        <v>96</v>
      </c>
      <c r="Y107" s="2" t="s">
        <v>388</v>
      </c>
      <c r="Z107" s="2">
        <v>27.93</v>
      </c>
      <c r="AA107" s="2" t="s">
        <v>388</v>
      </c>
      <c r="AB107" s="2">
        <v>21.79</v>
      </c>
      <c r="AC107" s="2" t="s">
        <v>388</v>
      </c>
      <c r="AD107" s="2" t="s">
        <v>92</v>
      </c>
      <c r="AE107" s="2" t="s">
        <v>388</v>
      </c>
      <c r="AF107" s="2">
        <v>28.43</v>
      </c>
      <c r="AG107" s="2" t="s">
        <v>388</v>
      </c>
      <c r="AH107" s="2">
        <v>50.86</v>
      </c>
      <c r="AI107" s="2" t="s">
        <v>388</v>
      </c>
      <c r="AJ107" s="2">
        <v>45.4</v>
      </c>
      <c r="AK107" s="2" t="s">
        <v>388</v>
      </c>
      <c r="AL107" s="2">
        <v>7.85</v>
      </c>
      <c r="AM107" s="2" t="s">
        <v>388</v>
      </c>
      <c r="AN107" s="2" t="s">
        <v>75</v>
      </c>
      <c r="AO107" s="2" t="s">
        <v>388</v>
      </c>
      <c r="AP107" s="2">
        <v>124.5</v>
      </c>
      <c r="AQ107" s="2" t="s">
        <v>388</v>
      </c>
      <c r="AR107" s="2">
        <v>11.27</v>
      </c>
      <c r="AS107" s="2" t="s">
        <v>388</v>
      </c>
      <c r="AT107" s="2">
        <v>1235.4000000000001</v>
      </c>
      <c r="AU107" s="2" t="s">
        <v>388</v>
      </c>
      <c r="AV107" s="2">
        <v>132.15</v>
      </c>
      <c r="AW107" s="2" t="s">
        <v>388</v>
      </c>
      <c r="AX107" s="2">
        <v>125.68</v>
      </c>
      <c r="AY107" s="2" t="s">
        <v>388</v>
      </c>
      <c r="AZ107" s="2">
        <v>5.15</v>
      </c>
      <c r="BA107" s="2" t="s">
        <v>388</v>
      </c>
      <c r="BB107" s="2">
        <v>177.5</v>
      </c>
      <c r="BC107" s="2" t="s">
        <v>388</v>
      </c>
      <c r="BD107" s="2">
        <v>17.309999999999999</v>
      </c>
      <c r="BE107" s="2" t="s">
        <v>388</v>
      </c>
      <c r="BF107" s="2">
        <v>17.739999999999998</v>
      </c>
      <c r="BG107" s="2" t="s">
        <v>388</v>
      </c>
      <c r="BH107" s="2">
        <v>33.1</v>
      </c>
      <c r="BI107" s="2" t="s">
        <v>388</v>
      </c>
      <c r="BJ107" s="2">
        <v>171.55</v>
      </c>
      <c r="BK107" s="2" t="s">
        <v>388</v>
      </c>
      <c r="BL107" s="2">
        <v>29.1</v>
      </c>
      <c r="BM107" s="2" t="s">
        <v>388</v>
      </c>
      <c r="BN107" s="2">
        <v>47.77</v>
      </c>
      <c r="BO107" s="2" t="s">
        <v>388</v>
      </c>
      <c r="BP107" s="2">
        <v>29.73</v>
      </c>
      <c r="BQ107" s="2" t="s">
        <v>388</v>
      </c>
      <c r="BR107" s="2">
        <v>20.399999999999999</v>
      </c>
      <c r="BS107" s="2" t="s">
        <v>388</v>
      </c>
      <c r="BT107" s="2">
        <v>12.63</v>
      </c>
      <c r="BU107" s="2" t="s">
        <v>388</v>
      </c>
      <c r="BV107" s="2">
        <v>108423.93</v>
      </c>
      <c r="BW107" s="2" t="s">
        <v>388</v>
      </c>
      <c r="BX107" s="2">
        <v>29.41</v>
      </c>
    </row>
    <row r="108" spans="1:76">
      <c r="A108" s="2" t="s">
        <v>1</v>
      </c>
      <c r="B108" s="2">
        <v>108</v>
      </c>
      <c r="C108" s="2" t="s">
        <v>390</v>
      </c>
      <c r="D108" s="2">
        <v>18.02</v>
      </c>
      <c r="E108" s="2" t="s">
        <v>390</v>
      </c>
      <c r="F108" s="2">
        <v>33.89</v>
      </c>
      <c r="G108" s="2" t="s">
        <v>390</v>
      </c>
      <c r="H108" s="2">
        <v>44.84</v>
      </c>
      <c r="I108" s="2" t="s">
        <v>390</v>
      </c>
      <c r="J108" s="2">
        <v>14.11</v>
      </c>
      <c r="K108" s="2" t="s">
        <v>390</v>
      </c>
      <c r="L108" s="2">
        <v>19.23</v>
      </c>
      <c r="M108" s="2" t="s">
        <v>390</v>
      </c>
      <c r="N108" s="2">
        <v>13.06</v>
      </c>
      <c r="O108" s="2" t="s">
        <v>390</v>
      </c>
      <c r="P108" s="2">
        <v>29.98</v>
      </c>
      <c r="Q108" s="2" t="s">
        <v>390</v>
      </c>
      <c r="R108" s="2">
        <v>24.5</v>
      </c>
      <c r="S108" s="2" t="s">
        <v>390</v>
      </c>
      <c r="T108" s="2">
        <v>18.11</v>
      </c>
      <c r="U108" s="2" t="s">
        <v>390</v>
      </c>
      <c r="V108" s="2" t="s">
        <v>406</v>
      </c>
      <c r="W108" s="2" t="s">
        <v>390</v>
      </c>
      <c r="X108" s="2" t="s">
        <v>96</v>
      </c>
      <c r="Y108" s="2" t="s">
        <v>390</v>
      </c>
      <c r="Z108" s="2">
        <v>27.92</v>
      </c>
      <c r="AA108" s="2" t="s">
        <v>390</v>
      </c>
      <c r="AB108" s="2">
        <v>21.59</v>
      </c>
      <c r="AC108" s="2" t="s">
        <v>390</v>
      </c>
      <c r="AD108" s="2">
        <v>20.25</v>
      </c>
      <c r="AE108" s="2" t="s">
        <v>390</v>
      </c>
      <c r="AF108" s="2">
        <v>29.51</v>
      </c>
      <c r="AG108" s="2" t="s">
        <v>390</v>
      </c>
      <c r="AH108" s="2">
        <v>51.22</v>
      </c>
      <c r="AI108" s="2" t="s">
        <v>390</v>
      </c>
      <c r="AJ108" s="2">
        <v>44.38</v>
      </c>
      <c r="AK108" s="2" t="s">
        <v>390</v>
      </c>
      <c r="AL108" s="2">
        <v>7.88</v>
      </c>
      <c r="AM108" s="2" t="s">
        <v>390</v>
      </c>
      <c r="AN108" s="2">
        <v>108.89</v>
      </c>
      <c r="AO108" s="2" t="s">
        <v>390</v>
      </c>
      <c r="AP108" s="2">
        <v>124.01</v>
      </c>
      <c r="AQ108" s="2" t="s">
        <v>390</v>
      </c>
      <c r="AR108" s="2">
        <v>11.2</v>
      </c>
      <c r="AS108" s="2" t="s">
        <v>390</v>
      </c>
      <c r="AT108" s="2" t="s">
        <v>381</v>
      </c>
      <c r="AU108" s="2" t="s">
        <v>390</v>
      </c>
      <c r="AV108" s="2">
        <v>135.5</v>
      </c>
      <c r="AW108" s="2" t="s">
        <v>390</v>
      </c>
      <c r="AX108" s="2">
        <v>125.98</v>
      </c>
      <c r="AY108" s="2" t="s">
        <v>390</v>
      </c>
      <c r="AZ108" s="2">
        <v>5.21</v>
      </c>
      <c r="BA108" s="2" t="s">
        <v>390</v>
      </c>
      <c r="BB108" s="2" t="s">
        <v>393</v>
      </c>
      <c r="BC108" s="2" t="s">
        <v>390</v>
      </c>
      <c r="BD108" s="2">
        <v>17.05</v>
      </c>
      <c r="BE108" s="2" t="s">
        <v>390</v>
      </c>
      <c r="BF108" s="2">
        <v>17.649999999999999</v>
      </c>
      <c r="BG108" s="2" t="s">
        <v>390</v>
      </c>
      <c r="BH108" s="2">
        <v>32.18</v>
      </c>
      <c r="BI108" s="2" t="s">
        <v>390</v>
      </c>
      <c r="BJ108" s="2">
        <v>173.07</v>
      </c>
      <c r="BK108" s="2" t="s">
        <v>390</v>
      </c>
      <c r="BL108" s="2">
        <v>28.63</v>
      </c>
      <c r="BM108" s="2" t="s">
        <v>390</v>
      </c>
      <c r="BN108" s="2">
        <v>46.5</v>
      </c>
      <c r="BO108" s="2" t="s">
        <v>390</v>
      </c>
      <c r="BP108" s="2">
        <v>29.19</v>
      </c>
      <c r="BQ108" s="2" t="s">
        <v>390</v>
      </c>
      <c r="BR108" s="2">
        <v>21.31</v>
      </c>
      <c r="BS108" s="2" t="s">
        <v>390</v>
      </c>
      <c r="BT108" s="2">
        <v>12.39</v>
      </c>
      <c r="BU108" s="2" t="s">
        <v>390</v>
      </c>
      <c r="BV108" s="2">
        <v>107059.4</v>
      </c>
      <c r="BW108" s="2" t="s">
        <v>390</v>
      </c>
      <c r="BX108" s="2">
        <v>29.28</v>
      </c>
    </row>
    <row r="109" spans="1:76">
      <c r="A109" s="2" t="s">
        <v>1</v>
      </c>
      <c r="B109" s="2">
        <v>109</v>
      </c>
      <c r="C109" s="2" t="s">
        <v>391</v>
      </c>
      <c r="D109" s="2">
        <v>18.079999999999998</v>
      </c>
      <c r="E109" s="2" t="s">
        <v>391</v>
      </c>
      <c r="F109" s="2">
        <v>33.950000000000003</v>
      </c>
      <c r="G109" s="2" t="s">
        <v>391</v>
      </c>
      <c r="H109" s="2">
        <v>45.46</v>
      </c>
      <c r="I109" s="2" t="s">
        <v>391</v>
      </c>
      <c r="J109" s="2">
        <v>13.89</v>
      </c>
      <c r="K109" s="2" t="s">
        <v>391</v>
      </c>
      <c r="L109" s="2">
        <v>19.28</v>
      </c>
      <c r="M109" s="2" t="s">
        <v>391</v>
      </c>
      <c r="N109" s="2">
        <v>13.22</v>
      </c>
      <c r="O109" s="2" t="s">
        <v>391</v>
      </c>
      <c r="P109" s="2">
        <v>30.2</v>
      </c>
      <c r="Q109" s="2" t="s">
        <v>391</v>
      </c>
      <c r="R109" s="2">
        <v>24.66</v>
      </c>
      <c r="S109" s="2" t="s">
        <v>391</v>
      </c>
      <c r="T109" s="2">
        <v>17.43</v>
      </c>
      <c r="U109" s="2" t="s">
        <v>391</v>
      </c>
      <c r="V109" s="2" t="s">
        <v>406</v>
      </c>
      <c r="W109" s="2" t="s">
        <v>391</v>
      </c>
      <c r="X109" s="2">
        <v>118.8</v>
      </c>
      <c r="Y109" s="2" t="s">
        <v>391</v>
      </c>
      <c r="Z109" s="2">
        <v>28.05</v>
      </c>
      <c r="AA109" s="2" t="s">
        <v>391</v>
      </c>
      <c r="AB109" s="2">
        <v>21.62</v>
      </c>
      <c r="AC109" s="2" t="s">
        <v>391</v>
      </c>
      <c r="AD109" s="2">
        <v>20.29</v>
      </c>
      <c r="AE109" s="2" t="s">
        <v>391</v>
      </c>
      <c r="AF109" s="2">
        <v>29.9</v>
      </c>
      <c r="AG109" s="2" t="s">
        <v>391</v>
      </c>
      <c r="AH109" s="2">
        <v>50.58</v>
      </c>
      <c r="AI109" s="2" t="s">
        <v>391</v>
      </c>
      <c r="AJ109" s="2">
        <v>45.65</v>
      </c>
      <c r="AK109" s="2" t="s">
        <v>391</v>
      </c>
      <c r="AL109" s="2">
        <v>7.75</v>
      </c>
      <c r="AM109" s="2" t="s">
        <v>391</v>
      </c>
      <c r="AN109" s="2">
        <v>105.36</v>
      </c>
      <c r="AO109" s="2" t="s">
        <v>391</v>
      </c>
      <c r="AP109" s="2">
        <v>123.25</v>
      </c>
      <c r="AQ109" s="2" t="s">
        <v>391</v>
      </c>
      <c r="AR109" s="2">
        <v>11.14</v>
      </c>
      <c r="AS109" s="2" t="s">
        <v>391</v>
      </c>
      <c r="AT109" s="2" t="s">
        <v>392</v>
      </c>
      <c r="AU109" s="2" t="s">
        <v>391</v>
      </c>
      <c r="AV109" s="2">
        <v>135.12</v>
      </c>
      <c r="AW109" s="2" t="s">
        <v>391</v>
      </c>
      <c r="AX109" s="2">
        <v>125.9</v>
      </c>
      <c r="AY109" s="2" t="s">
        <v>391</v>
      </c>
      <c r="AZ109" s="2">
        <v>5.0999999999999996</v>
      </c>
      <c r="BA109" s="2" t="s">
        <v>391</v>
      </c>
      <c r="BB109" s="2" t="s">
        <v>393</v>
      </c>
      <c r="BC109" s="2" t="s">
        <v>391</v>
      </c>
      <c r="BD109" s="2">
        <v>16.940000000000001</v>
      </c>
      <c r="BE109" s="2" t="s">
        <v>391</v>
      </c>
      <c r="BF109" s="2">
        <v>17.649999999999999</v>
      </c>
      <c r="BG109" s="2" t="s">
        <v>391</v>
      </c>
      <c r="BH109" s="2">
        <v>33.31</v>
      </c>
      <c r="BI109" s="2" t="s">
        <v>391</v>
      </c>
      <c r="BJ109" s="2">
        <v>171.5</v>
      </c>
      <c r="BK109" s="2" t="s">
        <v>391</v>
      </c>
      <c r="BL109" s="2">
        <v>29.05</v>
      </c>
      <c r="BM109" s="2" t="s">
        <v>391</v>
      </c>
      <c r="BN109" s="2">
        <v>47.45</v>
      </c>
      <c r="BO109" s="2" t="s">
        <v>391</v>
      </c>
      <c r="BP109" s="2">
        <v>29.33</v>
      </c>
      <c r="BQ109" s="2" t="s">
        <v>391</v>
      </c>
      <c r="BR109" s="2">
        <v>21.15</v>
      </c>
      <c r="BS109" s="2" t="s">
        <v>391</v>
      </c>
      <c r="BT109" s="2">
        <v>12.47</v>
      </c>
      <c r="BU109" s="2" t="s">
        <v>391</v>
      </c>
      <c r="BV109" s="2">
        <v>107707.75</v>
      </c>
      <c r="BW109" s="2" t="s">
        <v>391</v>
      </c>
      <c r="BX109" s="2">
        <v>29.42</v>
      </c>
    </row>
    <row r="110" spans="1:76">
      <c r="A110" s="2" t="s">
        <v>1</v>
      </c>
      <c r="B110" s="2">
        <v>110</v>
      </c>
      <c r="C110" s="2" t="s">
        <v>394</v>
      </c>
      <c r="D110" s="2">
        <v>18.2</v>
      </c>
      <c r="E110" s="2" t="s">
        <v>394</v>
      </c>
      <c r="F110" s="2">
        <v>34.47</v>
      </c>
      <c r="G110" s="2" t="s">
        <v>394</v>
      </c>
      <c r="H110" s="2">
        <v>46.36</v>
      </c>
      <c r="I110" s="2" t="s">
        <v>394</v>
      </c>
      <c r="J110" s="2">
        <v>14.03</v>
      </c>
      <c r="K110" s="2" t="s">
        <v>394</v>
      </c>
      <c r="L110" s="2">
        <v>19.559999999999999</v>
      </c>
      <c r="M110" s="2" t="s">
        <v>394</v>
      </c>
      <c r="N110" s="2">
        <v>13.25</v>
      </c>
      <c r="O110" s="2" t="s">
        <v>394</v>
      </c>
      <c r="P110" s="2">
        <v>29.86</v>
      </c>
      <c r="Q110" s="2" t="s">
        <v>394</v>
      </c>
      <c r="R110" s="2">
        <v>24.7</v>
      </c>
      <c r="S110" s="2" t="s">
        <v>394</v>
      </c>
      <c r="T110" s="2">
        <v>17.7</v>
      </c>
      <c r="U110" s="2" t="s">
        <v>394</v>
      </c>
      <c r="V110" s="2">
        <v>6.19</v>
      </c>
      <c r="W110" s="2" t="s">
        <v>394</v>
      </c>
      <c r="X110" s="2">
        <v>119.25</v>
      </c>
      <c r="Y110" s="2" t="s">
        <v>394</v>
      </c>
      <c r="Z110" s="2">
        <v>28.05</v>
      </c>
      <c r="AA110" s="2" t="s">
        <v>394</v>
      </c>
      <c r="AB110" s="2">
        <v>22.04</v>
      </c>
      <c r="AC110" s="2" t="s">
        <v>394</v>
      </c>
      <c r="AD110" s="2">
        <v>20.27</v>
      </c>
      <c r="AE110" s="2" t="s">
        <v>394</v>
      </c>
      <c r="AF110" s="2">
        <v>29.99</v>
      </c>
      <c r="AG110" s="2" t="s">
        <v>394</v>
      </c>
      <c r="AH110" s="2">
        <v>50.37</v>
      </c>
      <c r="AI110" s="2" t="s">
        <v>394</v>
      </c>
      <c r="AJ110" s="2" t="s">
        <v>66</v>
      </c>
      <c r="AK110" s="2" t="s">
        <v>394</v>
      </c>
      <c r="AL110" s="2">
        <v>7.79</v>
      </c>
      <c r="AM110" s="2" t="s">
        <v>394</v>
      </c>
      <c r="AN110" s="2">
        <v>105.48</v>
      </c>
      <c r="AO110" s="2" t="s">
        <v>394</v>
      </c>
      <c r="AP110" s="2" t="s">
        <v>369</v>
      </c>
      <c r="AQ110" s="2" t="s">
        <v>394</v>
      </c>
      <c r="AR110" s="2">
        <v>11.28</v>
      </c>
      <c r="AS110" s="2" t="s">
        <v>394</v>
      </c>
      <c r="AT110" s="2">
        <v>1243.79</v>
      </c>
      <c r="AU110" s="2" t="s">
        <v>394</v>
      </c>
      <c r="AV110" s="2">
        <v>136.03</v>
      </c>
      <c r="AW110" s="2" t="s">
        <v>394</v>
      </c>
      <c r="AX110" s="2">
        <v>126.09</v>
      </c>
      <c r="AY110" s="2" t="s">
        <v>394</v>
      </c>
      <c r="AZ110" s="2" t="s">
        <v>396</v>
      </c>
      <c r="BA110" s="2" t="s">
        <v>394</v>
      </c>
      <c r="BB110" s="2">
        <v>179.8</v>
      </c>
      <c r="BC110" s="2" t="s">
        <v>394</v>
      </c>
      <c r="BD110" s="2">
        <v>17.25</v>
      </c>
      <c r="BE110" s="2" t="s">
        <v>394</v>
      </c>
      <c r="BF110" s="2">
        <v>17.43</v>
      </c>
      <c r="BG110" s="2" t="s">
        <v>394</v>
      </c>
      <c r="BH110" s="2" t="s">
        <v>101</v>
      </c>
      <c r="BI110" s="2" t="s">
        <v>394</v>
      </c>
      <c r="BJ110" s="2">
        <v>173.88</v>
      </c>
      <c r="BK110" s="2" t="s">
        <v>394</v>
      </c>
      <c r="BL110" s="2">
        <v>29.43</v>
      </c>
      <c r="BM110" s="2" t="s">
        <v>394</v>
      </c>
      <c r="BN110" s="2">
        <v>48.15</v>
      </c>
      <c r="BO110" s="2" t="s">
        <v>394</v>
      </c>
      <c r="BP110" s="2">
        <v>29.53</v>
      </c>
      <c r="BQ110" s="2" t="s">
        <v>394</v>
      </c>
      <c r="BR110" s="2" t="s">
        <v>87</v>
      </c>
      <c r="BS110" s="2" t="s">
        <v>394</v>
      </c>
      <c r="BT110" s="2">
        <v>12.5</v>
      </c>
      <c r="BU110" s="2" t="s">
        <v>394</v>
      </c>
      <c r="BV110" s="2">
        <v>108290.09</v>
      </c>
      <c r="BW110" s="2" t="s">
        <v>394</v>
      </c>
      <c r="BX110" s="2">
        <v>29.7</v>
      </c>
    </row>
    <row r="111" spans="1:76">
      <c r="A111" s="2" t="s">
        <v>1</v>
      </c>
      <c r="B111" s="2">
        <v>111</v>
      </c>
      <c r="C111" s="2" t="s">
        <v>395</v>
      </c>
      <c r="D111" s="2">
        <v>18.399999999999999</v>
      </c>
      <c r="E111" s="2" t="s">
        <v>395</v>
      </c>
      <c r="F111" s="2">
        <v>34.450000000000003</v>
      </c>
      <c r="G111" s="2" t="s">
        <v>395</v>
      </c>
      <c r="H111" s="2">
        <v>46.77</v>
      </c>
      <c r="I111" s="2" t="s">
        <v>395</v>
      </c>
      <c r="J111" s="2">
        <v>13.79</v>
      </c>
      <c r="K111" s="2" t="s">
        <v>395</v>
      </c>
      <c r="L111" s="2">
        <v>19.89</v>
      </c>
      <c r="M111" s="2" t="s">
        <v>395</v>
      </c>
      <c r="N111" s="2">
        <v>13.27</v>
      </c>
      <c r="O111" s="2" t="s">
        <v>395</v>
      </c>
      <c r="P111" s="2">
        <v>29.96</v>
      </c>
      <c r="Q111" s="2" t="s">
        <v>395</v>
      </c>
      <c r="R111" s="2">
        <v>24.79</v>
      </c>
      <c r="S111" s="2" t="s">
        <v>395</v>
      </c>
      <c r="T111" s="2">
        <v>17.57</v>
      </c>
      <c r="U111" s="2" t="s">
        <v>395</v>
      </c>
      <c r="V111" s="2">
        <v>6.17</v>
      </c>
      <c r="W111" s="2" t="s">
        <v>395</v>
      </c>
      <c r="X111" s="2" t="s">
        <v>141</v>
      </c>
      <c r="Y111" s="2" t="s">
        <v>395</v>
      </c>
      <c r="Z111" s="2">
        <v>28.3</v>
      </c>
      <c r="AA111" s="2" t="s">
        <v>395</v>
      </c>
      <c r="AB111" s="2">
        <v>22.14</v>
      </c>
      <c r="AC111" s="2" t="s">
        <v>395</v>
      </c>
      <c r="AD111" s="2">
        <v>19.7</v>
      </c>
      <c r="AE111" s="2" t="s">
        <v>395</v>
      </c>
      <c r="AF111" s="2">
        <v>29.94</v>
      </c>
      <c r="AG111" s="2" t="s">
        <v>395</v>
      </c>
      <c r="AH111" s="2">
        <v>49.98</v>
      </c>
      <c r="AI111" s="2" t="s">
        <v>395</v>
      </c>
      <c r="AJ111" s="2">
        <v>46.3</v>
      </c>
      <c r="AK111" s="2" t="s">
        <v>395</v>
      </c>
      <c r="AL111" s="2">
        <v>7.79</v>
      </c>
      <c r="AM111" s="2" t="s">
        <v>395</v>
      </c>
      <c r="AN111" s="2">
        <v>105.77</v>
      </c>
      <c r="AO111" s="2" t="s">
        <v>395</v>
      </c>
      <c r="AP111" s="2">
        <v>122.9</v>
      </c>
      <c r="AQ111" s="2" t="s">
        <v>395</v>
      </c>
      <c r="AR111" s="2">
        <v>11.47</v>
      </c>
      <c r="AS111" s="2" t="s">
        <v>395</v>
      </c>
      <c r="AT111" s="2">
        <v>1249.8</v>
      </c>
      <c r="AU111" s="2" t="s">
        <v>395</v>
      </c>
      <c r="AV111" s="2">
        <v>138.6</v>
      </c>
      <c r="AW111" s="2" t="s">
        <v>395</v>
      </c>
      <c r="AX111" s="2">
        <v>126.69</v>
      </c>
      <c r="AY111" s="2" t="s">
        <v>395</v>
      </c>
      <c r="AZ111" s="2">
        <v>5.08</v>
      </c>
      <c r="BA111" s="2" t="s">
        <v>395</v>
      </c>
      <c r="BB111" s="2">
        <v>181.55</v>
      </c>
      <c r="BC111" s="2" t="s">
        <v>395</v>
      </c>
      <c r="BD111" s="2">
        <v>17.37</v>
      </c>
      <c r="BE111" s="2" t="s">
        <v>395</v>
      </c>
      <c r="BF111" s="2">
        <v>17.37</v>
      </c>
      <c r="BG111" s="2" t="s">
        <v>395</v>
      </c>
      <c r="BH111" s="2">
        <v>33.08</v>
      </c>
      <c r="BI111" s="2" t="s">
        <v>395</v>
      </c>
      <c r="BJ111" s="2">
        <v>174.9</v>
      </c>
      <c r="BK111" s="2" t="s">
        <v>395</v>
      </c>
      <c r="BL111" s="2">
        <v>30.42</v>
      </c>
      <c r="BM111" s="2" t="s">
        <v>395</v>
      </c>
      <c r="BN111" s="2">
        <v>47.72</v>
      </c>
      <c r="BO111" s="2" t="s">
        <v>395</v>
      </c>
      <c r="BP111" s="2">
        <v>29.15</v>
      </c>
      <c r="BQ111" s="2" t="s">
        <v>395</v>
      </c>
      <c r="BR111" s="2">
        <v>23.26</v>
      </c>
      <c r="BS111" s="2" t="s">
        <v>395</v>
      </c>
      <c r="BT111" s="2">
        <v>12.65</v>
      </c>
      <c r="BU111" s="2" t="s">
        <v>395</v>
      </c>
      <c r="BV111" s="2">
        <v>108233.28</v>
      </c>
      <c r="BW111" s="2" t="s">
        <v>395</v>
      </c>
      <c r="BX111" s="2">
        <v>30.04</v>
      </c>
    </row>
    <row r="112" spans="1:76">
      <c r="A112" s="2" t="s">
        <v>1</v>
      </c>
      <c r="B112" s="2">
        <v>112</v>
      </c>
      <c r="C112" s="2" t="s">
        <v>397</v>
      </c>
      <c r="D112" s="2">
        <v>18.420000000000002</v>
      </c>
      <c r="E112" s="2" t="s">
        <v>397</v>
      </c>
      <c r="F112" s="2">
        <v>34.520000000000003</v>
      </c>
      <c r="G112" s="2" t="s">
        <v>397</v>
      </c>
      <c r="H112" s="2">
        <v>46.85</v>
      </c>
      <c r="I112" s="2" t="s">
        <v>397</v>
      </c>
      <c r="J112" s="2">
        <v>13.96</v>
      </c>
      <c r="K112" s="2" t="s">
        <v>397</v>
      </c>
      <c r="L112" s="2">
        <v>19.78</v>
      </c>
      <c r="M112" s="2" t="s">
        <v>397</v>
      </c>
      <c r="N112" s="2">
        <v>13.36</v>
      </c>
      <c r="O112" s="2" t="s">
        <v>397</v>
      </c>
      <c r="P112" s="2">
        <v>30.32</v>
      </c>
      <c r="Q112" s="2" t="s">
        <v>397</v>
      </c>
      <c r="R112" s="2">
        <v>24.9</v>
      </c>
      <c r="S112" s="2" t="s">
        <v>397</v>
      </c>
      <c r="T112" s="2">
        <v>17.45</v>
      </c>
      <c r="U112" s="2" t="s">
        <v>397</v>
      </c>
      <c r="V112" s="2">
        <v>6.16</v>
      </c>
      <c r="W112" s="2" t="s">
        <v>397</v>
      </c>
      <c r="X112" s="2">
        <v>112.5</v>
      </c>
      <c r="Y112" s="2" t="s">
        <v>397</v>
      </c>
      <c r="Z112" s="2">
        <v>28.5</v>
      </c>
      <c r="AA112" s="2" t="s">
        <v>397</v>
      </c>
      <c r="AB112" s="2" t="s">
        <v>87</v>
      </c>
      <c r="AC112" s="2" t="s">
        <v>397</v>
      </c>
      <c r="AD112" s="2">
        <v>18.98</v>
      </c>
      <c r="AE112" s="2" t="s">
        <v>397</v>
      </c>
      <c r="AF112" s="2">
        <v>30.19</v>
      </c>
      <c r="AG112" s="2" t="s">
        <v>397</v>
      </c>
      <c r="AH112" s="2">
        <v>51.34</v>
      </c>
      <c r="AI112" s="2" t="s">
        <v>397</v>
      </c>
      <c r="AJ112" s="2" t="s">
        <v>66</v>
      </c>
      <c r="AK112" s="2" t="s">
        <v>397</v>
      </c>
      <c r="AL112" s="2">
        <v>7.8</v>
      </c>
      <c r="AM112" s="2" t="s">
        <v>397</v>
      </c>
      <c r="AN112" s="2">
        <v>102.9</v>
      </c>
      <c r="AO112" s="2" t="s">
        <v>397</v>
      </c>
      <c r="AP112" s="2">
        <v>116.76</v>
      </c>
      <c r="AQ112" s="2" t="s">
        <v>397</v>
      </c>
      <c r="AR112" s="2">
        <v>11.37</v>
      </c>
      <c r="AS112" s="2" t="s">
        <v>397</v>
      </c>
      <c r="AT112" s="2">
        <v>1250.3499999999999</v>
      </c>
      <c r="AU112" s="2" t="s">
        <v>397</v>
      </c>
      <c r="AV112" s="2">
        <v>138.55000000000001</v>
      </c>
      <c r="AW112" s="2" t="s">
        <v>397</v>
      </c>
      <c r="AX112" s="2">
        <v>125.29</v>
      </c>
      <c r="AY112" s="2" t="s">
        <v>397</v>
      </c>
      <c r="AZ112" s="2">
        <v>5.12</v>
      </c>
      <c r="BA112" s="2" t="s">
        <v>397</v>
      </c>
      <c r="BB112" s="2" t="s">
        <v>400</v>
      </c>
      <c r="BC112" s="2" t="s">
        <v>397</v>
      </c>
      <c r="BD112" s="2">
        <v>17.52</v>
      </c>
      <c r="BE112" s="2" t="s">
        <v>397</v>
      </c>
      <c r="BF112" s="2">
        <v>17.38</v>
      </c>
      <c r="BG112" s="2" t="s">
        <v>397</v>
      </c>
      <c r="BH112" s="2">
        <v>32.630000000000003</v>
      </c>
      <c r="BI112" s="2" t="s">
        <v>397</v>
      </c>
      <c r="BJ112" s="2">
        <v>174.49</v>
      </c>
      <c r="BK112" s="2" t="s">
        <v>397</v>
      </c>
      <c r="BL112" s="2">
        <v>30.16</v>
      </c>
      <c r="BM112" s="2" t="s">
        <v>397</v>
      </c>
      <c r="BN112" s="2">
        <v>47.6</v>
      </c>
      <c r="BO112" s="2" t="s">
        <v>397</v>
      </c>
      <c r="BP112" s="2">
        <v>29.07</v>
      </c>
      <c r="BQ112" s="2" t="s">
        <v>397</v>
      </c>
      <c r="BR112" s="2">
        <v>23.08</v>
      </c>
      <c r="BS112" s="2" t="s">
        <v>397</v>
      </c>
      <c r="BT112" s="2">
        <v>12.79</v>
      </c>
      <c r="BU112" s="2" t="s">
        <v>397</v>
      </c>
      <c r="BV112" s="2">
        <v>108927.83</v>
      </c>
      <c r="BW112" s="2" t="s">
        <v>397</v>
      </c>
      <c r="BX112" s="2">
        <v>30.1</v>
      </c>
    </row>
    <row r="113" spans="1:76">
      <c r="A113" s="2" t="s">
        <v>1</v>
      </c>
      <c r="B113" s="2">
        <v>113</v>
      </c>
      <c r="C113" s="2" t="s">
        <v>398</v>
      </c>
      <c r="D113" s="2">
        <v>18.36</v>
      </c>
      <c r="E113" s="2" t="s">
        <v>398</v>
      </c>
      <c r="F113" s="2">
        <v>35.86</v>
      </c>
      <c r="G113" s="2" t="s">
        <v>398</v>
      </c>
      <c r="H113" s="2">
        <v>45.98</v>
      </c>
      <c r="I113" s="2" t="s">
        <v>398</v>
      </c>
      <c r="J113" s="2">
        <v>13.76</v>
      </c>
      <c r="K113" s="2" t="s">
        <v>398</v>
      </c>
      <c r="L113" s="2">
        <v>20.03</v>
      </c>
      <c r="M113" s="2" t="s">
        <v>398</v>
      </c>
      <c r="N113" s="2">
        <v>13.33</v>
      </c>
      <c r="O113" s="2" t="s">
        <v>398</v>
      </c>
      <c r="P113" s="2">
        <v>30.4</v>
      </c>
      <c r="Q113" s="2" t="s">
        <v>398</v>
      </c>
      <c r="R113" s="2">
        <v>24.8</v>
      </c>
      <c r="S113" s="2" t="s">
        <v>398</v>
      </c>
      <c r="T113" s="2">
        <v>18.7</v>
      </c>
      <c r="U113" s="2" t="s">
        <v>398</v>
      </c>
      <c r="V113" s="2">
        <v>6.14</v>
      </c>
      <c r="W113" s="2" t="s">
        <v>398</v>
      </c>
      <c r="X113" s="2">
        <v>115.2</v>
      </c>
      <c r="Y113" s="2" t="s">
        <v>398</v>
      </c>
      <c r="Z113" s="2">
        <v>28.61</v>
      </c>
      <c r="AA113" s="2" t="s">
        <v>398</v>
      </c>
      <c r="AB113" s="2">
        <v>22.06</v>
      </c>
      <c r="AC113" s="2" t="s">
        <v>398</v>
      </c>
      <c r="AD113" s="2">
        <v>19.43</v>
      </c>
      <c r="AE113" s="2" t="s">
        <v>398</v>
      </c>
      <c r="AF113" s="2">
        <v>29.81</v>
      </c>
      <c r="AG113" s="2" t="s">
        <v>398</v>
      </c>
      <c r="AH113" s="2">
        <v>50.42</v>
      </c>
      <c r="AI113" s="2" t="s">
        <v>398</v>
      </c>
      <c r="AJ113" s="2">
        <v>46.99</v>
      </c>
      <c r="AK113" s="2" t="s">
        <v>398</v>
      </c>
      <c r="AL113" s="2">
        <v>7.77</v>
      </c>
      <c r="AM113" s="2" t="s">
        <v>398</v>
      </c>
      <c r="AN113" s="2">
        <v>103.7</v>
      </c>
      <c r="AO113" s="2" t="s">
        <v>398</v>
      </c>
      <c r="AP113" s="2" t="s">
        <v>96</v>
      </c>
      <c r="AQ113" s="2" t="s">
        <v>398</v>
      </c>
      <c r="AR113" s="2">
        <v>11.49</v>
      </c>
      <c r="AS113" s="2" t="s">
        <v>398</v>
      </c>
      <c r="AT113" s="2" t="s">
        <v>399</v>
      </c>
      <c r="AU113" s="2" t="s">
        <v>398</v>
      </c>
      <c r="AV113" s="2">
        <v>139.4</v>
      </c>
      <c r="AW113" s="2" t="s">
        <v>398</v>
      </c>
      <c r="AX113" s="2">
        <v>125.44</v>
      </c>
      <c r="AY113" s="2" t="s">
        <v>398</v>
      </c>
      <c r="AZ113" s="2">
        <v>5.12</v>
      </c>
      <c r="BA113" s="2" t="s">
        <v>398</v>
      </c>
      <c r="BB113" s="2">
        <v>180.46</v>
      </c>
      <c r="BC113" s="2" t="s">
        <v>398</v>
      </c>
      <c r="BD113" s="2">
        <v>17.64</v>
      </c>
      <c r="BE113" s="2" t="s">
        <v>398</v>
      </c>
      <c r="BF113" s="2">
        <v>17.829999999999998</v>
      </c>
      <c r="BG113" s="2" t="s">
        <v>398</v>
      </c>
      <c r="BH113" s="2">
        <v>33.29</v>
      </c>
      <c r="BI113" s="2" t="s">
        <v>398</v>
      </c>
      <c r="BJ113" s="2">
        <v>174.75</v>
      </c>
      <c r="BK113" s="2" t="s">
        <v>398</v>
      </c>
      <c r="BL113" s="2">
        <v>30.71</v>
      </c>
      <c r="BM113" s="2" t="s">
        <v>398</v>
      </c>
      <c r="BN113" s="2">
        <v>48.11</v>
      </c>
      <c r="BO113" s="2" t="s">
        <v>398</v>
      </c>
      <c r="BP113" s="2">
        <v>28.98</v>
      </c>
      <c r="BQ113" s="2" t="s">
        <v>398</v>
      </c>
      <c r="BR113" s="2">
        <v>23.48</v>
      </c>
      <c r="BS113" s="2" t="s">
        <v>398</v>
      </c>
      <c r="BT113" s="2">
        <v>13.09</v>
      </c>
      <c r="BU113" s="2" t="s">
        <v>398</v>
      </c>
      <c r="BV113" s="2">
        <v>108956.02</v>
      </c>
      <c r="BW113" s="2" t="s">
        <v>398</v>
      </c>
      <c r="BX113" s="2">
        <v>30.04</v>
      </c>
    </row>
    <row r="114" spans="1:76">
      <c r="A114" s="2" t="s">
        <v>1</v>
      </c>
      <c r="B114" s="2">
        <v>114</v>
      </c>
      <c r="C114" s="2" t="s">
        <v>401</v>
      </c>
      <c r="D114" s="2">
        <v>18.54</v>
      </c>
      <c r="E114" s="2" t="s">
        <v>401</v>
      </c>
      <c r="F114" s="2">
        <v>36.11</v>
      </c>
      <c r="G114" s="2" t="s">
        <v>401</v>
      </c>
      <c r="H114" s="2">
        <v>46.93</v>
      </c>
      <c r="I114" s="2" t="s">
        <v>401</v>
      </c>
      <c r="J114" s="2">
        <v>13.85</v>
      </c>
      <c r="K114" s="2" t="s">
        <v>401</v>
      </c>
      <c r="L114" s="2">
        <v>20.100000000000001</v>
      </c>
      <c r="M114" s="2" t="s">
        <v>401</v>
      </c>
      <c r="N114" s="2">
        <v>13.65</v>
      </c>
      <c r="O114" s="2" t="s">
        <v>401</v>
      </c>
      <c r="P114" s="2">
        <v>31.25</v>
      </c>
      <c r="Q114" s="2" t="s">
        <v>401</v>
      </c>
      <c r="R114" s="2">
        <v>24.9</v>
      </c>
      <c r="S114" s="2" t="s">
        <v>401</v>
      </c>
      <c r="T114" s="2">
        <v>18.7</v>
      </c>
      <c r="U114" s="2" t="s">
        <v>401</v>
      </c>
      <c r="V114" s="2">
        <v>6.2</v>
      </c>
      <c r="W114" s="2" t="s">
        <v>401</v>
      </c>
      <c r="X114" s="2">
        <v>116.5</v>
      </c>
      <c r="Y114" s="2" t="s">
        <v>401</v>
      </c>
      <c r="Z114" s="2">
        <v>28.78</v>
      </c>
      <c r="AA114" s="2" t="s">
        <v>401</v>
      </c>
      <c r="AB114" s="2" t="s">
        <v>87</v>
      </c>
      <c r="AC114" s="2" t="s">
        <v>401</v>
      </c>
      <c r="AD114" s="2">
        <v>19.649999999999999</v>
      </c>
      <c r="AE114" s="2" t="s">
        <v>401</v>
      </c>
      <c r="AF114" s="2">
        <v>29.8</v>
      </c>
      <c r="AG114" s="2" t="s">
        <v>401</v>
      </c>
      <c r="AH114" s="2">
        <v>50.92</v>
      </c>
      <c r="AI114" s="2" t="s">
        <v>401</v>
      </c>
      <c r="AJ114" s="2">
        <v>47.5</v>
      </c>
      <c r="AK114" s="2" t="s">
        <v>401</v>
      </c>
      <c r="AL114" s="2">
        <v>7.97</v>
      </c>
      <c r="AM114" s="2" t="s">
        <v>401</v>
      </c>
      <c r="AN114" s="2">
        <v>104.6</v>
      </c>
      <c r="AO114" s="2" t="s">
        <v>401</v>
      </c>
      <c r="AP114" s="2">
        <v>119.95</v>
      </c>
      <c r="AQ114" s="2" t="s">
        <v>401</v>
      </c>
      <c r="AR114" s="2">
        <v>11.53</v>
      </c>
      <c r="AS114" s="2" t="s">
        <v>401</v>
      </c>
      <c r="AT114" s="2" t="s">
        <v>402</v>
      </c>
      <c r="AU114" s="2" t="s">
        <v>401</v>
      </c>
      <c r="AV114" s="2">
        <v>140.13</v>
      </c>
      <c r="AW114" s="2" t="s">
        <v>401</v>
      </c>
      <c r="AX114" s="2">
        <v>125.41</v>
      </c>
      <c r="AY114" s="2" t="s">
        <v>401</v>
      </c>
      <c r="AZ114" s="2">
        <v>5.08</v>
      </c>
      <c r="BA114" s="2" t="s">
        <v>401</v>
      </c>
      <c r="BB114" s="2">
        <v>184.84</v>
      </c>
      <c r="BC114" s="2" t="s">
        <v>401</v>
      </c>
      <c r="BD114" s="2">
        <v>17.399999999999999</v>
      </c>
      <c r="BE114" s="2" t="s">
        <v>401</v>
      </c>
      <c r="BF114" s="2">
        <v>18.2</v>
      </c>
      <c r="BG114" s="2" t="s">
        <v>401</v>
      </c>
      <c r="BH114" s="2">
        <v>33.380000000000003</v>
      </c>
      <c r="BI114" s="2" t="s">
        <v>401</v>
      </c>
      <c r="BJ114" s="2">
        <v>175.61</v>
      </c>
      <c r="BK114" s="2" t="s">
        <v>401</v>
      </c>
      <c r="BL114" s="2">
        <v>31.82</v>
      </c>
      <c r="BM114" s="2" t="s">
        <v>401</v>
      </c>
      <c r="BN114" s="2">
        <v>49.38</v>
      </c>
      <c r="BO114" s="2" t="s">
        <v>401</v>
      </c>
      <c r="BP114" s="2">
        <v>29.66</v>
      </c>
      <c r="BQ114" s="2" t="s">
        <v>401</v>
      </c>
      <c r="BR114" s="2">
        <v>25.49</v>
      </c>
      <c r="BS114" s="2" t="s">
        <v>401</v>
      </c>
      <c r="BT114" s="2">
        <v>13.22</v>
      </c>
      <c r="BU114" s="2" t="s">
        <v>401</v>
      </c>
      <c r="BV114" s="2">
        <v>110300.93</v>
      </c>
      <c r="BW114" s="2" t="s">
        <v>401</v>
      </c>
      <c r="BX114" s="2">
        <v>29.6</v>
      </c>
    </row>
    <row r="115" spans="1:76">
      <c r="A115" s="2" t="s">
        <v>1</v>
      </c>
      <c r="B115" s="2">
        <v>115</v>
      </c>
      <c r="C115" s="2" t="s">
        <v>403</v>
      </c>
      <c r="D115" s="2">
        <v>18.670000000000002</v>
      </c>
      <c r="E115" s="2" t="s">
        <v>403</v>
      </c>
      <c r="F115" s="2">
        <v>36.700000000000003</v>
      </c>
      <c r="G115" s="2" t="s">
        <v>403</v>
      </c>
      <c r="H115" s="2">
        <v>47.64</v>
      </c>
      <c r="I115" s="2" t="s">
        <v>403</v>
      </c>
      <c r="J115" s="2">
        <v>13.63</v>
      </c>
      <c r="K115" s="2" t="s">
        <v>403</v>
      </c>
      <c r="L115" s="2">
        <v>20.25</v>
      </c>
      <c r="M115" s="2" t="s">
        <v>403</v>
      </c>
      <c r="N115" s="2">
        <v>13.59</v>
      </c>
      <c r="O115" s="2" t="s">
        <v>403</v>
      </c>
      <c r="P115" s="2">
        <v>31.32</v>
      </c>
      <c r="Q115" s="2" t="s">
        <v>403</v>
      </c>
      <c r="R115" s="2">
        <v>24.97</v>
      </c>
      <c r="S115" s="2" t="s">
        <v>403</v>
      </c>
      <c r="T115" s="2">
        <v>18.39</v>
      </c>
      <c r="U115" s="2" t="s">
        <v>403</v>
      </c>
      <c r="V115" s="2">
        <v>6.22</v>
      </c>
      <c r="W115" s="2" t="s">
        <v>403</v>
      </c>
      <c r="X115" s="2">
        <v>116.8</v>
      </c>
      <c r="Y115" s="2" t="s">
        <v>403</v>
      </c>
      <c r="Z115" s="2">
        <v>28.9</v>
      </c>
      <c r="AA115" s="2" t="s">
        <v>403</v>
      </c>
      <c r="AB115" s="2">
        <v>21.98</v>
      </c>
      <c r="AC115" s="2" t="s">
        <v>403</v>
      </c>
      <c r="AD115" s="2">
        <v>19.5</v>
      </c>
      <c r="AE115" s="2" t="s">
        <v>403</v>
      </c>
      <c r="AF115" s="2">
        <v>29.7</v>
      </c>
      <c r="AG115" s="2" t="s">
        <v>403</v>
      </c>
      <c r="AH115" s="2">
        <v>50.95</v>
      </c>
      <c r="AI115" s="2" t="s">
        <v>403</v>
      </c>
      <c r="AJ115" s="2">
        <v>46.61</v>
      </c>
      <c r="AK115" s="2" t="s">
        <v>403</v>
      </c>
      <c r="AL115" s="2">
        <v>8.11</v>
      </c>
      <c r="AM115" s="2" t="s">
        <v>403</v>
      </c>
      <c r="AN115" s="2">
        <v>104.6</v>
      </c>
      <c r="AO115" s="2" t="s">
        <v>403</v>
      </c>
      <c r="AP115" s="2">
        <v>119.5</v>
      </c>
      <c r="AQ115" s="2" t="s">
        <v>403</v>
      </c>
      <c r="AR115" s="2">
        <v>11.61</v>
      </c>
      <c r="AS115" s="2" t="s">
        <v>403</v>
      </c>
      <c r="AT115" s="2" t="s">
        <v>404</v>
      </c>
      <c r="AU115" s="2" t="s">
        <v>403</v>
      </c>
      <c r="AV115" s="2" t="s">
        <v>42</v>
      </c>
      <c r="AW115" s="2" t="s">
        <v>403</v>
      </c>
      <c r="AX115" s="2">
        <v>125.37</v>
      </c>
      <c r="AY115" s="2" t="s">
        <v>403</v>
      </c>
      <c r="AZ115" s="2">
        <v>5.12</v>
      </c>
      <c r="BA115" s="2" t="s">
        <v>403</v>
      </c>
      <c r="BB115" s="2">
        <v>184.8</v>
      </c>
      <c r="BC115" s="2" t="s">
        <v>403</v>
      </c>
      <c r="BD115" s="2">
        <v>17.899999999999999</v>
      </c>
      <c r="BE115" s="2" t="s">
        <v>403</v>
      </c>
      <c r="BF115" s="2">
        <v>18.190000000000001</v>
      </c>
      <c r="BG115" s="2" t="s">
        <v>403</v>
      </c>
      <c r="BH115" s="2">
        <v>34.19</v>
      </c>
      <c r="BI115" s="2" t="s">
        <v>403</v>
      </c>
      <c r="BJ115" s="2">
        <v>178.63</v>
      </c>
      <c r="BK115" s="2" t="s">
        <v>403</v>
      </c>
      <c r="BL115" s="2">
        <v>32.770000000000003</v>
      </c>
      <c r="BM115" s="2" t="s">
        <v>403</v>
      </c>
      <c r="BN115" s="2">
        <v>49.25</v>
      </c>
      <c r="BO115" s="2" t="s">
        <v>403</v>
      </c>
      <c r="BP115" s="2">
        <v>30.05</v>
      </c>
      <c r="BQ115" s="2" t="s">
        <v>403</v>
      </c>
      <c r="BR115" s="2">
        <v>24.95</v>
      </c>
      <c r="BS115" s="2" t="s">
        <v>403</v>
      </c>
      <c r="BT115" s="2">
        <v>13.39</v>
      </c>
      <c r="BU115" s="2" t="s">
        <v>403</v>
      </c>
      <c r="BV115" s="2">
        <v>110622.27</v>
      </c>
      <c r="BW115" s="2" t="s">
        <v>403</v>
      </c>
      <c r="BX115" s="2">
        <v>29.45</v>
      </c>
    </row>
    <row r="116" spans="1:76">
      <c r="A116" s="2" t="s">
        <v>1</v>
      </c>
      <c r="B116" s="2">
        <v>116</v>
      </c>
      <c r="C116" s="2" t="s">
        <v>405</v>
      </c>
      <c r="D116" s="2">
        <v>18.43</v>
      </c>
      <c r="E116" s="2" t="s">
        <v>405</v>
      </c>
      <c r="F116" s="2">
        <v>36.72</v>
      </c>
      <c r="G116" s="2" t="s">
        <v>405</v>
      </c>
      <c r="H116" s="2">
        <v>47.65</v>
      </c>
      <c r="I116" s="2" t="s">
        <v>405</v>
      </c>
      <c r="J116" s="2">
        <v>13.58</v>
      </c>
      <c r="K116" s="2" t="s">
        <v>405</v>
      </c>
      <c r="L116" s="2">
        <v>20.02</v>
      </c>
      <c r="M116" s="2" t="s">
        <v>405</v>
      </c>
      <c r="N116" s="2">
        <v>13.46</v>
      </c>
      <c r="O116" s="2" t="s">
        <v>405</v>
      </c>
      <c r="P116" s="2">
        <v>30.97</v>
      </c>
      <c r="Q116" s="2" t="s">
        <v>405</v>
      </c>
      <c r="R116" s="2">
        <v>25.05</v>
      </c>
      <c r="S116" s="2" t="s">
        <v>405</v>
      </c>
      <c r="T116" s="2">
        <v>19.260000000000002</v>
      </c>
      <c r="U116" s="2" t="s">
        <v>405</v>
      </c>
      <c r="V116" s="2">
        <v>6.22</v>
      </c>
      <c r="W116" s="2" t="s">
        <v>405</v>
      </c>
      <c r="X116" s="2">
        <v>117.2</v>
      </c>
      <c r="Y116" s="2" t="s">
        <v>405</v>
      </c>
      <c r="Z116" s="2">
        <v>28.96</v>
      </c>
      <c r="AA116" s="2" t="s">
        <v>405</v>
      </c>
      <c r="AB116" s="2">
        <v>22.06</v>
      </c>
      <c r="AC116" s="2" t="s">
        <v>405</v>
      </c>
      <c r="AD116" s="2">
        <v>19.43</v>
      </c>
      <c r="AE116" s="2" t="s">
        <v>405</v>
      </c>
      <c r="AF116" s="2">
        <v>29.45</v>
      </c>
      <c r="AG116" s="2" t="s">
        <v>405</v>
      </c>
      <c r="AH116" s="2">
        <v>51.35</v>
      </c>
      <c r="AI116" s="2" t="s">
        <v>405</v>
      </c>
      <c r="AJ116" s="2" t="s">
        <v>134</v>
      </c>
      <c r="AK116" s="2" t="s">
        <v>405</v>
      </c>
      <c r="AL116" s="2">
        <v>8.31</v>
      </c>
      <c r="AM116" s="2" t="s">
        <v>405</v>
      </c>
      <c r="AN116" s="2">
        <v>102.52</v>
      </c>
      <c r="AO116" s="2" t="s">
        <v>405</v>
      </c>
      <c r="AP116" s="2">
        <v>119.5</v>
      </c>
      <c r="AQ116" s="2" t="s">
        <v>405</v>
      </c>
      <c r="AR116" s="2">
        <v>11.73</v>
      </c>
      <c r="AS116" s="2" t="s">
        <v>405</v>
      </c>
      <c r="AT116" s="2">
        <v>1269.98</v>
      </c>
      <c r="AU116" s="2" t="s">
        <v>405</v>
      </c>
      <c r="AV116" s="2" t="s">
        <v>199</v>
      </c>
      <c r="AW116" s="2" t="s">
        <v>405</v>
      </c>
      <c r="AX116" s="2">
        <v>125.39</v>
      </c>
      <c r="AY116" s="2" t="s">
        <v>405</v>
      </c>
      <c r="AZ116" s="2">
        <v>5.0999999999999996</v>
      </c>
      <c r="BA116" s="2" t="s">
        <v>405</v>
      </c>
      <c r="BB116" s="2">
        <v>185.73</v>
      </c>
      <c r="BC116" s="2" t="s">
        <v>405</v>
      </c>
      <c r="BD116" s="2">
        <v>18.16</v>
      </c>
      <c r="BE116" s="2" t="s">
        <v>405</v>
      </c>
      <c r="BF116" s="2">
        <v>18.45</v>
      </c>
      <c r="BG116" s="2" t="s">
        <v>405</v>
      </c>
      <c r="BH116" s="2">
        <v>34.21</v>
      </c>
      <c r="BI116" s="2" t="s">
        <v>405</v>
      </c>
      <c r="BJ116" s="2" t="s">
        <v>400</v>
      </c>
      <c r="BK116" s="2" t="s">
        <v>405</v>
      </c>
      <c r="BL116" s="2">
        <v>32.74</v>
      </c>
      <c r="BM116" s="2" t="s">
        <v>405</v>
      </c>
      <c r="BN116" s="2">
        <v>49.1</v>
      </c>
      <c r="BO116" s="2" t="s">
        <v>405</v>
      </c>
      <c r="BP116" s="2">
        <v>30.35</v>
      </c>
      <c r="BQ116" s="2" t="s">
        <v>405</v>
      </c>
      <c r="BR116" s="2">
        <v>26.58</v>
      </c>
      <c r="BS116" s="2" t="s">
        <v>405</v>
      </c>
      <c r="BT116" s="2">
        <v>13.53</v>
      </c>
      <c r="BU116" s="2" t="s">
        <v>405</v>
      </c>
      <c r="BV116" s="2">
        <v>111125.75</v>
      </c>
      <c r="BW116" s="2" t="s">
        <v>405</v>
      </c>
      <c r="BX116" s="2">
        <v>29.85</v>
      </c>
    </row>
    <row r="117" spans="1:76">
      <c r="A117" s="2" t="s">
        <v>1</v>
      </c>
      <c r="B117" s="2">
        <v>117</v>
      </c>
      <c r="C117" s="2" t="s">
        <v>407</v>
      </c>
      <c r="D117" s="2">
        <v>18.66</v>
      </c>
      <c r="E117" s="2" t="s">
        <v>407</v>
      </c>
      <c r="F117" s="2">
        <v>36.619999999999997</v>
      </c>
      <c r="G117" s="2" t="s">
        <v>407</v>
      </c>
      <c r="H117" s="2">
        <v>47.5</v>
      </c>
      <c r="I117" s="2" t="s">
        <v>407</v>
      </c>
      <c r="J117" s="2">
        <v>13.5</v>
      </c>
      <c r="K117" s="2" t="s">
        <v>407</v>
      </c>
      <c r="L117" s="2">
        <v>20.350000000000001</v>
      </c>
      <c r="M117" s="2" t="s">
        <v>407</v>
      </c>
      <c r="N117" s="2">
        <v>13.68</v>
      </c>
      <c r="O117" s="2" t="s">
        <v>407</v>
      </c>
      <c r="P117" s="2">
        <v>31.29</v>
      </c>
      <c r="Q117" s="2" t="s">
        <v>407</v>
      </c>
      <c r="R117" s="2">
        <v>25.1</v>
      </c>
      <c r="S117" s="2" t="s">
        <v>407</v>
      </c>
      <c r="T117" s="2">
        <v>19.46</v>
      </c>
      <c r="U117" s="2" t="s">
        <v>407</v>
      </c>
      <c r="V117" s="2">
        <v>6.32</v>
      </c>
      <c r="W117" s="2" t="s">
        <v>407</v>
      </c>
      <c r="X117" s="2" t="s">
        <v>96</v>
      </c>
      <c r="Y117" s="2" t="s">
        <v>407</v>
      </c>
      <c r="Z117" s="2">
        <v>29.2</v>
      </c>
      <c r="AA117" s="2" t="s">
        <v>407</v>
      </c>
      <c r="AB117" s="2">
        <v>22.33</v>
      </c>
      <c r="AC117" s="2" t="s">
        <v>407</v>
      </c>
      <c r="AD117" s="2">
        <v>19.48</v>
      </c>
      <c r="AE117" s="2" t="s">
        <v>407</v>
      </c>
      <c r="AF117" s="2">
        <v>29.54</v>
      </c>
      <c r="AG117" s="2" t="s">
        <v>407</v>
      </c>
      <c r="AH117" s="2">
        <v>51.44</v>
      </c>
      <c r="AI117" s="2" t="s">
        <v>407</v>
      </c>
      <c r="AJ117" s="2">
        <v>47.47</v>
      </c>
      <c r="AK117" s="2" t="s">
        <v>407</v>
      </c>
      <c r="AL117" s="2">
        <v>8.23</v>
      </c>
      <c r="AM117" s="2" t="s">
        <v>407</v>
      </c>
      <c r="AN117" s="2">
        <v>98.5</v>
      </c>
      <c r="AO117" s="2" t="s">
        <v>407</v>
      </c>
      <c r="AP117" s="2">
        <v>119.5</v>
      </c>
      <c r="AQ117" s="2" t="s">
        <v>407</v>
      </c>
      <c r="AR117" s="2">
        <v>11.76</v>
      </c>
      <c r="AS117" s="2" t="s">
        <v>407</v>
      </c>
      <c r="AT117" s="2">
        <v>1268.8499999999999</v>
      </c>
      <c r="AU117" s="2" t="s">
        <v>407</v>
      </c>
      <c r="AV117" s="2" t="s">
        <v>54</v>
      </c>
      <c r="AW117" s="2" t="s">
        <v>407</v>
      </c>
      <c r="AX117" s="2">
        <v>125.4</v>
      </c>
      <c r="AY117" s="2" t="s">
        <v>407</v>
      </c>
      <c r="AZ117" s="2">
        <v>5.0199999999999996</v>
      </c>
      <c r="BA117" s="2" t="s">
        <v>407</v>
      </c>
      <c r="BB117" s="2">
        <v>186.87</v>
      </c>
      <c r="BC117" s="2" t="s">
        <v>407</v>
      </c>
      <c r="BD117" s="2">
        <v>18.920000000000002</v>
      </c>
      <c r="BE117" s="2" t="s">
        <v>407</v>
      </c>
      <c r="BF117" s="2">
        <v>18.5</v>
      </c>
      <c r="BG117" s="2" t="s">
        <v>407</v>
      </c>
      <c r="BH117" s="2">
        <v>34.520000000000003</v>
      </c>
      <c r="BI117" s="2" t="s">
        <v>407</v>
      </c>
      <c r="BJ117" s="2">
        <v>180.5</v>
      </c>
      <c r="BK117" s="2" t="s">
        <v>407</v>
      </c>
      <c r="BL117" s="2">
        <v>31.91</v>
      </c>
      <c r="BM117" s="2" t="s">
        <v>407</v>
      </c>
      <c r="BN117" s="2">
        <v>47.65</v>
      </c>
      <c r="BO117" s="2" t="s">
        <v>407</v>
      </c>
      <c r="BP117" s="2">
        <v>30.21</v>
      </c>
      <c r="BQ117" s="2" t="s">
        <v>407</v>
      </c>
      <c r="BR117" s="2">
        <v>26.81</v>
      </c>
      <c r="BS117" s="2" t="s">
        <v>407</v>
      </c>
      <c r="BT117" s="2">
        <v>13.55</v>
      </c>
      <c r="BU117" s="2" t="s">
        <v>407</v>
      </c>
      <c r="BV117" s="2">
        <v>110977.23</v>
      </c>
      <c r="BW117" s="2" t="s">
        <v>407</v>
      </c>
      <c r="BX117" s="2">
        <v>29.82</v>
      </c>
    </row>
    <row r="118" spans="1:76">
      <c r="A118" s="2" t="s">
        <v>1</v>
      </c>
      <c r="B118" s="2">
        <v>118</v>
      </c>
      <c r="C118" s="2" t="s">
        <v>408</v>
      </c>
      <c r="D118" s="2">
        <v>18.91</v>
      </c>
      <c r="E118" s="2" t="s">
        <v>408</v>
      </c>
      <c r="F118" s="2">
        <v>36.19</v>
      </c>
      <c r="G118" s="2" t="s">
        <v>408</v>
      </c>
      <c r="H118" s="2">
        <v>47.27</v>
      </c>
      <c r="I118" s="2" t="s">
        <v>408</v>
      </c>
      <c r="J118" s="2">
        <v>13.95</v>
      </c>
      <c r="K118" s="2" t="s">
        <v>408</v>
      </c>
      <c r="L118" s="2">
        <v>20.36</v>
      </c>
      <c r="M118" s="2" t="s">
        <v>408</v>
      </c>
      <c r="N118" s="2">
        <v>13.66</v>
      </c>
      <c r="O118" s="2" t="s">
        <v>408</v>
      </c>
      <c r="P118" s="2">
        <v>31.09</v>
      </c>
      <c r="Q118" s="2" t="s">
        <v>408</v>
      </c>
      <c r="R118" s="2">
        <v>24.97</v>
      </c>
      <c r="S118" s="2" t="s">
        <v>408</v>
      </c>
      <c r="T118" s="2">
        <v>19.54</v>
      </c>
      <c r="U118" s="2" t="s">
        <v>408</v>
      </c>
      <c r="V118" s="2">
        <v>6.33</v>
      </c>
      <c r="W118" s="2" t="s">
        <v>408</v>
      </c>
      <c r="X118" s="2">
        <v>120.8</v>
      </c>
      <c r="Y118" s="2" t="s">
        <v>408</v>
      </c>
      <c r="Z118" s="2">
        <v>29.45</v>
      </c>
      <c r="AA118" s="2" t="s">
        <v>408</v>
      </c>
      <c r="AB118" s="2">
        <v>22.26</v>
      </c>
      <c r="AC118" s="2" t="s">
        <v>408</v>
      </c>
      <c r="AD118" s="2">
        <v>19.38</v>
      </c>
      <c r="AE118" s="2" t="s">
        <v>408</v>
      </c>
      <c r="AF118" s="2">
        <v>29.52</v>
      </c>
      <c r="AG118" s="2" t="s">
        <v>408</v>
      </c>
      <c r="AH118" s="2">
        <v>51.2</v>
      </c>
      <c r="AI118" s="2" t="s">
        <v>408</v>
      </c>
      <c r="AJ118" s="2">
        <v>47.23</v>
      </c>
      <c r="AK118" s="2" t="s">
        <v>408</v>
      </c>
      <c r="AL118" s="2">
        <v>8.25</v>
      </c>
      <c r="AM118" s="2" t="s">
        <v>408</v>
      </c>
      <c r="AN118" s="2">
        <v>99.45</v>
      </c>
      <c r="AO118" s="2" t="s">
        <v>408</v>
      </c>
      <c r="AP118" s="2">
        <v>120.4</v>
      </c>
      <c r="AQ118" s="2" t="s">
        <v>408</v>
      </c>
      <c r="AR118" s="2">
        <v>11.65</v>
      </c>
      <c r="AS118" s="2" t="s">
        <v>408</v>
      </c>
      <c r="AT118" s="2" t="s">
        <v>409</v>
      </c>
      <c r="AU118" s="2" t="s">
        <v>408</v>
      </c>
      <c r="AV118" s="2">
        <v>145.88</v>
      </c>
      <c r="AW118" s="2" t="s">
        <v>408</v>
      </c>
      <c r="AX118" s="2">
        <v>125.39</v>
      </c>
      <c r="AY118" s="2" t="s">
        <v>408</v>
      </c>
      <c r="AZ118" s="2" t="s">
        <v>396</v>
      </c>
      <c r="BA118" s="2" t="s">
        <v>408</v>
      </c>
      <c r="BB118" s="2">
        <v>187.98</v>
      </c>
      <c r="BC118" s="2" t="s">
        <v>408</v>
      </c>
      <c r="BD118" s="2">
        <v>18.87</v>
      </c>
      <c r="BE118" s="2" t="s">
        <v>408</v>
      </c>
      <c r="BF118" s="2">
        <v>18.5</v>
      </c>
      <c r="BG118" s="2" t="s">
        <v>408</v>
      </c>
      <c r="BH118" s="2">
        <v>33.33</v>
      </c>
      <c r="BI118" s="2" t="s">
        <v>408</v>
      </c>
      <c r="BJ118" s="2">
        <v>181.99</v>
      </c>
      <c r="BK118" s="2" t="s">
        <v>408</v>
      </c>
      <c r="BL118" s="2">
        <v>31.97</v>
      </c>
      <c r="BM118" s="2" t="s">
        <v>408</v>
      </c>
      <c r="BN118" s="2">
        <v>46.79</v>
      </c>
      <c r="BO118" s="2" t="s">
        <v>408</v>
      </c>
      <c r="BP118" s="2">
        <v>30.44</v>
      </c>
      <c r="BQ118" s="2" t="s">
        <v>408</v>
      </c>
      <c r="BR118" s="2">
        <v>26.99</v>
      </c>
      <c r="BS118" s="2" t="s">
        <v>408</v>
      </c>
      <c r="BT118" s="2">
        <v>13.6</v>
      </c>
      <c r="BU118" s="2" t="s">
        <v>408</v>
      </c>
      <c r="BV118" s="2">
        <v>110672.01</v>
      </c>
      <c r="BW118" s="2" t="s">
        <v>408</v>
      </c>
      <c r="BX118" s="2">
        <v>29.8</v>
      </c>
    </row>
    <row r="119" spans="1:76">
      <c r="A119" s="2" t="s">
        <v>1</v>
      </c>
      <c r="B119" s="2">
        <v>119</v>
      </c>
      <c r="C119" s="2" t="s">
        <v>410</v>
      </c>
      <c r="D119" s="2">
        <v>18.97</v>
      </c>
      <c r="E119" s="2" t="s">
        <v>410</v>
      </c>
      <c r="F119" s="2">
        <v>36.35</v>
      </c>
      <c r="G119" s="2" t="s">
        <v>410</v>
      </c>
      <c r="H119" s="2">
        <v>47.75</v>
      </c>
      <c r="I119" s="2" t="s">
        <v>410</v>
      </c>
      <c r="J119" s="2">
        <v>13.68</v>
      </c>
      <c r="K119" s="2" t="s">
        <v>410</v>
      </c>
      <c r="L119" s="2">
        <v>20.5</v>
      </c>
      <c r="M119" s="2" t="s">
        <v>410</v>
      </c>
      <c r="N119" s="2">
        <v>13.62</v>
      </c>
      <c r="O119" s="2" t="s">
        <v>410</v>
      </c>
      <c r="P119" s="2">
        <v>30.88</v>
      </c>
      <c r="Q119" s="2" t="s">
        <v>410</v>
      </c>
      <c r="R119" s="2">
        <v>24.93</v>
      </c>
      <c r="S119" s="2" t="s">
        <v>410</v>
      </c>
      <c r="T119" s="2">
        <v>19.649999999999999</v>
      </c>
      <c r="U119" s="2" t="s">
        <v>410</v>
      </c>
      <c r="V119" s="2">
        <v>6.51</v>
      </c>
      <c r="W119" s="2" t="s">
        <v>410</v>
      </c>
      <c r="X119" s="2">
        <v>120.95</v>
      </c>
      <c r="Y119" s="2" t="s">
        <v>410</v>
      </c>
      <c r="Z119" s="2">
        <v>29.58</v>
      </c>
      <c r="AA119" s="2" t="s">
        <v>410</v>
      </c>
      <c r="AB119" s="2">
        <v>22.5</v>
      </c>
      <c r="AC119" s="2" t="s">
        <v>410</v>
      </c>
      <c r="AD119" s="2">
        <v>19.649999999999999</v>
      </c>
      <c r="AE119" s="2" t="s">
        <v>410</v>
      </c>
      <c r="AF119" s="2">
        <v>29.95</v>
      </c>
      <c r="AG119" s="2" t="s">
        <v>410</v>
      </c>
      <c r="AH119" s="2">
        <v>51.83</v>
      </c>
      <c r="AI119" s="2" t="s">
        <v>410</v>
      </c>
      <c r="AJ119" s="2">
        <v>47.49</v>
      </c>
      <c r="AK119" s="2" t="s">
        <v>410</v>
      </c>
      <c r="AL119" s="2">
        <v>8.3000000000000007</v>
      </c>
      <c r="AM119" s="2" t="s">
        <v>410</v>
      </c>
      <c r="AN119" s="2">
        <v>99.3</v>
      </c>
      <c r="AO119" s="2" t="s">
        <v>410</v>
      </c>
      <c r="AP119" s="2" t="s">
        <v>111</v>
      </c>
      <c r="AQ119" s="2" t="s">
        <v>410</v>
      </c>
      <c r="AR119" s="2">
        <v>11.7</v>
      </c>
      <c r="AS119" s="2" t="s">
        <v>410</v>
      </c>
      <c r="AT119" s="2">
        <v>1268.5</v>
      </c>
      <c r="AU119" s="2" t="s">
        <v>410</v>
      </c>
      <c r="AV119" s="2">
        <v>146.88</v>
      </c>
      <c r="AW119" s="2" t="s">
        <v>410</v>
      </c>
      <c r="AX119" s="2">
        <v>125.5</v>
      </c>
      <c r="AY119" s="2" t="s">
        <v>410</v>
      </c>
      <c r="AZ119" s="2">
        <v>4.96</v>
      </c>
      <c r="BA119" s="2" t="s">
        <v>410</v>
      </c>
      <c r="BB119" s="2">
        <v>189.7</v>
      </c>
      <c r="BC119" s="2" t="s">
        <v>410</v>
      </c>
      <c r="BD119" s="2">
        <v>18.649999999999999</v>
      </c>
      <c r="BE119" s="2" t="s">
        <v>410</v>
      </c>
      <c r="BF119" s="2">
        <v>19.45</v>
      </c>
      <c r="BG119" s="2" t="s">
        <v>410</v>
      </c>
      <c r="BH119" s="2">
        <v>33.869999999999997</v>
      </c>
      <c r="BI119" s="2" t="s">
        <v>410</v>
      </c>
      <c r="BJ119" s="2">
        <v>184.4</v>
      </c>
      <c r="BK119" s="2" t="s">
        <v>410</v>
      </c>
      <c r="BL119" s="2">
        <v>33.07</v>
      </c>
      <c r="BM119" s="2" t="s">
        <v>410</v>
      </c>
      <c r="BN119" s="2">
        <v>46.2</v>
      </c>
      <c r="BO119" s="2" t="s">
        <v>410</v>
      </c>
      <c r="BP119" s="2">
        <v>30.4</v>
      </c>
      <c r="BQ119" s="2" t="s">
        <v>410</v>
      </c>
      <c r="BR119" s="2">
        <v>27.4</v>
      </c>
      <c r="BS119" s="2" t="s">
        <v>410</v>
      </c>
      <c r="BT119" s="2">
        <v>13.89</v>
      </c>
      <c r="BU119" s="2" t="s">
        <v>410</v>
      </c>
      <c r="BV119" s="2">
        <v>110963.87</v>
      </c>
      <c r="BW119" s="2" t="s">
        <v>410</v>
      </c>
      <c r="BX119" s="2" t="s">
        <v>58</v>
      </c>
    </row>
    <row r="120" spans="1:76">
      <c r="A120" s="2" t="s">
        <v>1</v>
      </c>
      <c r="B120" s="2">
        <v>120</v>
      </c>
      <c r="C120" s="2" t="s">
        <v>411</v>
      </c>
      <c r="D120" s="2">
        <v>19.48</v>
      </c>
      <c r="E120" s="2" t="s">
        <v>411</v>
      </c>
      <c r="F120" s="2">
        <v>36.5</v>
      </c>
      <c r="G120" s="2" t="s">
        <v>411</v>
      </c>
      <c r="H120" s="2">
        <v>47.83</v>
      </c>
      <c r="I120" s="2" t="s">
        <v>411</v>
      </c>
      <c r="J120" s="2">
        <v>13.77</v>
      </c>
      <c r="K120" s="2" t="s">
        <v>411</v>
      </c>
      <c r="L120" s="2">
        <v>20.54</v>
      </c>
      <c r="M120" s="2" t="s">
        <v>411</v>
      </c>
      <c r="N120" s="2">
        <v>13.6</v>
      </c>
      <c r="O120" s="2" t="s">
        <v>411</v>
      </c>
      <c r="P120" s="2">
        <v>30.95</v>
      </c>
      <c r="Q120" s="2" t="s">
        <v>411</v>
      </c>
      <c r="R120" s="2">
        <v>24.92</v>
      </c>
      <c r="S120" s="2" t="s">
        <v>411</v>
      </c>
      <c r="T120" s="2">
        <v>20.86</v>
      </c>
      <c r="U120" s="2" t="s">
        <v>411</v>
      </c>
      <c r="V120" s="2">
        <v>6.41</v>
      </c>
      <c r="W120" s="2" t="s">
        <v>411</v>
      </c>
      <c r="X120" s="2">
        <v>120.8</v>
      </c>
      <c r="Y120" s="2" t="s">
        <v>411</v>
      </c>
      <c r="Z120" s="2">
        <v>29.89</v>
      </c>
      <c r="AA120" s="2" t="s">
        <v>411</v>
      </c>
      <c r="AB120" s="2">
        <v>22.53</v>
      </c>
      <c r="AC120" s="2" t="s">
        <v>411</v>
      </c>
      <c r="AD120" s="2">
        <v>19.850000000000001</v>
      </c>
      <c r="AE120" s="2" t="s">
        <v>411</v>
      </c>
      <c r="AF120" s="2">
        <v>30.22</v>
      </c>
      <c r="AG120" s="2" t="s">
        <v>411</v>
      </c>
      <c r="AH120" s="2">
        <v>52.95</v>
      </c>
      <c r="AI120" s="2" t="s">
        <v>411</v>
      </c>
      <c r="AJ120" s="2">
        <v>46.69</v>
      </c>
      <c r="AK120" s="2" t="s">
        <v>411</v>
      </c>
      <c r="AL120" s="2">
        <v>8.3699999999999992</v>
      </c>
      <c r="AM120" s="2" t="s">
        <v>411</v>
      </c>
      <c r="AN120" s="2">
        <v>99.63</v>
      </c>
      <c r="AO120" s="2" t="s">
        <v>411</v>
      </c>
      <c r="AP120" s="2">
        <v>121.3</v>
      </c>
      <c r="AQ120" s="2" t="s">
        <v>411</v>
      </c>
      <c r="AR120" s="2">
        <v>11.76</v>
      </c>
      <c r="AS120" s="2" t="s">
        <v>411</v>
      </c>
      <c r="AT120" s="2">
        <v>1278.99</v>
      </c>
      <c r="AU120" s="2" t="s">
        <v>411</v>
      </c>
      <c r="AV120" s="2" t="s">
        <v>54</v>
      </c>
      <c r="AW120" s="2" t="s">
        <v>411</v>
      </c>
      <c r="AX120" s="2" t="s">
        <v>375</v>
      </c>
      <c r="AY120" s="2" t="s">
        <v>411</v>
      </c>
      <c r="AZ120" s="2">
        <v>4.88</v>
      </c>
      <c r="BA120" s="2" t="s">
        <v>411</v>
      </c>
      <c r="BB120" s="2" t="s">
        <v>412</v>
      </c>
      <c r="BC120" s="2" t="s">
        <v>411</v>
      </c>
      <c r="BD120" s="2">
        <v>19.39</v>
      </c>
      <c r="BE120" s="2" t="s">
        <v>411</v>
      </c>
      <c r="BF120" s="2">
        <v>20.39</v>
      </c>
      <c r="BG120" s="2" t="s">
        <v>411</v>
      </c>
      <c r="BH120" s="2">
        <v>34.67</v>
      </c>
      <c r="BI120" s="2" t="s">
        <v>411</v>
      </c>
      <c r="BJ120" s="2">
        <v>184.15</v>
      </c>
      <c r="BK120" s="2" t="s">
        <v>411</v>
      </c>
      <c r="BL120" s="2">
        <v>33.799999999999997</v>
      </c>
      <c r="BM120" s="2" t="s">
        <v>411</v>
      </c>
      <c r="BN120" s="2">
        <v>46.69</v>
      </c>
      <c r="BO120" s="2" t="s">
        <v>411</v>
      </c>
      <c r="BP120" s="2">
        <v>30.97</v>
      </c>
      <c r="BQ120" s="2" t="s">
        <v>411</v>
      </c>
      <c r="BR120" s="2" t="s">
        <v>81</v>
      </c>
      <c r="BS120" s="2" t="s">
        <v>411</v>
      </c>
      <c r="BT120" s="2">
        <v>13.8</v>
      </c>
      <c r="BU120" s="2" t="s">
        <v>411</v>
      </c>
      <c r="BV120" s="2">
        <v>112199.74</v>
      </c>
      <c r="BW120" s="2" t="s">
        <v>411</v>
      </c>
      <c r="BX120" s="2">
        <v>29.5</v>
      </c>
    </row>
    <row r="121" spans="1:76">
      <c r="A121" s="2" t="s">
        <v>1</v>
      </c>
      <c r="B121" s="2">
        <v>121</v>
      </c>
      <c r="C121" s="2" t="s">
        <v>413</v>
      </c>
      <c r="D121" s="2">
        <v>19.36</v>
      </c>
      <c r="E121" s="2" t="s">
        <v>413</v>
      </c>
      <c r="F121" s="2">
        <v>37.35</v>
      </c>
      <c r="G121" s="2" t="s">
        <v>413</v>
      </c>
      <c r="H121" s="2">
        <v>47.99</v>
      </c>
      <c r="I121" s="2" t="s">
        <v>413</v>
      </c>
      <c r="J121" s="2">
        <v>13.8</v>
      </c>
      <c r="K121" s="2" t="s">
        <v>413</v>
      </c>
      <c r="L121" s="2">
        <v>20.68</v>
      </c>
      <c r="M121" s="2" t="s">
        <v>413</v>
      </c>
      <c r="N121" s="2">
        <v>13.7</v>
      </c>
      <c r="O121" s="2" t="s">
        <v>413</v>
      </c>
      <c r="P121" s="2">
        <v>31.59</v>
      </c>
      <c r="Q121" s="2" t="s">
        <v>413</v>
      </c>
      <c r="R121" s="2">
        <v>24.96</v>
      </c>
      <c r="S121" s="2" t="s">
        <v>413</v>
      </c>
      <c r="T121" s="2">
        <v>22.16</v>
      </c>
      <c r="U121" s="2" t="s">
        <v>413</v>
      </c>
      <c r="V121" s="2">
        <v>6.5</v>
      </c>
      <c r="W121" s="2" t="s">
        <v>413</v>
      </c>
      <c r="X121" s="2">
        <v>120.96</v>
      </c>
      <c r="Y121" s="2" t="s">
        <v>413</v>
      </c>
      <c r="Z121" s="2">
        <v>30.36</v>
      </c>
      <c r="AA121" s="2" t="s">
        <v>413</v>
      </c>
      <c r="AB121" s="2">
        <v>22.75</v>
      </c>
      <c r="AC121" s="2" t="s">
        <v>413</v>
      </c>
      <c r="AD121" s="2">
        <v>19.47</v>
      </c>
      <c r="AE121" s="2" t="s">
        <v>413</v>
      </c>
      <c r="AF121" s="2">
        <v>31.95</v>
      </c>
      <c r="AG121" s="2" t="s">
        <v>413</v>
      </c>
      <c r="AH121" s="2">
        <v>53.76</v>
      </c>
      <c r="AI121" s="2" t="s">
        <v>413</v>
      </c>
      <c r="AJ121" s="2">
        <v>47.5</v>
      </c>
      <c r="AK121" s="2" t="s">
        <v>413</v>
      </c>
      <c r="AL121" s="2">
        <v>8.49</v>
      </c>
      <c r="AM121" s="2" t="s">
        <v>413</v>
      </c>
      <c r="AN121" s="2">
        <v>100.5</v>
      </c>
      <c r="AO121" s="2" t="s">
        <v>413</v>
      </c>
      <c r="AP121" s="2" t="s">
        <v>80</v>
      </c>
      <c r="AQ121" s="2" t="s">
        <v>413</v>
      </c>
      <c r="AR121" s="2" t="s">
        <v>70</v>
      </c>
      <c r="AS121" s="2" t="s">
        <v>413</v>
      </c>
      <c r="AT121" s="2">
        <v>1293.99</v>
      </c>
      <c r="AU121" s="2" t="s">
        <v>413</v>
      </c>
      <c r="AV121" s="2" t="s">
        <v>57</v>
      </c>
      <c r="AW121" s="2" t="s">
        <v>413</v>
      </c>
      <c r="AX121" s="2">
        <v>126.65</v>
      </c>
      <c r="AY121" s="2" t="s">
        <v>413</v>
      </c>
      <c r="AZ121" s="2">
        <v>4.9000000000000004</v>
      </c>
      <c r="BA121" s="2" t="s">
        <v>413</v>
      </c>
      <c r="BB121" s="2">
        <v>193.01</v>
      </c>
      <c r="BC121" s="2" t="s">
        <v>413</v>
      </c>
      <c r="BD121" s="2">
        <v>20.12</v>
      </c>
      <c r="BE121" s="2" t="s">
        <v>413</v>
      </c>
      <c r="BF121" s="2">
        <v>21.87</v>
      </c>
      <c r="BG121" s="2" t="s">
        <v>413</v>
      </c>
      <c r="BH121" s="2">
        <v>35.33</v>
      </c>
      <c r="BI121" s="2" t="s">
        <v>413</v>
      </c>
      <c r="BJ121" s="2">
        <v>184.15</v>
      </c>
      <c r="BK121" s="2" t="s">
        <v>413</v>
      </c>
      <c r="BL121" s="2">
        <v>34.049999999999997</v>
      </c>
      <c r="BM121" s="2" t="s">
        <v>413</v>
      </c>
      <c r="BN121" s="2">
        <v>46.4</v>
      </c>
      <c r="BO121" s="2" t="s">
        <v>413</v>
      </c>
      <c r="BP121" s="2">
        <v>29.98</v>
      </c>
      <c r="BQ121" s="2" t="s">
        <v>413</v>
      </c>
      <c r="BR121" s="2">
        <v>29.33</v>
      </c>
      <c r="BS121" s="2" t="s">
        <v>413</v>
      </c>
      <c r="BT121" s="2">
        <v>14.45</v>
      </c>
      <c r="BU121" s="2" t="s">
        <v>413</v>
      </c>
      <c r="BV121" s="2">
        <v>112564.86</v>
      </c>
      <c r="BW121" s="2" t="s">
        <v>413</v>
      </c>
      <c r="BX121" s="2">
        <v>29.97</v>
      </c>
    </row>
    <row r="122" spans="1:76">
      <c r="A122" s="2" t="s">
        <v>1</v>
      </c>
      <c r="B122" s="2">
        <v>122</v>
      </c>
      <c r="C122" s="2" t="s">
        <v>414</v>
      </c>
      <c r="D122" s="2">
        <v>19.36</v>
      </c>
      <c r="E122" s="2" t="s">
        <v>414</v>
      </c>
      <c r="F122" s="2">
        <v>36.82</v>
      </c>
      <c r="G122" s="2" t="s">
        <v>414</v>
      </c>
      <c r="H122" s="2">
        <v>47.51</v>
      </c>
      <c r="I122" s="2" t="s">
        <v>414</v>
      </c>
      <c r="J122" s="2">
        <v>13.65</v>
      </c>
      <c r="K122" s="2" t="s">
        <v>414</v>
      </c>
      <c r="L122" s="2">
        <v>20.61</v>
      </c>
      <c r="M122" s="2" t="s">
        <v>414</v>
      </c>
      <c r="N122" s="2">
        <v>13.57</v>
      </c>
      <c r="O122" s="2" t="s">
        <v>414</v>
      </c>
      <c r="P122" s="2">
        <v>31.04</v>
      </c>
      <c r="Q122" s="2" t="s">
        <v>414</v>
      </c>
      <c r="R122" s="2">
        <v>25.6</v>
      </c>
      <c r="S122" s="2" t="s">
        <v>414</v>
      </c>
      <c r="T122" s="2">
        <v>22.35</v>
      </c>
      <c r="U122" s="2" t="s">
        <v>414</v>
      </c>
      <c r="V122" s="2">
        <v>6.68</v>
      </c>
      <c r="W122" s="2" t="s">
        <v>414</v>
      </c>
      <c r="X122" s="2">
        <v>120.45</v>
      </c>
      <c r="Y122" s="2" t="s">
        <v>414</v>
      </c>
      <c r="Z122" s="2">
        <v>30.42</v>
      </c>
      <c r="AA122" s="2" t="s">
        <v>415</v>
      </c>
      <c r="AB122" s="2">
        <v>22.36</v>
      </c>
      <c r="AC122" s="2" t="s">
        <v>414</v>
      </c>
      <c r="AD122" s="2">
        <v>19.73</v>
      </c>
      <c r="AE122" s="2" t="s">
        <v>414</v>
      </c>
      <c r="AF122" s="2">
        <v>33.409999999999997</v>
      </c>
      <c r="AG122" s="2" t="s">
        <v>414</v>
      </c>
      <c r="AH122" s="2">
        <v>53.34</v>
      </c>
      <c r="AI122" s="2" t="s">
        <v>414</v>
      </c>
      <c r="AJ122" s="2">
        <v>47.33</v>
      </c>
      <c r="AK122" s="2" t="s">
        <v>414</v>
      </c>
      <c r="AL122" s="2">
        <v>8.6999999999999993</v>
      </c>
      <c r="AM122" s="2" t="s">
        <v>414</v>
      </c>
      <c r="AN122" s="2">
        <v>99.7</v>
      </c>
      <c r="AO122" s="2" t="s">
        <v>414</v>
      </c>
      <c r="AP122" s="2">
        <v>120.45</v>
      </c>
      <c r="AQ122" s="2" t="s">
        <v>414</v>
      </c>
      <c r="AR122" s="2">
        <v>12.12</v>
      </c>
      <c r="AS122" s="2" t="s">
        <v>414</v>
      </c>
      <c r="AT122" s="2" t="s">
        <v>416</v>
      </c>
      <c r="AU122" s="2" t="s">
        <v>414</v>
      </c>
      <c r="AV122" s="2" t="s">
        <v>118</v>
      </c>
      <c r="AW122" s="2" t="s">
        <v>414</v>
      </c>
      <c r="AX122" s="2">
        <v>126.2</v>
      </c>
      <c r="AY122" s="2" t="s">
        <v>414</v>
      </c>
      <c r="AZ122" s="2">
        <v>4.9000000000000004</v>
      </c>
      <c r="BA122" s="2" t="s">
        <v>414</v>
      </c>
      <c r="BB122" s="2">
        <v>194.76</v>
      </c>
      <c r="BC122" s="2" t="s">
        <v>414</v>
      </c>
      <c r="BD122" s="2">
        <v>19.899999999999999</v>
      </c>
      <c r="BE122" s="2" t="s">
        <v>414</v>
      </c>
      <c r="BF122" s="2">
        <v>22.44</v>
      </c>
      <c r="BG122" s="2" t="s">
        <v>414</v>
      </c>
      <c r="BH122" s="2">
        <v>35.21</v>
      </c>
      <c r="BI122" s="2" t="s">
        <v>414</v>
      </c>
      <c r="BJ122" s="2" t="s">
        <v>417</v>
      </c>
      <c r="BK122" s="2" t="s">
        <v>414</v>
      </c>
      <c r="BL122" s="2">
        <v>33.49</v>
      </c>
      <c r="BM122" s="2" t="s">
        <v>414</v>
      </c>
      <c r="BN122" s="2">
        <v>46.22</v>
      </c>
      <c r="BO122" s="2" t="s">
        <v>414</v>
      </c>
      <c r="BP122" s="2">
        <v>29.41</v>
      </c>
      <c r="BQ122" s="2" t="s">
        <v>414</v>
      </c>
      <c r="BR122" s="2">
        <v>29.43</v>
      </c>
      <c r="BS122" s="2" t="s">
        <v>414</v>
      </c>
      <c r="BT122" s="2">
        <v>14.66</v>
      </c>
      <c r="BU122" s="2" t="s">
        <v>414</v>
      </c>
      <c r="BV122" s="2">
        <v>111896.04</v>
      </c>
      <c r="BW122" s="2" t="s">
        <v>414</v>
      </c>
      <c r="BX122" s="2">
        <v>29.82</v>
      </c>
    </row>
    <row r="123" spans="1:76">
      <c r="A123" s="2" t="s">
        <v>1</v>
      </c>
      <c r="B123" s="2">
        <v>123</v>
      </c>
      <c r="C123" s="2" t="s">
        <v>415</v>
      </c>
      <c r="D123" s="2">
        <v>19.579999999999998</v>
      </c>
      <c r="E123" s="2" t="s">
        <v>415</v>
      </c>
      <c r="F123" s="2">
        <v>37.549999999999997</v>
      </c>
      <c r="G123" s="2" t="s">
        <v>415</v>
      </c>
      <c r="H123" s="2">
        <v>47.3</v>
      </c>
      <c r="I123" s="2" t="s">
        <v>415</v>
      </c>
      <c r="J123" s="2">
        <v>14.4</v>
      </c>
      <c r="K123" s="2" t="s">
        <v>415</v>
      </c>
      <c r="L123" s="2">
        <v>20.5</v>
      </c>
      <c r="M123" s="2" t="s">
        <v>415</v>
      </c>
      <c r="N123" s="2">
        <v>13.83</v>
      </c>
      <c r="O123" s="2" t="s">
        <v>415</v>
      </c>
      <c r="P123" s="2">
        <v>31.45</v>
      </c>
      <c r="Q123" s="2" t="s">
        <v>415</v>
      </c>
      <c r="R123" s="2">
        <v>26.56</v>
      </c>
      <c r="S123" s="2" t="s">
        <v>415</v>
      </c>
      <c r="T123" s="2">
        <v>21.87</v>
      </c>
      <c r="U123" s="2" t="s">
        <v>415</v>
      </c>
      <c r="V123" s="2">
        <v>6.53</v>
      </c>
      <c r="W123" s="2" t="s">
        <v>415</v>
      </c>
      <c r="X123" s="2">
        <v>121.75</v>
      </c>
      <c r="Y123" s="2" t="s">
        <v>415</v>
      </c>
      <c r="Z123" s="2">
        <v>30.27</v>
      </c>
      <c r="AA123" s="2" t="s">
        <v>418</v>
      </c>
      <c r="AB123" s="2">
        <v>22.49</v>
      </c>
      <c r="AC123" s="2" t="s">
        <v>415</v>
      </c>
      <c r="AD123" s="2">
        <v>20.81</v>
      </c>
      <c r="AE123" s="2" t="s">
        <v>415</v>
      </c>
      <c r="AF123" s="2">
        <v>34.1</v>
      </c>
      <c r="AG123" s="2" t="s">
        <v>415</v>
      </c>
      <c r="AH123" s="2">
        <v>53.42</v>
      </c>
      <c r="AI123" s="2" t="s">
        <v>415</v>
      </c>
      <c r="AJ123" s="2">
        <v>47.39</v>
      </c>
      <c r="AK123" s="2" t="s">
        <v>415</v>
      </c>
      <c r="AL123" s="2">
        <v>8.66</v>
      </c>
      <c r="AM123" s="2" t="s">
        <v>415</v>
      </c>
      <c r="AN123" s="2">
        <v>99.52</v>
      </c>
      <c r="AO123" s="2" t="s">
        <v>415</v>
      </c>
      <c r="AP123" s="2">
        <v>123.01</v>
      </c>
      <c r="AQ123" s="2" t="s">
        <v>415</v>
      </c>
      <c r="AR123" s="2">
        <v>12.45</v>
      </c>
      <c r="AS123" s="2" t="s">
        <v>415</v>
      </c>
      <c r="AT123" s="2" t="s">
        <v>419</v>
      </c>
      <c r="AU123" s="2" t="s">
        <v>415</v>
      </c>
      <c r="AV123" s="2">
        <v>149.01</v>
      </c>
      <c r="AW123" s="2" t="s">
        <v>415</v>
      </c>
      <c r="AX123" s="2">
        <v>126.15</v>
      </c>
      <c r="AY123" s="2" t="s">
        <v>415</v>
      </c>
      <c r="AZ123" s="2">
        <v>4.9400000000000004</v>
      </c>
      <c r="BA123" s="2" t="s">
        <v>415</v>
      </c>
      <c r="BB123" s="2" t="s">
        <v>420</v>
      </c>
      <c r="BC123" s="2" t="s">
        <v>415</v>
      </c>
      <c r="BD123" s="2">
        <v>19.760000000000002</v>
      </c>
      <c r="BE123" s="2" t="s">
        <v>415</v>
      </c>
      <c r="BF123" s="2">
        <v>22.5</v>
      </c>
      <c r="BG123" s="2" t="s">
        <v>415</v>
      </c>
      <c r="BH123" s="2">
        <v>35.74</v>
      </c>
      <c r="BI123" s="2" t="s">
        <v>415</v>
      </c>
      <c r="BJ123" s="2">
        <v>187.6</v>
      </c>
      <c r="BK123" s="2" t="s">
        <v>415</v>
      </c>
      <c r="BL123" s="2">
        <v>33.96</v>
      </c>
      <c r="BM123" s="2" t="s">
        <v>415</v>
      </c>
      <c r="BN123" s="2">
        <v>47.79</v>
      </c>
      <c r="BO123" s="2" t="s">
        <v>415</v>
      </c>
      <c r="BP123" s="2">
        <v>29.85</v>
      </c>
      <c r="BQ123" s="2" t="s">
        <v>415</v>
      </c>
      <c r="BR123" s="2">
        <v>29.9</v>
      </c>
      <c r="BS123" s="2" t="s">
        <v>415</v>
      </c>
      <c r="BT123" s="2">
        <v>14.72</v>
      </c>
      <c r="BU123" s="2" t="s">
        <v>415</v>
      </c>
      <c r="BV123" s="2">
        <v>112615.66</v>
      </c>
      <c r="BW123" s="2" t="s">
        <v>415</v>
      </c>
      <c r="BX123" s="2">
        <v>29.7</v>
      </c>
    </row>
    <row r="124" spans="1:76">
      <c r="A124" s="2" t="s">
        <v>1</v>
      </c>
      <c r="B124" s="2">
        <v>124</v>
      </c>
      <c r="C124" s="2" t="s">
        <v>418</v>
      </c>
      <c r="D124" s="2">
        <v>19.559999999999999</v>
      </c>
      <c r="E124" s="2" t="s">
        <v>418</v>
      </c>
      <c r="F124" s="2">
        <v>38.03</v>
      </c>
      <c r="G124" s="2" t="s">
        <v>418</v>
      </c>
      <c r="H124" s="2">
        <v>49.68</v>
      </c>
      <c r="I124" s="2" t="s">
        <v>418</v>
      </c>
      <c r="J124" s="2">
        <v>15.33</v>
      </c>
      <c r="K124" s="2" t="s">
        <v>418</v>
      </c>
      <c r="L124" s="2">
        <v>20.72</v>
      </c>
      <c r="M124" s="2" t="s">
        <v>418</v>
      </c>
      <c r="N124" s="2">
        <v>13.97</v>
      </c>
      <c r="O124" s="2" t="s">
        <v>418</v>
      </c>
      <c r="P124" s="2">
        <v>31.56</v>
      </c>
      <c r="Q124" s="2" t="s">
        <v>418</v>
      </c>
      <c r="R124" s="2" t="s">
        <v>45</v>
      </c>
      <c r="S124" s="2" t="s">
        <v>418</v>
      </c>
      <c r="T124" s="2">
        <v>21.54</v>
      </c>
      <c r="U124" s="2" t="s">
        <v>418</v>
      </c>
      <c r="V124" s="2">
        <v>6.57</v>
      </c>
      <c r="W124" s="2" t="s">
        <v>418</v>
      </c>
      <c r="X124" s="2" t="s">
        <v>80</v>
      </c>
      <c r="Y124" s="2" t="s">
        <v>418</v>
      </c>
      <c r="Z124" s="2">
        <v>30.4</v>
      </c>
      <c r="AA124" s="2" t="s">
        <v>421</v>
      </c>
      <c r="AB124" s="2">
        <v>22.45</v>
      </c>
      <c r="AC124" s="2" t="s">
        <v>418</v>
      </c>
      <c r="AD124" s="2">
        <v>21.32</v>
      </c>
      <c r="AE124" s="2" t="s">
        <v>418</v>
      </c>
      <c r="AF124" s="2">
        <v>35.159999999999997</v>
      </c>
      <c r="AG124" s="2" t="s">
        <v>418</v>
      </c>
      <c r="AH124" s="2">
        <v>53.47</v>
      </c>
      <c r="AI124" s="2" t="s">
        <v>418</v>
      </c>
      <c r="AJ124" s="2">
        <v>47.73</v>
      </c>
      <c r="AK124" s="2" t="s">
        <v>418</v>
      </c>
      <c r="AL124" s="2">
        <v>8.7200000000000006</v>
      </c>
      <c r="AM124" s="2" t="s">
        <v>418</v>
      </c>
      <c r="AN124" s="2">
        <v>99.48</v>
      </c>
      <c r="AO124" s="2" t="s">
        <v>418</v>
      </c>
      <c r="AP124" s="2">
        <v>124.7</v>
      </c>
      <c r="AQ124" s="2" t="s">
        <v>418</v>
      </c>
      <c r="AR124" s="2">
        <v>12.85</v>
      </c>
      <c r="AS124" s="2" t="s">
        <v>418</v>
      </c>
      <c r="AT124" s="2" t="s">
        <v>422</v>
      </c>
      <c r="AU124" s="2" t="s">
        <v>418</v>
      </c>
      <c r="AV124" s="2">
        <v>150.47999999999999</v>
      </c>
      <c r="AW124" s="2" t="s">
        <v>418</v>
      </c>
      <c r="AX124" s="2">
        <v>126.5</v>
      </c>
      <c r="AY124" s="2" t="s">
        <v>418</v>
      </c>
      <c r="AZ124" s="2">
        <v>4.99</v>
      </c>
      <c r="BA124" s="2" t="s">
        <v>418</v>
      </c>
      <c r="BB124" s="2">
        <v>193.17</v>
      </c>
      <c r="BC124" s="2" t="s">
        <v>418</v>
      </c>
      <c r="BD124" s="2">
        <v>20.9</v>
      </c>
      <c r="BE124" s="2" t="s">
        <v>418</v>
      </c>
      <c r="BF124" s="2">
        <v>22.68</v>
      </c>
      <c r="BG124" s="2" t="s">
        <v>418</v>
      </c>
      <c r="BH124" s="2">
        <v>36.799999999999997</v>
      </c>
      <c r="BI124" s="2" t="s">
        <v>418</v>
      </c>
      <c r="BJ124" s="2" t="s">
        <v>423</v>
      </c>
      <c r="BK124" s="2" t="s">
        <v>418</v>
      </c>
      <c r="BL124" s="2">
        <v>33.9</v>
      </c>
      <c r="BM124" s="2" t="s">
        <v>418</v>
      </c>
      <c r="BN124" s="2">
        <v>48.56</v>
      </c>
      <c r="BO124" s="2" t="s">
        <v>418</v>
      </c>
      <c r="BP124" s="2">
        <v>30.54</v>
      </c>
      <c r="BQ124" s="2" t="s">
        <v>418</v>
      </c>
      <c r="BR124" s="2">
        <v>29.62</v>
      </c>
      <c r="BS124" s="2" t="s">
        <v>418</v>
      </c>
      <c r="BT124" s="2">
        <v>15.16</v>
      </c>
      <c r="BU124" s="2" t="s">
        <v>418</v>
      </c>
      <c r="BV124" s="2">
        <v>114314.65</v>
      </c>
      <c r="BW124" s="2" t="s">
        <v>418</v>
      </c>
      <c r="BX124" s="2" t="s">
        <v>58</v>
      </c>
    </row>
    <row r="125" spans="1:76">
      <c r="A125" s="2" t="s">
        <v>1</v>
      </c>
      <c r="B125" s="2">
        <v>125</v>
      </c>
      <c r="C125" s="2" t="s">
        <v>421</v>
      </c>
      <c r="D125" s="2">
        <v>19.87</v>
      </c>
      <c r="E125" s="2" t="s">
        <v>421</v>
      </c>
      <c r="F125" s="2">
        <v>38.299999999999997</v>
      </c>
      <c r="G125" s="2" t="s">
        <v>421</v>
      </c>
      <c r="H125" s="2">
        <v>48.75</v>
      </c>
      <c r="I125" s="2" t="s">
        <v>421</v>
      </c>
      <c r="J125" s="2">
        <v>15.24</v>
      </c>
      <c r="K125" s="2" t="s">
        <v>421</v>
      </c>
      <c r="L125" s="2">
        <v>21.16</v>
      </c>
      <c r="M125" s="2" t="s">
        <v>421</v>
      </c>
      <c r="N125" s="2">
        <v>13.98</v>
      </c>
      <c r="O125" s="2" t="s">
        <v>421</v>
      </c>
      <c r="P125" s="2">
        <v>31.65</v>
      </c>
      <c r="Q125" s="2" t="s">
        <v>421</v>
      </c>
      <c r="R125" s="2">
        <v>26.9</v>
      </c>
      <c r="S125" s="2" t="s">
        <v>421</v>
      </c>
      <c r="T125" s="2">
        <v>21.73</v>
      </c>
      <c r="U125" s="2" t="s">
        <v>421</v>
      </c>
      <c r="V125" s="2">
        <v>6.55</v>
      </c>
      <c r="W125" s="2" t="s">
        <v>421</v>
      </c>
      <c r="X125" s="2" t="s">
        <v>369</v>
      </c>
      <c r="Y125" s="2" t="s">
        <v>421</v>
      </c>
      <c r="Z125" s="2">
        <v>30.5</v>
      </c>
      <c r="AA125" s="2" t="s">
        <v>424</v>
      </c>
      <c r="AB125" s="2">
        <v>22.31</v>
      </c>
      <c r="AC125" s="2" t="s">
        <v>421</v>
      </c>
      <c r="AD125" s="2">
        <v>21.21</v>
      </c>
      <c r="AE125" s="2" t="s">
        <v>421</v>
      </c>
      <c r="AF125" s="2">
        <v>34.86</v>
      </c>
      <c r="AG125" s="2" t="s">
        <v>421</v>
      </c>
      <c r="AH125" s="2" t="s">
        <v>425</v>
      </c>
      <c r="AI125" s="2" t="s">
        <v>421</v>
      </c>
      <c r="AJ125" s="2">
        <v>47.85</v>
      </c>
      <c r="AK125" s="2" t="s">
        <v>421</v>
      </c>
      <c r="AL125" s="2">
        <v>8.82</v>
      </c>
      <c r="AM125" s="2" t="s">
        <v>421</v>
      </c>
      <c r="AN125" s="2">
        <v>99.26</v>
      </c>
      <c r="AO125" s="2" t="s">
        <v>421</v>
      </c>
      <c r="AP125" s="2">
        <v>125.26</v>
      </c>
      <c r="AQ125" s="2" t="s">
        <v>421</v>
      </c>
      <c r="AR125" s="2">
        <v>13.08</v>
      </c>
      <c r="AS125" s="2" t="s">
        <v>421</v>
      </c>
      <c r="AT125" s="2" t="s">
        <v>426</v>
      </c>
      <c r="AU125" s="2" t="s">
        <v>421</v>
      </c>
      <c r="AV125" s="2">
        <v>149.99</v>
      </c>
      <c r="AW125" s="2" t="s">
        <v>421</v>
      </c>
      <c r="AX125" s="2">
        <v>126.01</v>
      </c>
      <c r="AY125" s="2" t="s">
        <v>421</v>
      </c>
      <c r="AZ125" s="2">
        <v>4.91</v>
      </c>
      <c r="BA125" s="2" t="s">
        <v>421</v>
      </c>
      <c r="BB125" s="2">
        <v>192.5</v>
      </c>
      <c r="BC125" s="2" t="s">
        <v>421</v>
      </c>
      <c r="BD125" s="2">
        <v>21.55</v>
      </c>
      <c r="BE125" s="2" t="s">
        <v>421</v>
      </c>
      <c r="BF125" s="2">
        <v>22.9</v>
      </c>
      <c r="BG125" s="2" t="s">
        <v>421</v>
      </c>
      <c r="BH125" s="2">
        <v>36.770000000000003</v>
      </c>
      <c r="BI125" s="2" t="s">
        <v>421</v>
      </c>
      <c r="BJ125" s="2">
        <v>189.85</v>
      </c>
      <c r="BK125" s="2" t="s">
        <v>421</v>
      </c>
      <c r="BL125" s="2">
        <v>33.6</v>
      </c>
      <c r="BM125" s="2" t="s">
        <v>421</v>
      </c>
      <c r="BN125" s="2">
        <v>48.56</v>
      </c>
      <c r="BO125" s="2" t="s">
        <v>421</v>
      </c>
      <c r="BP125" s="2">
        <v>30.61</v>
      </c>
      <c r="BQ125" s="2" t="s">
        <v>421</v>
      </c>
      <c r="BR125" s="2" t="s">
        <v>58</v>
      </c>
      <c r="BS125" s="2" t="s">
        <v>421</v>
      </c>
      <c r="BT125" s="2">
        <v>15.06</v>
      </c>
      <c r="BU125" s="2" t="s">
        <v>421</v>
      </c>
      <c r="BV125" s="2">
        <v>115131.25</v>
      </c>
      <c r="BW125" s="2" t="s">
        <v>421</v>
      </c>
      <c r="BX125" s="2">
        <v>30.17</v>
      </c>
    </row>
    <row r="126" spans="1:76">
      <c r="A126" s="2" t="s">
        <v>1</v>
      </c>
      <c r="B126" s="2">
        <v>126</v>
      </c>
      <c r="C126" s="2" t="s">
        <v>424</v>
      </c>
      <c r="D126" s="2" t="s">
        <v>92</v>
      </c>
      <c r="E126" s="2" t="s">
        <v>424</v>
      </c>
      <c r="F126" s="2">
        <v>37.74</v>
      </c>
      <c r="G126" s="2" t="s">
        <v>424</v>
      </c>
      <c r="H126" s="2">
        <v>48.52</v>
      </c>
      <c r="I126" s="2" t="s">
        <v>424</v>
      </c>
      <c r="J126" s="2">
        <v>15.2</v>
      </c>
      <c r="K126" s="2" t="s">
        <v>424</v>
      </c>
      <c r="L126" s="2">
        <v>21.37</v>
      </c>
      <c r="M126" s="2" t="s">
        <v>424</v>
      </c>
      <c r="N126" s="2">
        <v>13.85</v>
      </c>
      <c r="O126" s="2" t="s">
        <v>424</v>
      </c>
      <c r="P126" s="2">
        <v>31.39</v>
      </c>
      <c r="Q126" s="2" t="s">
        <v>424</v>
      </c>
      <c r="R126" s="2">
        <v>27.86</v>
      </c>
      <c r="S126" s="2" t="s">
        <v>424</v>
      </c>
      <c r="T126" s="2">
        <v>20.95</v>
      </c>
      <c r="U126" s="2" t="s">
        <v>424</v>
      </c>
      <c r="V126" s="2">
        <v>6.47</v>
      </c>
      <c r="W126" s="2" t="s">
        <v>424</v>
      </c>
      <c r="X126" s="2" t="s">
        <v>67</v>
      </c>
      <c r="Y126" s="2" t="s">
        <v>424</v>
      </c>
      <c r="Z126" s="2">
        <v>30.45</v>
      </c>
      <c r="AA126" s="2" t="s">
        <v>427</v>
      </c>
      <c r="AB126" s="2">
        <v>22.7</v>
      </c>
      <c r="AC126" s="2" t="s">
        <v>424</v>
      </c>
      <c r="AD126" s="2">
        <v>23.9</v>
      </c>
      <c r="AE126" s="2" t="s">
        <v>424</v>
      </c>
      <c r="AF126" s="2">
        <v>34.049999999999997</v>
      </c>
      <c r="AG126" s="2" t="s">
        <v>424</v>
      </c>
      <c r="AH126" s="2">
        <v>54.79</v>
      </c>
      <c r="AI126" s="2" t="s">
        <v>424</v>
      </c>
      <c r="AJ126" s="2">
        <v>48.85</v>
      </c>
      <c r="AK126" s="2" t="s">
        <v>424</v>
      </c>
      <c r="AL126" s="2">
        <v>8.93</v>
      </c>
      <c r="AM126" s="2" t="s">
        <v>424</v>
      </c>
      <c r="AN126" s="2">
        <v>100.23</v>
      </c>
      <c r="AO126" s="2" t="s">
        <v>424</v>
      </c>
      <c r="AP126" s="2">
        <v>127.9</v>
      </c>
      <c r="AQ126" s="2" t="s">
        <v>424</v>
      </c>
      <c r="AR126" s="2">
        <v>13.62</v>
      </c>
      <c r="AS126" s="2" t="s">
        <v>424</v>
      </c>
      <c r="AT126" s="2" t="s">
        <v>428</v>
      </c>
      <c r="AU126" s="2" t="s">
        <v>424</v>
      </c>
      <c r="AV126" s="2" t="s">
        <v>124</v>
      </c>
      <c r="AW126" s="2" t="s">
        <v>424</v>
      </c>
      <c r="AX126" s="2">
        <v>126.15</v>
      </c>
      <c r="AY126" s="2" t="s">
        <v>424</v>
      </c>
      <c r="AZ126" s="2">
        <v>4.9400000000000004</v>
      </c>
      <c r="BA126" s="2" t="s">
        <v>424</v>
      </c>
      <c r="BB126" s="2">
        <v>196.7</v>
      </c>
      <c r="BC126" s="2" t="s">
        <v>424</v>
      </c>
      <c r="BD126" s="2">
        <v>21.2</v>
      </c>
      <c r="BE126" s="2" t="s">
        <v>424</v>
      </c>
      <c r="BF126" s="2">
        <v>22.65</v>
      </c>
      <c r="BG126" s="2" t="s">
        <v>424</v>
      </c>
      <c r="BH126" s="2">
        <v>37.89</v>
      </c>
      <c r="BI126" s="2" t="s">
        <v>424</v>
      </c>
      <c r="BJ126" s="2" t="s">
        <v>429</v>
      </c>
      <c r="BK126" s="2" t="s">
        <v>424</v>
      </c>
      <c r="BL126" s="2">
        <v>33.89</v>
      </c>
      <c r="BM126" s="2" t="s">
        <v>424</v>
      </c>
      <c r="BN126" s="2">
        <v>49.1</v>
      </c>
      <c r="BO126" s="2" t="s">
        <v>424</v>
      </c>
      <c r="BP126" s="2">
        <v>30.26</v>
      </c>
      <c r="BQ126" s="2" t="s">
        <v>424</v>
      </c>
      <c r="BR126" s="2">
        <v>30.91</v>
      </c>
      <c r="BS126" s="2" t="s">
        <v>424</v>
      </c>
      <c r="BT126" s="2">
        <v>14.95</v>
      </c>
      <c r="BU126" s="2" t="s">
        <v>424</v>
      </c>
      <c r="BV126" s="2">
        <v>115121.08</v>
      </c>
      <c r="BW126" s="2" t="s">
        <v>424</v>
      </c>
      <c r="BX126" s="2" t="s">
        <v>58</v>
      </c>
    </row>
    <row r="127" spans="1:76">
      <c r="A127" s="2" t="s">
        <v>1</v>
      </c>
      <c r="B127" s="2">
        <v>127</v>
      </c>
      <c r="C127" s="2" t="s">
        <v>427</v>
      </c>
      <c r="D127" s="2">
        <v>20.12</v>
      </c>
      <c r="E127" s="2" t="s">
        <v>427</v>
      </c>
      <c r="F127" s="2">
        <v>37.950000000000003</v>
      </c>
      <c r="G127" s="2" t="s">
        <v>427</v>
      </c>
      <c r="H127" s="2">
        <v>49.85</v>
      </c>
      <c r="I127" s="2" t="s">
        <v>427</v>
      </c>
      <c r="J127" s="2">
        <v>15.89</v>
      </c>
      <c r="K127" s="2" t="s">
        <v>427</v>
      </c>
      <c r="L127" s="2">
        <v>21.51</v>
      </c>
      <c r="M127" s="2" t="s">
        <v>427</v>
      </c>
      <c r="N127" s="2">
        <v>13.95</v>
      </c>
      <c r="O127" s="2" t="s">
        <v>427</v>
      </c>
      <c r="P127" s="2">
        <v>31.8</v>
      </c>
      <c r="Q127" s="2" t="s">
        <v>427</v>
      </c>
      <c r="R127" s="2">
        <v>27.9</v>
      </c>
      <c r="S127" s="2" t="s">
        <v>427</v>
      </c>
      <c r="T127" s="2">
        <v>20.98</v>
      </c>
      <c r="U127" s="2" t="s">
        <v>427</v>
      </c>
      <c r="V127" s="2">
        <v>6.67</v>
      </c>
      <c r="W127" s="2" t="s">
        <v>427</v>
      </c>
      <c r="X127" s="2" t="s">
        <v>93</v>
      </c>
      <c r="Y127" s="2" t="s">
        <v>427</v>
      </c>
      <c r="Z127" s="2">
        <v>30.65</v>
      </c>
      <c r="AA127" s="2" t="s">
        <v>430</v>
      </c>
      <c r="AB127" s="2">
        <v>22.96</v>
      </c>
      <c r="AC127" s="2" t="s">
        <v>427</v>
      </c>
      <c r="AD127" s="2">
        <v>24.34</v>
      </c>
      <c r="AE127" s="2" t="s">
        <v>427</v>
      </c>
      <c r="AF127" s="2">
        <v>35.47</v>
      </c>
      <c r="AG127" s="2" t="s">
        <v>427</v>
      </c>
      <c r="AH127" s="2">
        <v>54.58</v>
      </c>
      <c r="AI127" s="2" t="s">
        <v>427</v>
      </c>
      <c r="AJ127" s="2" t="s">
        <v>131</v>
      </c>
      <c r="AK127" s="2" t="s">
        <v>427</v>
      </c>
      <c r="AL127" s="2">
        <v>9.1999999999999993</v>
      </c>
      <c r="AM127" s="2" t="s">
        <v>427</v>
      </c>
      <c r="AN127" s="2" t="s">
        <v>74</v>
      </c>
      <c r="AO127" s="2" t="s">
        <v>427</v>
      </c>
      <c r="AP127" s="2">
        <v>127.9</v>
      </c>
      <c r="AQ127" s="2" t="s">
        <v>427</v>
      </c>
      <c r="AR127" s="2">
        <v>14.06</v>
      </c>
      <c r="AS127" s="2" t="s">
        <v>427</v>
      </c>
      <c r="AT127" s="2">
        <v>1325.01</v>
      </c>
      <c r="AU127" s="2" t="s">
        <v>427</v>
      </c>
      <c r="AV127" s="2" t="s">
        <v>123</v>
      </c>
      <c r="AW127" s="2" t="s">
        <v>427</v>
      </c>
      <c r="AX127" s="2">
        <v>126.99</v>
      </c>
      <c r="AY127" s="2" t="s">
        <v>427</v>
      </c>
      <c r="AZ127" s="2">
        <v>4.93</v>
      </c>
      <c r="BA127" s="2" t="s">
        <v>427</v>
      </c>
      <c r="BB127" s="2">
        <v>195.75</v>
      </c>
      <c r="BC127" s="2" t="s">
        <v>427</v>
      </c>
      <c r="BD127" s="2">
        <v>21.8</v>
      </c>
      <c r="BE127" s="2" t="s">
        <v>427</v>
      </c>
      <c r="BF127" s="2">
        <v>23.35</v>
      </c>
      <c r="BG127" s="2" t="s">
        <v>427</v>
      </c>
      <c r="BH127" s="2">
        <v>37.35</v>
      </c>
      <c r="BI127" s="2" t="s">
        <v>427</v>
      </c>
      <c r="BJ127" s="2">
        <v>189.99</v>
      </c>
      <c r="BK127" s="2" t="s">
        <v>427</v>
      </c>
      <c r="BL127" s="2">
        <v>33.79</v>
      </c>
      <c r="BM127" s="2" t="s">
        <v>427</v>
      </c>
      <c r="BN127" s="2">
        <v>46.87</v>
      </c>
      <c r="BO127" s="2" t="s">
        <v>427</v>
      </c>
      <c r="BP127" s="2">
        <v>30.5</v>
      </c>
      <c r="BQ127" s="2" t="s">
        <v>427</v>
      </c>
      <c r="BR127" s="2">
        <v>33.299999999999997</v>
      </c>
      <c r="BS127" s="2" t="s">
        <v>427</v>
      </c>
      <c r="BT127" s="2">
        <v>15.43</v>
      </c>
      <c r="BU127" s="2" t="s">
        <v>427</v>
      </c>
      <c r="BV127" s="2">
        <v>115863.29</v>
      </c>
      <c r="BW127" s="2" t="s">
        <v>427</v>
      </c>
      <c r="BX127" s="2">
        <v>30.64</v>
      </c>
    </row>
    <row r="128" spans="1:76">
      <c r="A128" s="2" t="s">
        <v>1</v>
      </c>
      <c r="B128" s="2">
        <v>128</v>
      </c>
      <c r="C128" s="2" t="s">
        <v>430</v>
      </c>
      <c r="D128" s="2">
        <v>20.170000000000002</v>
      </c>
      <c r="E128" s="2" t="s">
        <v>430</v>
      </c>
      <c r="F128" s="2">
        <v>37.76</v>
      </c>
      <c r="G128" s="2" t="s">
        <v>430</v>
      </c>
      <c r="H128" s="2">
        <v>51.12</v>
      </c>
      <c r="I128" s="2" t="s">
        <v>430</v>
      </c>
      <c r="J128" s="2">
        <v>16.13</v>
      </c>
      <c r="K128" s="2" t="s">
        <v>430</v>
      </c>
      <c r="L128" s="2">
        <v>21.78</v>
      </c>
      <c r="M128" s="2" t="s">
        <v>430</v>
      </c>
      <c r="N128" s="2">
        <v>14.19</v>
      </c>
      <c r="O128" s="2" t="s">
        <v>430</v>
      </c>
      <c r="P128" s="2">
        <v>32.28</v>
      </c>
      <c r="Q128" s="2" t="s">
        <v>430</v>
      </c>
      <c r="R128" s="2">
        <v>28.31</v>
      </c>
      <c r="S128" s="2" t="s">
        <v>430</v>
      </c>
      <c r="T128" s="2">
        <v>21.53</v>
      </c>
      <c r="U128" s="2" t="s">
        <v>430</v>
      </c>
      <c r="V128" s="2">
        <v>6.88</v>
      </c>
      <c r="W128" s="2" t="s">
        <v>430</v>
      </c>
      <c r="X128" s="2">
        <v>142.69999999999999</v>
      </c>
      <c r="Y128" s="2" t="s">
        <v>430</v>
      </c>
      <c r="Z128" s="2" t="s">
        <v>137</v>
      </c>
      <c r="AA128" s="2" t="s">
        <v>431</v>
      </c>
      <c r="AB128" s="2">
        <v>22.8</v>
      </c>
      <c r="AC128" s="2" t="s">
        <v>430</v>
      </c>
      <c r="AD128" s="2">
        <v>24.7</v>
      </c>
      <c r="AE128" s="2" t="s">
        <v>430</v>
      </c>
      <c r="AF128" s="2">
        <v>36.18</v>
      </c>
      <c r="AG128" s="2" t="s">
        <v>430</v>
      </c>
      <c r="AH128" s="2">
        <v>54.79</v>
      </c>
      <c r="AI128" s="2" t="s">
        <v>430</v>
      </c>
      <c r="AJ128" s="2">
        <v>49.89</v>
      </c>
      <c r="AK128" s="2" t="s">
        <v>430</v>
      </c>
      <c r="AL128" s="2">
        <v>9.16</v>
      </c>
      <c r="AM128" s="2" t="s">
        <v>430</v>
      </c>
      <c r="AN128" s="2">
        <v>105.79</v>
      </c>
      <c r="AO128" s="2" t="s">
        <v>430</v>
      </c>
      <c r="AP128" s="2" t="s">
        <v>432</v>
      </c>
      <c r="AQ128" s="2" t="s">
        <v>430</v>
      </c>
      <c r="AR128" s="2">
        <v>14.52</v>
      </c>
      <c r="AS128" s="2" t="s">
        <v>430</v>
      </c>
      <c r="AT128" s="2" t="s">
        <v>433</v>
      </c>
      <c r="AU128" s="2" t="s">
        <v>430</v>
      </c>
      <c r="AV128" s="2">
        <v>150.36000000000001</v>
      </c>
      <c r="AW128" s="2" t="s">
        <v>430</v>
      </c>
      <c r="AX128" s="2">
        <v>128.44999999999999</v>
      </c>
      <c r="AY128" s="2" t="s">
        <v>430</v>
      </c>
      <c r="AZ128" s="2">
        <v>4.9400000000000004</v>
      </c>
      <c r="BA128" s="2" t="s">
        <v>430</v>
      </c>
      <c r="BB128" s="2" t="s">
        <v>434</v>
      </c>
      <c r="BC128" s="2" t="s">
        <v>430</v>
      </c>
      <c r="BD128" s="2">
        <v>22.16</v>
      </c>
      <c r="BE128" s="2" t="s">
        <v>430</v>
      </c>
      <c r="BF128" s="2">
        <v>24.89</v>
      </c>
      <c r="BG128" s="2" t="s">
        <v>430</v>
      </c>
      <c r="BH128" s="2">
        <v>37.49</v>
      </c>
      <c r="BI128" s="2" t="s">
        <v>430</v>
      </c>
      <c r="BJ128" s="2" t="s">
        <v>435</v>
      </c>
      <c r="BK128" s="2" t="s">
        <v>430</v>
      </c>
      <c r="BL128" s="2">
        <v>34.85</v>
      </c>
      <c r="BM128" s="2" t="s">
        <v>430</v>
      </c>
      <c r="BN128" s="2">
        <v>46.65</v>
      </c>
      <c r="BO128" s="2" t="s">
        <v>430</v>
      </c>
      <c r="BP128" s="2">
        <v>30.91</v>
      </c>
      <c r="BQ128" s="2" t="s">
        <v>430</v>
      </c>
      <c r="BR128" s="2">
        <v>34.340000000000003</v>
      </c>
      <c r="BS128" s="2" t="s">
        <v>430</v>
      </c>
      <c r="BT128" s="2">
        <v>15.8</v>
      </c>
      <c r="BU128" s="2" t="s">
        <v>430</v>
      </c>
      <c r="BV128" s="2">
        <v>117203.2</v>
      </c>
      <c r="BW128" s="2" t="s">
        <v>430</v>
      </c>
      <c r="BX128" s="2">
        <v>31.4</v>
      </c>
    </row>
    <row r="129" spans="1:76">
      <c r="A129" s="2" t="s">
        <v>1</v>
      </c>
      <c r="B129" s="2">
        <v>129</v>
      </c>
      <c r="C129" s="2" t="s">
        <v>431</v>
      </c>
      <c r="D129" s="2">
        <v>20.079999999999998</v>
      </c>
      <c r="E129" s="2" t="s">
        <v>431</v>
      </c>
      <c r="F129" s="2">
        <v>37.840000000000003</v>
      </c>
      <c r="G129" s="2" t="s">
        <v>431</v>
      </c>
      <c r="H129" s="2">
        <v>50.81</v>
      </c>
      <c r="I129" s="2" t="s">
        <v>431</v>
      </c>
      <c r="J129" s="2">
        <v>15.88</v>
      </c>
      <c r="K129" s="2" t="s">
        <v>431</v>
      </c>
      <c r="L129" s="2">
        <v>21.73</v>
      </c>
      <c r="M129" s="2" t="s">
        <v>431</v>
      </c>
      <c r="N129" s="2">
        <v>14.13</v>
      </c>
      <c r="O129" s="2" t="s">
        <v>431</v>
      </c>
      <c r="P129" s="2">
        <v>32.159999999999997</v>
      </c>
      <c r="Q129" s="2" t="s">
        <v>431</v>
      </c>
      <c r="R129" s="2">
        <v>28.75</v>
      </c>
      <c r="S129" s="2" t="s">
        <v>431</v>
      </c>
      <c r="T129" s="2">
        <v>21.94</v>
      </c>
      <c r="U129" s="2" t="s">
        <v>431</v>
      </c>
      <c r="V129" s="2">
        <v>6.97</v>
      </c>
      <c r="W129" s="2" t="s">
        <v>431</v>
      </c>
      <c r="X129" s="2">
        <v>145.28</v>
      </c>
      <c r="Y129" s="2" t="s">
        <v>431</v>
      </c>
      <c r="Z129" s="2">
        <v>30.92</v>
      </c>
      <c r="AA129" s="2" t="s">
        <v>436</v>
      </c>
      <c r="AB129" s="2">
        <v>22.58</v>
      </c>
      <c r="AC129" s="2" t="s">
        <v>431</v>
      </c>
      <c r="AD129" s="2">
        <v>24.83</v>
      </c>
      <c r="AE129" s="2" t="s">
        <v>431</v>
      </c>
      <c r="AF129" s="2">
        <v>36.61</v>
      </c>
      <c r="AG129" s="2" t="s">
        <v>431</v>
      </c>
      <c r="AH129" s="2">
        <v>53.6</v>
      </c>
      <c r="AI129" s="2" t="s">
        <v>431</v>
      </c>
      <c r="AJ129" s="2">
        <v>49.33</v>
      </c>
      <c r="AK129" s="2" t="s">
        <v>431</v>
      </c>
      <c r="AL129" s="2">
        <v>9.16</v>
      </c>
      <c r="AM129" s="2" t="s">
        <v>431</v>
      </c>
      <c r="AN129" s="2">
        <v>107.76</v>
      </c>
      <c r="AO129" s="2" t="s">
        <v>431</v>
      </c>
      <c r="AP129" s="2" t="s">
        <v>437</v>
      </c>
      <c r="AQ129" s="2" t="s">
        <v>431</v>
      </c>
      <c r="AR129" s="2">
        <v>13.87</v>
      </c>
      <c r="AS129" s="2" t="s">
        <v>431</v>
      </c>
      <c r="AT129" s="2">
        <v>1393.99</v>
      </c>
      <c r="AU129" s="2" t="s">
        <v>431</v>
      </c>
      <c r="AV129" s="2">
        <v>149.9</v>
      </c>
      <c r="AW129" s="2" t="s">
        <v>431</v>
      </c>
      <c r="AX129" s="2">
        <v>129.9</v>
      </c>
      <c r="AY129" s="2" t="s">
        <v>431</v>
      </c>
      <c r="AZ129" s="2">
        <v>4.9400000000000004</v>
      </c>
      <c r="BA129" s="2" t="s">
        <v>431</v>
      </c>
      <c r="BB129" s="2">
        <v>202.4</v>
      </c>
      <c r="BC129" s="2" t="s">
        <v>431</v>
      </c>
      <c r="BD129" s="2">
        <v>22.5</v>
      </c>
      <c r="BE129" s="2" t="s">
        <v>431</v>
      </c>
      <c r="BF129" s="2" t="s">
        <v>52</v>
      </c>
      <c r="BG129" s="2" t="s">
        <v>431</v>
      </c>
      <c r="BH129" s="2">
        <v>37.549999999999997</v>
      </c>
      <c r="BI129" s="2" t="s">
        <v>431</v>
      </c>
      <c r="BJ129" s="2">
        <v>191.84</v>
      </c>
      <c r="BK129" s="2" t="s">
        <v>431</v>
      </c>
      <c r="BL129" s="2">
        <v>35.340000000000003</v>
      </c>
      <c r="BM129" s="2" t="s">
        <v>431</v>
      </c>
      <c r="BN129" s="2">
        <v>44.21</v>
      </c>
      <c r="BO129" s="2" t="s">
        <v>431</v>
      </c>
      <c r="BP129" s="2">
        <v>30.52</v>
      </c>
      <c r="BQ129" s="2" t="s">
        <v>431</v>
      </c>
      <c r="BR129" s="2">
        <v>33.9</v>
      </c>
      <c r="BS129" s="2" t="s">
        <v>431</v>
      </c>
      <c r="BT129" s="2">
        <v>15.84</v>
      </c>
      <c r="BU129" s="2" t="s">
        <v>431</v>
      </c>
      <c r="BV129" s="2">
        <v>116533.98</v>
      </c>
      <c r="BW129" s="2" t="s">
        <v>431</v>
      </c>
      <c r="BX129" s="2">
        <v>31.76</v>
      </c>
    </row>
    <row r="130" spans="1:76">
      <c r="A130" s="2" t="s">
        <v>1</v>
      </c>
      <c r="B130" s="2">
        <v>130</v>
      </c>
      <c r="C130" s="2" t="s">
        <v>436</v>
      </c>
      <c r="D130" s="2">
        <v>20.190000000000001</v>
      </c>
      <c r="E130" s="2" t="s">
        <v>436</v>
      </c>
      <c r="F130" s="2">
        <v>37.700000000000003</v>
      </c>
      <c r="G130" s="2" t="s">
        <v>436</v>
      </c>
      <c r="H130" s="2">
        <v>50.8</v>
      </c>
      <c r="I130" s="2" t="s">
        <v>436</v>
      </c>
      <c r="J130" s="2" t="s">
        <v>82</v>
      </c>
      <c r="K130" s="2" t="s">
        <v>436</v>
      </c>
      <c r="L130" s="2">
        <v>22.1</v>
      </c>
      <c r="M130" s="2" t="s">
        <v>436</v>
      </c>
      <c r="N130" s="2">
        <v>14.09</v>
      </c>
      <c r="O130" s="2" t="s">
        <v>436</v>
      </c>
      <c r="P130" s="2">
        <v>32.03</v>
      </c>
      <c r="Q130" s="2" t="s">
        <v>436</v>
      </c>
      <c r="R130" s="2">
        <v>28.8</v>
      </c>
      <c r="S130" s="2" t="s">
        <v>436</v>
      </c>
      <c r="T130" s="2">
        <v>21.55</v>
      </c>
      <c r="U130" s="2" t="s">
        <v>436</v>
      </c>
      <c r="V130" s="2">
        <v>7.03</v>
      </c>
      <c r="W130" s="2" t="s">
        <v>436</v>
      </c>
      <c r="X130" s="2" t="s">
        <v>123</v>
      </c>
      <c r="Y130" s="2" t="s">
        <v>436</v>
      </c>
      <c r="Z130" s="2">
        <v>31.18</v>
      </c>
      <c r="AA130" s="2" t="s">
        <v>438</v>
      </c>
      <c r="AB130" s="2">
        <v>22.77</v>
      </c>
      <c r="AC130" s="2" t="s">
        <v>436</v>
      </c>
      <c r="AD130" s="2">
        <v>25.3</v>
      </c>
      <c r="AE130" s="2" t="s">
        <v>436</v>
      </c>
      <c r="AF130" s="2">
        <v>35.71</v>
      </c>
      <c r="AG130" s="2" t="s">
        <v>436</v>
      </c>
      <c r="AH130" s="2">
        <v>53.3</v>
      </c>
      <c r="AI130" s="2" t="s">
        <v>436</v>
      </c>
      <c r="AJ130" s="2">
        <v>49.04</v>
      </c>
      <c r="AK130" s="2" t="s">
        <v>436</v>
      </c>
      <c r="AL130" s="2">
        <v>9.1999999999999993</v>
      </c>
      <c r="AM130" s="2" t="s">
        <v>436</v>
      </c>
      <c r="AN130" s="2" t="s">
        <v>75</v>
      </c>
      <c r="AO130" s="2" t="s">
        <v>436</v>
      </c>
      <c r="AP130" s="2">
        <v>130.94999999999999</v>
      </c>
      <c r="AQ130" s="2" t="s">
        <v>436</v>
      </c>
      <c r="AR130" s="2">
        <v>14.12</v>
      </c>
      <c r="AS130" s="2" t="s">
        <v>436</v>
      </c>
      <c r="AT130" s="2" t="s">
        <v>439</v>
      </c>
      <c r="AU130" s="2" t="s">
        <v>436</v>
      </c>
      <c r="AV130" s="2">
        <v>150.19999999999999</v>
      </c>
      <c r="AW130" s="2" t="s">
        <v>436</v>
      </c>
      <c r="AX130" s="2">
        <v>131.96</v>
      </c>
      <c r="AY130" s="2" t="s">
        <v>436</v>
      </c>
      <c r="AZ130" s="2">
        <v>4.93</v>
      </c>
      <c r="BA130" s="2" t="s">
        <v>436</v>
      </c>
      <c r="BB130" s="2">
        <v>206.15</v>
      </c>
      <c r="BC130" s="2" t="s">
        <v>436</v>
      </c>
      <c r="BD130" s="2">
        <v>22.71</v>
      </c>
      <c r="BE130" s="2" t="s">
        <v>436</v>
      </c>
      <c r="BF130" s="2">
        <v>24.5</v>
      </c>
      <c r="BG130" s="2" t="s">
        <v>436</v>
      </c>
      <c r="BH130" s="2">
        <v>38.15</v>
      </c>
      <c r="BI130" s="2" t="s">
        <v>436</v>
      </c>
      <c r="BJ130" s="2">
        <v>198.18</v>
      </c>
      <c r="BK130" s="2" t="s">
        <v>436</v>
      </c>
      <c r="BL130" s="2">
        <v>34.659999999999997</v>
      </c>
      <c r="BM130" s="2" t="s">
        <v>436</v>
      </c>
      <c r="BN130" s="2">
        <v>42.97</v>
      </c>
      <c r="BO130" s="2" t="s">
        <v>436</v>
      </c>
      <c r="BP130" s="2">
        <v>30.18</v>
      </c>
      <c r="BQ130" s="2" t="s">
        <v>436</v>
      </c>
      <c r="BR130" s="2">
        <v>33.06</v>
      </c>
      <c r="BS130" s="2" t="s">
        <v>436</v>
      </c>
      <c r="BT130" s="2">
        <v>16.07</v>
      </c>
      <c r="BU130" s="2" t="s">
        <v>436</v>
      </c>
      <c r="BV130" s="2">
        <v>115645.34</v>
      </c>
      <c r="BW130" s="2" t="s">
        <v>436</v>
      </c>
      <c r="BX130" s="2">
        <v>31.94</v>
      </c>
    </row>
    <row r="131" spans="1:76">
      <c r="A131" s="2" t="s">
        <v>1</v>
      </c>
      <c r="B131" s="2">
        <v>131</v>
      </c>
      <c r="C131" s="2" t="s">
        <v>438</v>
      </c>
      <c r="D131" s="2">
        <v>20.3</v>
      </c>
      <c r="E131" s="2" t="s">
        <v>438</v>
      </c>
      <c r="F131" s="2">
        <v>38.1</v>
      </c>
      <c r="G131" s="2" t="s">
        <v>438</v>
      </c>
      <c r="H131" s="2" t="s">
        <v>113</v>
      </c>
      <c r="I131" s="2" t="s">
        <v>438</v>
      </c>
      <c r="J131" s="2">
        <v>17.09</v>
      </c>
      <c r="K131" s="2" t="s">
        <v>438</v>
      </c>
      <c r="L131" s="2">
        <v>21.91</v>
      </c>
      <c r="M131" s="2" t="s">
        <v>438</v>
      </c>
      <c r="N131" s="2">
        <v>14.35</v>
      </c>
      <c r="O131" s="2" t="s">
        <v>438</v>
      </c>
      <c r="P131" s="2">
        <v>32.6</v>
      </c>
      <c r="Q131" s="2" t="s">
        <v>438</v>
      </c>
      <c r="R131" s="2">
        <v>29.85</v>
      </c>
      <c r="S131" s="2" t="s">
        <v>438</v>
      </c>
      <c r="T131" s="2">
        <v>22.2</v>
      </c>
      <c r="U131" s="2" t="s">
        <v>438</v>
      </c>
      <c r="V131" s="2">
        <v>6.82</v>
      </c>
      <c r="W131" s="2" t="s">
        <v>438</v>
      </c>
      <c r="X131" s="2">
        <v>149.30000000000001</v>
      </c>
      <c r="Y131" s="2" t="s">
        <v>438</v>
      </c>
      <c r="Z131" s="2">
        <v>30.96</v>
      </c>
      <c r="AA131" s="2" t="s">
        <v>440</v>
      </c>
      <c r="AB131" s="2">
        <v>22.2</v>
      </c>
      <c r="AC131" s="2" t="s">
        <v>438</v>
      </c>
      <c r="AD131" s="2">
        <v>25.35</v>
      </c>
      <c r="AE131" s="2" t="s">
        <v>438</v>
      </c>
      <c r="AF131" s="2">
        <v>35.15</v>
      </c>
      <c r="AG131" s="2" t="s">
        <v>438</v>
      </c>
      <c r="AH131" s="2">
        <v>54.33</v>
      </c>
      <c r="AI131" s="2" t="s">
        <v>438</v>
      </c>
      <c r="AJ131" s="2">
        <v>48.24</v>
      </c>
      <c r="AK131" s="2" t="s">
        <v>438</v>
      </c>
      <c r="AL131" s="2" t="s">
        <v>43</v>
      </c>
      <c r="AM131" s="2" t="s">
        <v>438</v>
      </c>
      <c r="AN131" s="2">
        <v>110.55</v>
      </c>
      <c r="AO131" s="2" t="s">
        <v>438</v>
      </c>
      <c r="AP131" s="2">
        <v>128.78</v>
      </c>
      <c r="AQ131" s="2" t="s">
        <v>438</v>
      </c>
      <c r="AR131" s="2">
        <v>14.12</v>
      </c>
      <c r="AS131" s="2" t="s">
        <v>438</v>
      </c>
      <c r="AT131" s="2">
        <v>1404.99</v>
      </c>
      <c r="AU131" s="2" t="s">
        <v>438</v>
      </c>
      <c r="AV131" s="2">
        <v>150.80000000000001</v>
      </c>
      <c r="AW131" s="2" t="s">
        <v>438</v>
      </c>
      <c r="AX131" s="2">
        <v>131.55000000000001</v>
      </c>
      <c r="AY131" s="2" t="s">
        <v>438</v>
      </c>
      <c r="AZ131" s="2">
        <v>4.92</v>
      </c>
      <c r="BA131" s="2" t="s">
        <v>438</v>
      </c>
      <c r="BB131" s="2" t="s">
        <v>441</v>
      </c>
      <c r="BC131" s="2" t="s">
        <v>438</v>
      </c>
      <c r="BD131" s="2">
        <v>23.19</v>
      </c>
      <c r="BE131" s="2" t="s">
        <v>438</v>
      </c>
      <c r="BF131" s="2">
        <v>24.6</v>
      </c>
      <c r="BG131" s="2" t="s">
        <v>438</v>
      </c>
      <c r="BH131" s="2">
        <v>39.299999999999997</v>
      </c>
      <c r="BI131" s="2" t="s">
        <v>438</v>
      </c>
      <c r="BJ131" s="2">
        <v>199.6</v>
      </c>
      <c r="BK131" s="2" t="s">
        <v>438</v>
      </c>
      <c r="BL131" s="2">
        <v>35.24</v>
      </c>
      <c r="BM131" s="2" t="s">
        <v>438</v>
      </c>
      <c r="BN131" s="2">
        <v>45.11</v>
      </c>
      <c r="BO131" s="2" t="s">
        <v>438</v>
      </c>
      <c r="BP131" s="2">
        <v>30.7</v>
      </c>
      <c r="BQ131" s="2" t="s">
        <v>438</v>
      </c>
      <c r="BR131" s="2">
        <v>35.78</v>
      </c>
      <c r="BS131" s="2" t="s">
        <v>438</v>
      </c>
      <c r="BT131" s="2">
        <v>15.74</v>
      </c>
      <c r="BU131" s="2" t="s">
        <v>438</v>
      </c>
      <c r="BV131" s="2">
        <v>118573.1</v>
      </c>
      <c r="BW131" s="2" t="s">
        <v>438</v>
      </c>
      <c r="BX131" s="2">
        <v>32.54</v>
      </c>
    </row>
    <row r="132" spans="1:76">
      <c r="A132" s="2" t="s">
        <v>1</v>
      </c>
      <c r="B132" s="2">
        <v>132</v>
      </c>
      <c r="C132" s="2" t="s">
        <v>440</v>
      </c>
      <c r="D132" s="2">
        <v>20.75</v>
      </c>
      <c r="E132" s="2" t="s">
        <v>440</v>
      </c>
      <c r="F132" s="2">
        <v>37.68</v>
      </c>
      <c r="G132" s="2" t="s">
        <v>440</v>
      </c>
      <c r="H132" s="2">
        <v>52.3</v>
      </c>
      <c r="I132" s="2" t="s">
        <v>440</v>
      </c>
      <c r="J132" s="2">
        <v>17.43</v>
      </c>
      <c r="K132" s="2" t="s">
        <v>440</v>
      </c>
      <c r="L132" s="2">
        <v>22.05</v>
      </c>
      <c r="M132" s="2" t="s">
        <v>440</v>
      </c>
      <c r="N132" s="2">
        <v>14.14</v>
      </c>
      <c r="O132" s="2" t="s">
        <v>440</v>
      </c>
      <c r="P132" s="2">
        <v>32.33</v>
      </c>
      <c r="Q132" s="2" t="s">
        <v>440</v>
      </c>
      <c r="R132" s="2">
        <v>28.99</v>
      </c>
      <c r="S132" s="2" t="s">
        <v>440</v>
      </c>
      <c r="T132" s="2">
        <v>22.2</v>
      </c>
      <c r="U132" s="2" t="s">
        <v>440</v>
      </c>
      <c r="V132" s="2">
        <v>6.33</v>
      </c>
      <c r="W132" s="2" t="s">
        <v>440</v>
      </c>
      <c r="X132" s="2" t="s">
        <v>136</v>
      </c>
      <c r="Y132" s="2" t="s">
        <v>440</v>
      </c>
      <c r="Z132" s="2">
        <v>30.97</v>
      </c>
      <c r="AA132" s="2" t="s">
        <v>442</v>
      </c>
      <c r="AB132" s="2">
        <v>22.33</v>
      </c>
      <c r="AC132" s="2" t="s">
        <v>440</v>
      </c>
      <c r="AD132" s="2">
        <v>26.39</v>
      </c>
      <c r="AE132" s="2" t="s">
        <v>440</v>
      </c>
      <c r="AF132" s="2">
        <v>33.659999999999997</v>
      </c>
      <c r="AG132" s="2" t="s">
        <v>440</v>
      </c>
      <c r="AH132" s="2">
        <v>53.93</v>
      </c>
      <c r="AI132" s="2" t="s">
        <v>440</v>
      </c>
      <c r="AJ132" s="2">
        <v>48.8</v>
      </c>
      <c r="AK132" s="2" t="s">
        <v>440</v>
      </c>
      <c r="AL132" s="2">
        <v>8.83</v>
      </c>
      <c r="AM132" s="2" t="s">
        <v>440</v>
      </c>
      <c r="AN132" s="2" t="s">
        <v>110</v>
      </c>
      <c r="AO132" s="2" t="s">
        <v>440</v>
      </c>
      <c r="AP132" s="2" t="s">
        <v>76</v>
      </c>
      <c r="AQ132" s="2" t="s">
        <v>440</v>
      </c>
      <c r="AR132" s="2">
        <v>13.75</v>
      </c>
      <c r="AS132" s="2" t="s">
        <v>440</v>
      </c>
      <c r="AT132" s="2">
        <v>1409.99</v>
      </c>
      <c r="AU132" s="2" t="s">
        <v>440</v>
      </c>
      <c r="AV132" s="2" t="s">
        <v>123</v>
      </c>
      <c r="AW132" s="2" t="s">
        <v>440</v>
      </c>
      <c r="AX132" s="2">
        <v>131.88</v>
      </c>
      <c r="AY132" s="2" t="s">
        <v>440</v>
      </c>
      <c r="AZ132" s="2">
        <v>4.92</v>
      </c>
      <c r="BA132" s="2" t="s">
        <v>440</v>
      </c>
      <c r="BB132" s="2">
        <v>221.14</v>
      </c>
      <c r="BC132" s="2" t="s">
        <v>440</v>
      </c>
      <c r="BD132" s="2">
        <v>24.03</v>
      </c>
      <c r="BE132" s="2" t="s">
        <v>440</v>
      </c>
      <c r="BF132" s="2">
        <v>24.48</v>
      </c>
      <c r="BG132" s="2" t="s">
        <v>440</v>
      </c>
      <c r="BH132" s="2">
        <v>39.75</v>
      </c>
      <c r="BI132" s="2" t="s">
        <v>440</v>
      </c>
      <c r="BJ132" s="2">
        <v>199.6</v>
      </c>
      <c r="BK132" s="2" t="s">
        <v>440</v>
      </c>
      <c r="BL132" s="2">
        <v>34.79</v>
      </c>
      <c r="BM132" s="2" t="s">
        <v>440</v>
      </c>
      <c r="BN132" s="2">
        <v>43.81</v>
      </c>
      <c r="BO132" s="2" t="s">
        <v>440</v>
      </c>
      <c r="BP132" s="2">
        <v>30.45</v>
      </c>
      <c r="BQ132" s="2" t="s">
        <v>440</v>
      </c>
      <c r="BR132" s="2">
        <v>37.85</v>
      </c>
      <c r="BS132" s="2" t="s">
        <v>440</v>
      </c>
      <c r="BT132" s="2">
        <v>15.62</v>
      </c>
      <c r="BU132" s="2" t="s">
        <v>440</v>
      </c>
      <c r="BV132" s="2">
        <v>117706.66</v>
      </c>
      <c r="BW132" s="2" t="s">
        <v>440</v>
      </c>
      <c r="BX132" s="2">
        <v>32.799999999999997</v>
      </c>
    </row>
    <row r="133" spans="1:76">
      <c r="A133" s="2" t="s">
        <v>1</v>
      </c>
      <c r="B133" s="2">
        <v>133</v>
      </c>
      <c r="C133" s="2" t="s">
        <v>442</v>
      </c>
      <c r="D133" s="2">
        <v>20.62</v>
      </c>
      <c r="E133" s="2" t="s">
        <v>442</v>
      </c>
      <c r="F133" s="2">
        <v>38.299999999999997</v>
      </c>
      <c r="G133" s="2" t="s">
        <v>442</v>
      </c>
      <c r="H133" s="2">
        <v>51.86</v>
      </c>
      <c r="I133" s="2" t="s">
        <v>442</v>
      </c>
      <c r="J133" s="2">
        <v>17.2</v>
      </c>
      <c r="K133" s="2" t="s">
        <v>442</v>
      </c>
      <c r="L133" s="2">
        <v>21.88</v>
      </c>
      <c r="M133" s="2" t="s">
        <v>442</v>
      </c>
      <c r="N133" s="2">
        <v>14.11</v>
      </c>
      <c r="O133" s="2" t="s">
        <v>442</v>
      </c>
      <c r="P133" s="2" t="s">
        <v>133</v>
      </c>
      <c r="Q133" s="2" t="s">
        <v>442</v>
      </c>
      <c r="R133" s="2">
        <v>29.51</v>
      </c>
      <c r="S133" s="2" t="s">
        <v>442</v>
      </c>
      <c r="T133" s="2">
        <v>21.9</v>
      </c>
      <c r="U133" s="2" t="s">
        <v>442</v>
      </c>
      <c r="V133" s="2">
        <v>6.34</v>
      </c>
      <c r="W133" s="2" t="s">
        <v>442</v>
      </c>
      <c r="X133" s="2">
        <v>154.30000000000001</v>
      </c>
      <c r="Y133" s="2" t="s">
        <v>442</v>
      </c>
      <c r="Z133" s="2" t="s">
        <v>137</v>
      </c>
      <c r="AA133" s="2" t="s">
        <v>443</v>
      </c>
      <c r="AB133" s="2">
        <v>22.17</v>
      </c>
      <c r="AC133" s="2" t="s">
        <v>442</v>
      </c>
      <c r="AD133" s="2">
        <v>25.32</v>
      </c>
      <c r="AE133" s="2" t="s">
        <v>442</v>
      </c>
      <c r="AF133" s="2">
        <v>34.5</v>
      </c>
      <c r="AG133" s="2" t="s">
        <v>442</v>
      </c>
      <c r="AH133" s="2">
        <v>53.61</v>
      </c>
      <c r="AI133" s="2" t="s">
        <v>442</v>
      </c>
      <c r="AJ133" s="2">
        <v>48.33</v>
      </c>
      <c r="AK133" s="2" t="s">
        <v>442</v>
      </c>
      <c r="AL133" s="2">
        <v>8.98</v>
      </c>
      <c r="AM133" s="2" t="s">
        <v>442</v>
      </c>
      <c r="AN133" s="2" t="s">
        <v>99</v>
      </c>
      <c r="AO133" s="2" t="s">
        <v>442</v>
      </c>
      <c r="AP133" s="2">
        <v>127.1</v>
      </c>
      <c r="AQ133" s="2" t="s">
        <v>442</v>
      </c>
      <c r="AR133" s="2">
        <v>13.16</v>
      </c>
      <c r="AS133" s="2" t="s">
        <v>442</v>
      </c>
      <c r="AT133" s="2" t="s">
        <v>444</v>
      </c>
      <c r="AU133" s="2" t="s">
        <v>442</v>
      </c>
      <c r="AV133" s="2">
        <v>150.15</v>
      </c>
      <c r="AW133" s="2" t="s">
        <v>442</v>
      </c>
      <c r="AX133" s="2">
        <v>132.55000000000001</v>
      </c>
      <c r="AY133" s="2" t="s">
        <v>442</v>
      </c>
      <c r="AZ133" s="2">
        <v>4.88</v>
      </c>
      <c r="BA133" s="2" t="s">
        <v>442</v>
      </c>
      <c r="BB133" s="2">
        <v>214.6</v>
      </c>
      <c r="BC133" s="2" t="s">
        <v>442</v>
      </c>
      <c r="BD133" s="2">
        <v>23.5</v>
      </c>
      <c r="BE133" s="2" t="s">
        <v>442</v>
      </c>
      <c r="BF133" s="2" t="s">
        <v>52</v>
      </c>
      <c r="BG133" s="2" t="s">
        <v>442</v>
      </c>
      <c r="BH133" s="2">
        <v>40.229999999999997</v>
      </c>
      <c r="BI133" s="2" t="s">
        <v>442</v>
      </c>
      <c r="BJ133" s="2">
        <v>197.98</v>
      </c>
      <c r="BK133" s="2" t="s">
        <v>442</v>
      </c>
      <c r="BL133" s="2">
        <v>34.880000000000003</v>
      </c>
      <c r="BM133" s="2" t="s">
        <v>442</v>
      </c>
      <c r="BN133" s="2">
        <v>43.39</v>
      </c>
      <c r="BO133" s="2" t="s">
        <v>442</v>
      </c>
      <c r="BP133" s="2">
        <v>30.81</v>
      </c>
      <c r="BQ133" s="2" t="s">
        <v>442</v>
      </c>
      <c r="BR133" s="2">
        <v>38.590000000000003</v>
      </c>
      <c r="BS133" s="2" t="s">
        <v>442</v>
      </c>
      <c r="BT133" s="2">
        <v>15.98</v>
      </c>
      <c r="BU133" s="2" t="s">
        <v>442</v>
      </c>
      <c r="BV133" s="2">
        <v>116877.92</v>
      </c>
      <c r="BW133" s="2" t="s">
        <v>442</v>
      </c>
      <c r="BX133" s="2">
        <v>32.25</v>
      </c>
    </row>
    <row r="134" spans="1:76">
      <c r="A134" s="2" t="s">
        <v>1</v>
      </c>
      <c r="B134" s="2">
        <v>134</v>
      </c>
      <c r="C134" s="2" t="s">
        <v>443</v>
      </c>
      <c r="D134" s="2">
        <v>20.36</v>
      </c>
      <c r="E134" s="2" t="s">
        <v>443</v>
      </c>
      <c r="F134" s="2">
        <v>38.32</v>
      </c>
      <c r="G134" s="2" t="s">
        <v>443</v>
      </c>
      <c r="H134" s="2">
        <v>51.97</v>
      </c>
      <c r="I134" s="2" t="s">
        <v>443</v>
      </c>
      <c r="J134" s="2">
        <v>17.28</v>
      </c>
      <c r="K134" s="2" t="s">
        <v>443</v>
      </c>
      <c r="L134" s="2">
        <v>21.75</v>
      </c>
      <c r="M134" s="2" t="s">
        <v>443</v>
      </c>
      <c r="N134" s="2">
        <v>13.92</v>
      </c>
      <c r="O134" s="2" t="s">
        <v>443</v>
      </c>
      <c r="P134" s="2">
        <v>31.38</v>
      </c>
      <c r="Q134" s="2" t="s">
        <v>443</v>
      </c>
      <c r="R134" s="2">
        <v>29.3</v>
      </c>
      <c r="S134" s="2" t="s">
        <v>443</v>
      </c>
      <c r="T134" s="2" t="s">
        <v>87</v>
      </c>
      <c r="U134" s="2" t="s">
        <v>443</v>
      </c>
      <c r="V134" s="2">
        <v>6.49</v>
      </c>
      <c r="W134" s="2" t="s">
        <v>443</v>
      </c>
      <c r="X134" s="2">
        <v>147.01</v>
      </c>
      <c r="Y134" s="2" t="s">
        <v>443</v>
      </c>
      <c r="Z134" s="2">
        <v>30.74</v>
      </c>
      <c r="AA134" s="2" t="s">
        <v>445</v>
      </c>
      <c r="AB134" s="2" t="s">
        <v>87</v>
      </c>
      <c r="AC134" s="2" t="s">
        <v>443</v>
      </c>
      <c r="AD134" s="2">
        <v>25.65</v>
      </c>
      <c r="AE134" s="2" t="s">
        <v>443</v>
      </c>
      <c r="AF134" s="2">
        <v>34.26</v>
      </c>
      <c r="AG134" s="2" t="s">
        <v>443</v>
      </c>
      <c r="AH134" s="2" t="s">
        <v>425</v>
      </c>
      <c r="AI134" s="2" t="s">
        <v>443</v>
      </c>
      <c r="AJ134" s="2">
        <v>49.4</v>
      </c>
      <c r="AK134" s="2" t="s">
        <v>443</v>
      </c>
      <c r="AL134" s="2">
        <v>8.99</v>
      </c>
      <c r="AM134" s="2" t="s">
        <v>443</v>
      </c>
      <c r="AN134" s="2">
        <v>113.1</v>
      </c>
      <c r="AO134" s="2" t="s">
        <v>443</v>
      </c>
      <c r="AP134" s="2">
        <v>127.99</v>
      </c>
      <c r="AQ134" s="2" t="s">
        <v>443</v>
      </c>
      <c r="AR134" s="2">
        <v>12.94</v>
      </c>
      <c r="AS134" s="2" t="s">
        <v>443</v>
      </c>
      <c r="AT134" s="2" t="s">
        <v>446</v>
      </c>
      <c r="AU134" s="2" t="s">
        <v>443</v>
      </c>
      <c r="AV134" s="2">
        <v>150.9</v>
      </c>
      <c r="AW134" s="2" t="s">
        <v>443</v>
      </c>
      <c r="AX134" s="2">
        <v>132.96</v>
      </c>
      <c r="AY134" s="2" t="s">
        <v>443</v>
      </c>
      <c r="AZ134" s="2">
        <v>4.7300000000000004</v>
      </c>
      <c r="BA134" s="2" t="s">
        <v>443</v>
      </c>
      <c r="BB134" s="2" t="s">
        <v>447</v>
      </c>
      <c r="BC134" s="2" t="s">
        <v>443</v>
      </c>
      <c r="BD134" s="2">
        <v>23.99</v>
      </c>
      <c r="BE134" s="2" t="s">
        <v>443</v>
      </c>
      <c r="BF134" s="2">
        <v>25.1</v>
      </c>
      <c r="BG134" s="2" t="s">
        <v>443</v>
      </c>
      <c r="BH134" s="2">
        <v>38.85</v>
      </c>
      <c r="BI134" s="2" t="s">
        <v>443</v>
      </c>
      <c r="BJ134" s="2">
        <v>198.75</v>
      </c>
      <c r="BK134" s="2" t="s">
        <v>443</v>
      </c>
      <c r="BL134" s="2">
        <v>35.15</v>
      </c>
      <c r="BM134" s="2" t="s">
        <v>443</v>
      </c>
      <c r="BN134" s="2">
        <v>44.79</v>
      </c>
      <c r="BO134" s="2" t="s">
        <v>443</v>
      </c>
      <c r="BP134" s="2">
        <v>30.69</v>
      </c>
      <c r="BQ134" s="2" t="s">
        <v>443</v>
      </c>
      <c r="BR134" s="2">
        <v>38.64</v>
      </c>
      <c r="BS134" s="2" t="s">
        <v>443</v>
      </c>
      <c r="BT134" s="2">
        <v>15.48</v>
      </c>
      <c r="BU134" s="2" t="s">
        <v>443</v>
      </c>
      <c r="BV134" s="2">
        <v>116661.94</v>
      </c>
      <c r="BW134" s="2" t="s">
        <v>443</v>
      </c>
      <c r="BX134" s="2">
        <v>31.5</v>
      </c>
    </row>
    <row r="135" spans="1:76">
      <c r="A135" s="2" t="s">
        <v>1</v>
      </c>
      <c r="B135" s="2">
        <v>135</v>
      </c>
      <c r="C135" s="2" t="s">
        <v>445</v>
      </c>
      <c r="D135" s="2">
        <v>20.3</v>
      </c>
      <c r="E135" s="2" t="s">
        <v>445</v>
      </c>
      <c r="F135" s="2">
        <v>38.299999999999997</v>
      </c>
      <c r="G135" s="2" t="s">
        <v>445</v>
      </c>
      <c r="H135" s="2">
        <v>51.45</v>
      </c>
      <c r="I135" s="2" t="s">
        <v>445</v>
      </c>
      <c r="J135" s="2">
        <v>17.079999999999998</v>
      </c>
      <c r="K135" s="2" t="s">
        <v>445</v>
      </c>
      <c r="L135" s="2">
        <v>21.72</v>
      </c>
      <c r="M135" s="2" t="s">
        <v>445</v>
      </c>
      <c r="N135" s="2">
        <v>13.71</v>
      </c>
      <c r="O135" s="2" t="s">
        <v>445</v>
      </c>
      <c r="P135" s="2">
        <v>31.06</v>
      </c>
      <c r="Q135" s="2" t="s">
        <v>445</v>
      </c>
      <c r="R135" s="2">
        <v>29.34</v>
      </c>
      <c r="S135" s="2" t="s">
        <v>445</v>
      </c>
      <c r="T135" s="2">
        <v>21.62</v>
      </c>
      <c r="U135" s="2" t="s">
        <v>445</v>
      </c>
      <c r="V135" s="2">
        <v>6.49</v>
      </c>
      <c r="W135" s="2" t="s">
        <v>445</v>
      </c>
      <c r="X135" s="2">
        <v>138.05000000000001</v>
      </c>
      <c r="Y135" s="2" t="s">
        <v>445</v>
      </c>
      <c r="Z135" s="2">
        <v>30.12</v>
      </c>
      <c r="AA135" s="2" t="s">
        <v>448</v>
      </c>
      <c r="AB135" s="2">
        <v>21.92</v>
      </c>
      <c r="AC135" s="2" t="s">
        <v>445</v>
      </c>
      <c r="AD135" s="2">
        <v>25.65</v>
      </c>
      <c r="AE135" s="2" t="s">
        <v>445</v>
      </c>
      <c r="AF135" s="2">
        <v>35.5</v>
      </c>
      <c r="AG135" s="2" t="s">
        <v>445</v>
      </c>
      <c r="AH135" s="2">
        <v>54.01</v>
      </c>
      <c r="AI135" s="2" t="s">
        <v>445</v>
      </c>
      <c r="AJ135" s="2">
        <v>49.9</v>
      </c>
      <c r="AK135" s="2" t="s">
        <v>445</v>
      </c>
      <c r="AL135" s="2">
        <v>8.99</v>
      </c>
      <c r="AM135" s="2" t="s">
        <v>445</v>
      </c>
      <c r="AN135" s="2">
        <v>111.02</v>
      </c>
      <c r="AO135" s="2" t="s">
        <v>445</v>
      </c>
      <c r="AP135" s="2">
        <v>127.19</v>
      </c>
      <c r="AQ135" s="2" t="s">
        <v>445</v>
      </c>
      <c r="AR135" s="2">
        <v>12.5</v>
      </c>
      <c r="AS135" s="2" t="s">
        <v>445</v>
      </c>
      <c r="AT135" s="2">
        <v>1316.01</v>
      </c>
      <c r="AU135" s="2" t="s">
        <v>445</v>
      </c>
      <c r="AV135" s="2" t="s">
        <v>123</v>
      </c>
      <c r="AW135" s="2" t="s">
        <v>445</v>
      </c>
      <c r="AX135" s="2" t="s">
        <v>67</v>
      </c>
      <c r="AY135" s="2" t="s">
        <v>445</v>
      </c>
      <c r="AZ135" s="2">
        <v>4.58</v>
      </c>
      <c r="BA135" s="2" t="s">
        <v>445</v>
      </c>
      <c r="BB135" s="2">
        <v>199.34</v>
      </c>
      <c r="BC135" s="2" t="s">
        <v>445</v>
      </c>
      <c r="BD135" s="2">
        <v>24.09</v>
      </c>
      <c r="BE135" s="2" t="s">
        <v>445</v>
      </c>
      <c r="BF135" s="2">
        <v>25.09</v>
      </c>
      <c r="BG135" s="2" t="s">
        <v>445</v>
      </c>
      <c r="BH135" s="2">
        <v>39.19</v>
      </c>
      <c r="BI135" s="2" t="s">
        <v>445</v>
      </c>
      <c r="BJ135" s="2">
        <v>187.5</v>
      </c>
      <c r="BK135" s="2" t="s">
        <v>445</v>
      </c>
      <c r="BL135" s="2">
        <v>33.82</v>
      </c>
      <c r="BM135" s="2" t="s">
        <v>445</v>
      </c>
      <c r="BN135" s="2">
        <v>44.67</v>
      </c>
      <c r="BO135" s="2" t="s">
        <v>445</v>
      </c>
      <c r="BP135" s="2">
        <v>30.5</v>
      </c>
      <c r="BQ135" s="2" t="s">
        <v>445</v>
      </c>
      <c r="BR135" s="2">
        <v>37.85</v>
      </c>
      <c r="BS135" s="2" t="s">
        <v>445</v>
      </c>
      <c r="BT135" s="2">
        <v>15.1</v>
      </c>
      <c r="BU135" s="2" t="s">
        <v>445</v>
      </c>
      <c r="BV135" s="2">
        <v>116247.03</v>
      </c>
      <c r="BW135" s="2" t="s">
        <v>445</v>
      </c>
      <c r="BX135" s="2">
        <v>30.71</v>
      </c>
    </row>
    <row r="136" spans="1:76">
      <c r="A136" s="2" t="s">
        <v>1</v>
      </c>
      <c r="B136" s="2">
        <v>136</v>
      </c>
      <c r="C136" s="2" t="s">
        <v>448</v>
      </c>
      <c r="D136" s="2">
        <v>20.3</v>
      </c>
      <c r="E136" s="2" t="s">
        <v>448</v>
      </c>
      <c r="F136" s="2">
        <v>38.19</v>
      </c>
      <c r="G136" s="2" t="s">
        <v>448</v>
      </c>
      <c r="H136" s="2">
        <v>51.6</v>
      </c>
      <c r="I136" s="2" t="s">
        <v>448</v>
      </c>
      <c r="J136" s="2">
        <v>16.3</v>
      </c>
      <c r="K136" s="2" t="s">
        <v>448</v>
      </c>
      <c r="L136" s="2">
        <v>22.26</v>
      </c>
      <c r="M136" s="2" t="s">
        <v>448</v>
      </c>
      <c r="N136" s="2">
        <v>13.44</v>
      </c>
      <c r="O136" s="2" t="s">
        <v>448</v>
      </c>
      <c r="P136" s="2">
        <v>30.77</v>
      </c>
      <c r="Q136" s="2" t="s">
        <v>448</v>
      </c>
      <c r="R136" s="2">
        <v>28.93</v>
      </c>
      <c r="S136" s="2" t="s">
        <v>448</v>
      </c>
      <c r="T136" s="2">
        <v>21.46</v>
      </c>
      <c r="U136" s="2" t="s">
        <v>448</v>
      </c>
      <c r="V136" s="2">
        <v>6.47</v>
      </c>
      <c r="W136" s="2" t="s">
        <v>448</v>
      </c>
      <c r="X136" s="2" t="s">
        <v>93</v>
      </c>
      <c r="Y136" s="2" t="s">
        <v>448</v>
      </c>
      <c r="Z136" s="2">
        <v>30.28</v>
      </c>
      <c r="AA136" s="2" t="s">
        <v>449</v>
      </c>
      <c r="AB136" s="2">
        <v>22.1</v>
      </c>
      <c r="AC136" s="2" t="s">
        <v>448</v>
      </c>
      <c r="AD136" s="2">
        <v>26.05</v>
      </c>
      <c r="AE136" s="2" t="s">
        <v>448</v>
      </c>
      <c r="AF136" s="2">
        <v>35.19</v>
      </c>
      <c r="AG136" s="2" t="s">
        <v>448</v>
      </c>
      <c r="AH136" s="2">
        <v>53.3</v>
      </c>
      <c r="AI136" s="2" t="s">
        <v>448</v>
      </c>
      <c r="AJ136" s="2">
        <v>49.06</v>
      </c>
      <c r="AK136" s="2" t="s">
        <v>448</v>
      </c>
      <c r="AL136" s="2">
        <v>8.98</v>
      </c>
      <c r="AM136" s="2" t="s">
        <v>448</v>
      </c>
      <c r="AN136" s="2" t="s">
        <v>128</v>
      </c>
      <c r="AO136" s="2" t="s">
        <v>448</v>
      </c>
      <c r="AP136" s="2">
        <v>124.7</v>
      </c>
      <c r="AQ136" s="2" t="s">
        <v>448</v>
      </c>
      <c r="AR136" s="2">
        <v>12.45</v>
      </c>
      <c r="AS136" s="2" t="s">
        <v>448</v>
      </c>
      <c r="AT136" s="2" t="s">
        <v>450</v>
      </c>
      <c r="AU136" s="2" t="s">
        <v>448</v>
      </c>
      <c r="AV136" s="2">
        <v>148.97999999999999</v>
      </c>
      <c r="AW136" s="2" t="s">
        <v>448</v>
      </c>
      <c r="AX136" s="2">
        <v>132.80000000000001</v>
      </c>
      <c r="AY136" s="2" t="s">
        <v>448</v>
      </c>
      <c r="AZ136" s="2">
        <v>4.67</v>
      </c>
      <c r="BA136" s="2" t="s">
        <v>448</v>
      </c>
      <c r="BB136" s="2">
        <v>195.2</v>
      </c>
      <c r="BC136" s="2" t="s">
        <v>448</v>
      </c>
      <c r="BD136" s="2">
        <v>24.45</v>
      </c>
      <c r="BE136" s="2" t="s">
        <v>448</v>
      </c>
      <c r="BF136" s="2">
        <v>24.24</v>
      </c>
      <c r="BG136" s="2" t="s">
        <v>448</v>
      </c>
      <c r="BH136" s="2">
        <v>39.5</v>
      </c>
      <c r="BI136" s="2" t="s">
        <v>448</v>
      </c>
      <c r="BJ136" s="2" t="s">
        <v>451</v>
      </c>
      <c r="BK136" s="2" t="s">
        <v>448</v>
      </c>
      <c r="BL136" s="2">
        <v>33.32</v>
      </c>
      <c r="BM136" s="2" t="s">
        <v>448</v>
      </c>
      <c r="BN136" s="2">
        <v>44.65</v>
      </c>
      <c r="BO136" s="2" t="s">
        <v>448</v>
      </c>
      <c r="BP136" s="2">
        <v>30.4</v>
      </c>
      <c r="BQ136" s="2" t="s">
        <v>448</v>
      </c>
      <c r="BR136" s="2">
        <v>36.4</v>
      </c>
      <c r="BS136" s="2" t="s">
        <v>448</v>
      </c>
      <c r="BT136" s="2">
        <v>15.04</v>
      </c>
      <c r="BU136" s="2" t="s">
        <v>448</v>
      </c>
      <c r="BV136" s="2">
        <v>115947.11</v>
      </c>
      <c r="BW136" s="2" t="s">
        <v>448</v>
      </c>
      <c r="BX136" s="2">
        <v>31.42</v>
      </c>
    </row>
    <row r="137" spans="1:76">
      <c r="A137" s="2" t="s">
        <v>1</v>
      </c>
      <c r="B137" s="2">
        <v>137</v>
      </c>
      <c r="C137" s="2" t="s">
        <v>449</v>
      </c>
      <c r="D137" s="2">
        <v>20.28</v>
      </c>
      <c r="E137" s="2" t="s">
        <v>449</v>
      </c>
      <c r="F137" s="2">
        <v>36.4</v>
      </c>
      <c r="G137" s="2" t="s">
        <v>449</v>
      </c>
      <c r="H137" s="2">
        <v>52.37</v>
      </c>
      <c r="I137" s="2" t="s">
        <v>449</v>
      </c>
      <c r="J137" s="2">
        <v>16.73</v>
      </c>
      <c r="K137" s="2" t="s">
        <v>449</v>
      </c>
      <c r="L137" s="2">
        <v>22.67</v>
      </c>
      <c r="M137" s="2" t="s">
        <v>449</v>
      </c>
      <c r="N137" s="2">
        <v>13.35</v>
      </c>
      <c r="O137" s="2" t="s">
        <v>449</v>
      </c>
      <c r="P137" s="2">
        <v>30.4</v>
      </c>
      <c r="Q137" s="2" t="s">
        <v>449</v>
      </c>
      <c r="R137" s="2">
        <v>29.83</v>
      </c>
      <c r="S137" s="2" t="s">
        <v>449</v>
      </c>
      <c r="T137" s="2">
        <v>21.25</v>
      </c>
      <c r="U137" s="2" t="s">
        <v>449</v>
      </c>
      <c r="V137" s="2">
        <v>6.5</v>
      </c>
      <c r="W137" s="2" t="s">
        <v>449</v>
      </c>
      <c r="X137" s="2" t="s">
        <v>48</v>
      </c>
      <c r="Y137" s="2" t="s">
        <v>449</v>
      </c>
      <c r="Z137" s="2">
        <v>30.37</v>
      </c>
      <c r="AA137" s="2" t="s">
        <v>452</v>
      </c>
      <c r="AB137" s="2">
        <v>22.4</v>
      </c>
      <c r="AC137" s="2" t="s">
        <v>449</v>
      </c>
      <c r="AD137" s="2">
        <v>26.3</v>
      </c>
      <c r="AE137" s="2" t="s">
        <v>449</v>
      </c>
      <c r="AF137" s="2">
        <v>35.200000000000003</v>
      </c>
      <c r="AG137" s="2" t="s">
        <v>449</v>
      </c>
      <c r="AH137" s="2">
        <v>53.36</v>
      </c>
      <c r="AI137" s="2" t="s">
        <v>449</v>
      </c>
      <c r="AJ137" s="2">
        <v>50.28</v>
      </c>
      <c r="AK137" s="2" t="s">
        <v>449</v>
      </c>
      <c r="AL137" s="2">
        <v>9.11</v>
      </c>
      <c r="AM137" s="2" t="s">
        <v>449</v>
      </c>
      <c r="AN137" s="2">
        <v>113.2</v>
      </c>
      <c r="AO137" s="2" t="s">
        <v>449</v>
      </c>
      <c r="AP137" s="2">
        <v>123.02</v>
      </c>
      <c r="AQ137" s="2" t="s">
        <v>449</v>
      </c>
      <c r="AR137" s="2">
        <v>12.53</v>
      </c>
      <c r="AS137" s="2" t="s">
        <v>449</v>
      </c>
      <c r="AT137" s="2" t="s">
        <v>453</v>
      </c>
      <c r="AU137" s="2" t="s">
        <v>449</v>
      </c>
      <c r="AV137" s="2">
        <v>149.99</v>
      </c>
      <c r="AW137" s="2" t="s">
        <v>449</v>
      </c>
      <c r="AX137" s="2">
        <v>132.85</v>
      </c>
      <c r="AY137" s="2" t="s">
        <v>449</v>
      </c>
      <c r="AZ137" s="2">
        <v>4.66</v>
      </c>
      <c r="BA137" s="2" t="s">
        <v>449</v>
      </c>
      <c r="BB137" s="2">
        <v>196.04</v>
      </c>
      <c r="BC137" s="2" t="s">
        <v>449</v>
      </c>
      <c r="BD137" s="2">
        <v>24.44</v>
      </c>
      <c r="BE137" s="2" t="s">
        <v>449</v>
      </c>
      <c r="BF137" s="2">
        <v>24.15</v>
      </c>
      <c r="BG137" s="2" t="s">
        <v>449</v>
      </c>
      <c r="BH137" s="2">
        <v>39.869999999999997</v>
      </c>
      <c r="BI137" s="2" t="s">
        <v>449</v>
      </c>
      <c r="BJ137" s="2">
        <v>178.9</v>
      </c>
      <c r="BK137" s="2" t="s">
        <v>449</v>
      </c>
      <c r="BL137" s="2" t="s">
        <v>365</v>
      </c>
      <c r="BM137" s="2" t="s">
        <v>449</v>
      </c>
      <c r="BN137" s="2">
        <v>44.3</v>
      </c>
      <c r="BO137" s="2" t="s">
        <v>449</v>
      </c>
      <c r="BP137" s="2">
        <v>30.27</v>
      </c>
      <c r="BQ137" s="2" t="s">
        <v>449</v>
      </c>
      <c r="BR137" s="2">
        <v>37.22</v>
      </c>
      <c r="BS137" s="2" t="s">
        <v>449</v>
      </c>
      <c r="BT137" s="2">
        <v>15.29</v>
      </c>
      <c r="BU137" s="2" t="s">
        <v>449</v>
      </c>
      <c r="BV137" s="2">
        <v>115503.42</v>
      </c>
      <c r="BW137" s="2" t="s">
        <v>449</v>
      </c>
      <c r="BX137" s="2">
        <v>31.73</v>
      </c>
    </row>
    <row r="138" spans="1:76">
      <c r="A138" s="2" t="s">
        <v>1</v>
      </c>
      <c r="B138" s="2">
        <v>138</v>
      </c>
      <c r="C138" s="2" t="s">
        <v>452</v>
      </c>
      <c r="D138" s="2">
        <v>20.58</v>
      </c>
      <c r="E138" s="2" t="s">
        <v>452</v>
      </c>
      <c r="F138" s="2">
        <v>36.130000000000003</v>
      </c>
      <c r="G138" s="2" t="s">
        <v>452</v>
      </c>
      <c r="H138" s="2">
        <v>53.36</v>
      </c>
      <c r="I138" s="2" t="s">
        <v>452</v>
      </c>
      <c r="J138" s="2">
        <v>17.39</v>
      </c>
      <c r="K138" s="2" t="s">
        <v>452</v>
      </c>
      <c r="L138" s="2">
        <v>22.67</v>
      </c>
      <c r="M138" s="2" t="s">
        <v>452</v>
      </c>
      <c r="N138" s="2">
        <v>13.53</v>
      </c>
      <c r="O138" s="2" t="s">
        <v>452</v>
      </c>
      <c r="P138" s="2">
        <v>30.83</v>
      </c>
      <c r="Q138" s="2" t="s">
        <v>452</v>
      </c>
      <c r="R138" s="2">
        <v>30.45</v>
      </c>
      <c r="S138" s="2" t="s">
        <v>452</v>
      </c>
      <c r="T138" s="2">
        <v>21.57</v>
      </c>
      <c r="U138" s="2" t="s">
        <v>452</v>
      </c>
      <c r="V138" s="2">
        <v>6.6</v>
      </c>
      <c r="W138" s="2" t="s">
        <v>452</v>
      </c>
      <c r="X138" s="2">
        <v>140.5</v>
      </c>
      <c r="Y138" s="2" t="s">
        <v>452</v>
      </c>
      <c r="Z138" s="2">
        <v>30.71</v>
      </c>
      <c r="AA138" s="2" t="s">
        <v>454</v>
      </c>
      <c r="AB138" s="2">
        <v>22.36</v>
      </c>
      <c r="AC138" s="2" t="s">
        <v>452</v>
      </c>
      <c r="AD138" s="2">
        <v>26.31</v>
      </c>
      <c r="AE138" s="2" t="s">
        <v>452</v>
      </c>
      <c r="AF138" s="2">
        <v>35.549999999999997</v>
      </c>
      <c r="AG138" s="2" t="s">
        <v>452</v>
      </c>
      <c r="AH138" s="2">
        <v>55.3</v>
      </c>
      <c r="AI138" s="2" t="s">
        <v>452</v>
      </c>
      <c r="AJ138" s="2">
        <v>51.8</v>
      </c>
      <c r="AK138" s="2" t="s">
        <v>452</v>
      </c>
      <c r="AL138" s="2">
        <v>9.27</v>
      </c>
      <c r="AM138" s="2" t="s">
        <v>452</v>
      </c>
      <c r="AN138" s="2">
        <v>113.85</v>
      </c>
      <c r="AO138" s="2" t="s">
        <v>452</v>
      </c>
      <c r="AP138" s="2">
        <v>127.19</v>
      </c>
      <c r="AQ138" s="2" t="s">
        <v>452</v>
      </c>
      <c r="AR138" s="2">
        <v>12.62</v>
      </c>
      <c r="AS138" s="2" t="s">
        <v>452</v>
      </c>
      <c r="AT138" s="2" t="s">
        <v>455</v>
      </c>
      <c r="AU138" s="2" t="s">
        <v>452</v>
      </c>
      <c r="AV138" s="2">
        <v>149.75</v>
      </c>
      <c r="AW138" s="2" t="s">
        <v>452</v>
      </c>
      <c r="AX138" s="2">
        <v>133.22999999999999</v>
      </c>
      <c r="AY138" s="2" t="s">
        <v>452</v>
      </c>
      <c r="AZ138" s="2">
        <v>4.54</v>
      </c>
      <c r="BA138" s="2" t="s">
        <v>452</v>
      </c>
      <c r="BB138" s="2">
        <v>198.31</v>
      </c>
      <c r="BC138" s="2" t="s">
        <v>452</v>
      </c>
      <c r="BD138" s="2">
        <v>24.45</v>
      </c>
      <c r="BE138" s="2" t="s">
        <v>452</v>
      </c>
      <c r="BF138" s="2">
        <v>24.5</v>
      </c>
      <c r="BG138" s="2" t="s">
        <v>452</v>
      </c>
      <c r="BH138" s="2">
        <v>39.69</v>
      </c>
      <c r="BI138" s="2" t="s">
        <v>452</v>
      </c>
      <c r="BJ138" s="2">
        <v>183.5</v>
      </c>
      <c r="BK138" s="2" t="s">
        <v>452</v>
      </c>
      <c r="BL138" s="2">
        <v>34.32</v>
      </c>
      <c r="BM138" s="2" t="s">
        <v>452</v>
      </c>
      <c r="BN138" s="2">
        <v>44.35</v>
      </c>
      <c r="BO138" s="2" t="s">
        <v>452</v>
      </c>
      <c r="BP138" s="2">
        <v>30.33</v>
      </c>
      <c r="BQ138" s="2" t="s">
        <v>452</v>
      </c>
      <c r="BR138" s="2">
        <v>38.82</v>
      </c>
      <c r="BS138" s="2" t="s">
        <v>452</v>
      </c>
      <c r="BT138" s="2">
        <v>15.57</v>
      </c>
      <c r="BU138" s="2" t="s">
        <v>452</v>
      </c>
      <c r="BV138" s="2">
        <v>117325.28</v>
      </c>
      <c r="BW138" s="2" t="s">
        <v>452</v>
      </c>
      <c r="BX138" s="2">
        <v>31.43</v>
      </c>
    </row>
    <row r="139" spans="1:76">
      <c r="A139" s="2" t="s">
        <v>1</v>
      </c>
      <c r="B139" s="2">
        <v>139</v>
      </c>
      <c r="C139" s="2" t="s">
        <v>454</v>
      </c>
      <c r="D139" s="2">
        <v>20.39</v>
      </c>
      <c r="E139" s="2" t="s">
        <v>454</v>
      </c>
      <c r="F139" s="2">
        <v>36.56</v>
      </c>
      <c r="G139" s="2" t="s">
        <v>454</v>
      </c>
      <c r="H139" s="2">
        <v>54.1</v>
      </c>
      <c r="I139" s="2" t="s">
        <v>454</v>
      </c>
      <c r="J139" s="2">
        <v>17.399999999999999</v>
      </c>
      <c r="K139" s="2" t="s">
        <v>454</v>
      </c>
      <c r="L139" s="2">
        <v>22.67</v>
      </c>
      <c r="M139" s="2" t="s">
        <v>454</v>
      </c>
      <c r="N139" s="2">
        <v>13.68</v>
      </c>
      <c r="O139" s="2" t="s">
        <v>454</v>
      </c>
      <c r="P139" s="2">
        <v>30.68</v>
      </c>
      <c r="Q139" s="2" t="s">
        <v>454</v>
      </c>
      <c r="R139" s="2" t="s">
        <v>137</v>
      </c>
      <c r="S139" s="2" t="s">
        <v>454</v>
      </c>
      <c r="T139" s="2">
        <v>22.05</v>
      </c>
      <c r="U139" s="2" t="s">
        <v>454</v>
      </c>
      <c r="V139" s="2">
        <v>6.55</v>
      </c>
      <c r="W139" s="2" t="s">
        <v>454</v>
      </c>
      <c r="X139" s="2">
        <v>142.5</v>
      </c>
      <c r="Y139" s="2" t="s">
        <v>454</v>
      </c>
      <c r="Z139" s="2">
        <v>30.81</v>
      </c>
      <c r="AA139" s="2" t="s">
        <v>456</v>
      </c>
      <c r="AB139" s="2">
        <v>22.37</v>
      </c>
      <c r="AC139" s="2" t="s">
        <v>454</v>
      </c>
      <c r="AD139" s="2">
        <v>26.77</v>
      </c>
      <c r="AE139" s="2" t="s">
        <v>454</v>
      </c>
      <c r="AF139" s="2">
        <v>36.130000000000003</v>
      </c>
      <c r="AG139" s="2" t="s">
        <v>454</v>
      </c>
      <c r="AH139" s="2">
        <v>55.64</v>
      </c>
      <c r="AI139" s="2" t="s">
        <v>454</v>
      </c>
      <c r="AJ139" s="2">
        <v>52.94</v>
      </c>
      <c r="AK139" s="2" t="s">
        <v>454</v>
      </c>
      <c r="AL139" s="2">
        <v>9.34</v>
      </c>
      <c r="AM139" s="2" t="s">
        <v>454</v>
      </c>
      <c r="AN139" s="2">
        <v>114.6</v>
      </c>
      <c r="AO139" s="2" t="s">
        <v>454</v>
      </c>
      <c r="AP139" s="2">
        <v>126.9</v>
      </c>
      <c r="AQ139" s="2" t="s">
        <v>454</v>
      </c>
      <c r="AR139" s="2">
        <v>12.69</v>
      </c>
      <c r="AS139" s="2" t="s">
        <v>454</v>
      </c>
      <c r="AT139" s="2">
        <v>1369.79</v>
      </c>
      <c r="AU139" s="2" t="s">
        <v>454</v>
      </c>
      <c r="AV139" s="2" t="s">
        <v>161</v>
      </c>
      <c r="AW139" s="2" t="s">
        <v>454</v>
      </c>
      <c r="AX139" s="2">
        <v>133.1</v>
      </c>
      <c r="AY139" s="2" t="s">
        <v>454</v>
      </c>
      <c r="AZ139" s="2">
        <v>4.4000000000000004</v>
      </c>
      <c r="BA139" s="2" t="s">
        <v>454</v>
      </c>
      <c r="BB139" s="2">
        <v>199.7</v>
      </c>
      <c r="BC139" s="2" t="s">
        <v>454</v>
      </c>
      <c r="BD139" s="2">
        <v>24.4</v>
      </c>
      <c r="BE139" s="2" t="s">
        <v>454</v>
      </c>
      <c r="BF139" s="2" t="s">
        <v>52</v>
      </c>
      <c r="BG139" s="2" t="s">
        <v>454</v>
      </c>
      <c r="BH139" s="2">
        <v>39.42</v>
      </c>
      <c r="BI139" s="2" t="s">
        <v>454</v>
      </c>
      <c r="BJ139" s="2">
        <v>184.48</v>
      </c>
      <c r="BK139" s="2" t="s">
        <v>454</v>
      </c>
      <c r="BL139" s="2" t="s">
        <v>324</v>
      </c>
      <c r="BM139" s="2" t="s">
        <v>454</v>
      </c>
      <c r="BN139" s="2">
        <v>44.65</v>
      </c>
      <c r="BO139" s="2" t="s">
        <v>454</v>
      </c>
      <c r="BP139" s="2" t="s">
        <v>58</v>
      </c>
      <c r="BQ139" s="2" t="s">
        <v>454</v>
      </c>
      <c r="BR139" s="2">
        <v>41.11</v>
      </c>
      <c r="BS139" s="2" t="s">
        <v>454</v>
      </c>
      <c r="BT139" s="2">
        <v>15.68</v>
      </c>
      <c r="BU139" s="2" t="s">
        <v>454</v>
      </c>
      <c r="BV139" s="2">
        <v>117632.4</v>
      </c>
      <c r="BW139" s="2" t="s">
        <v>454</v>
      </c>
      <c r="BX139" s="2">
        <v>31.86</v>
      </c>
    </row>
    <row r="140" spans="1:76">
      <c r="A140" s="2" t="s">
        <v>1</v>
      </c>
      <c r="B140" s="2">
        <v>140</v>
      </c>
      <c r="C140" s="2" t="s">
        <v>456</v>
      </c>
      <c r="D140" s="2">
        <v>20.09</v>
      </c>
      <c r="E140" s="2" t="s">
        <v>456</v>
      </c>
      <c r="F140" s="2">
        <v>36.6</v>
      </c>
      <c r="G140" s="2" t="s">
        <v>456</v>
      </c>
      <c r="H140" s="2">
        <v>53.45</v>
      </c>
      <c r="I140" s="2" t="s">
        <v>456</v>
      </c>
      <c r="J140" s="2">
        <v>18.2</v>
      </c>
      <c r="K140" s="2" t="s">
        <v>456</v>
      </c>
      <c r="L140" s="2">
        <v>22.2</v>
      </c>
      <c r="M140" s="2" t="s">
        <v>456</v>
      </c>
      <c r="N140" s="2">
        <v>13.46</v>
      </c>
      <c r="O140" s="2" t="s">
        <v>456</v>
      </c>
      <c r="P140" s="2">
        <v>30.24</v>
      </c>
      <c r="Q140" s="2" t="s">
        <v>456</v>
      </c>
      <c r="R140" s="2">
        <v>30.91</v>
      </c>
      <c r="S140" s="2" t="s">
        <v>456</v>
      </c>
      <c r="T140" s="2">
        <v>21.7</v>
      </c>
      <c r="U140" s="2" t="s">
        <v>456</v>
      </c>
      <c r="V140" s="2">
        <v>6.5</v>
      </c>
      <c r="W140" s="2" t="s">
        <v>456</v>
      </c>
      <c r="X140" s="2">
        <v>142.94999999999999</v>
      </c>
      <c r="Y140" s="2" t="s">
        <v>456</v>
      </c>
      <c r="Z140" s="2">
        <v>30.71</v>
      </c>
      <c r="AA140" s="2" t="s">
        <v>457</v>
      </c>
      <c r="AB140" s="2">
        <v>22.8</v>
      </c>
      <c r="AC140" s="2" t="s">
        <v>456</v>
      </c>
      <c r="AD140" s="2">
        <v>26.43</v>
      </c>
      <c r="AE140" s="2" t="s">
        <v>456</v>
      </c>
      <c r="AF140" s="2">
        <v>39.380000000000003</v>
      </c>
      <c r="AG140" s="2" t="s">
        <v>456</v>
      </c>
      <c r="AH140" s="2">
        <v>55.46</v>
      </c>
      <c r="AI140" s="2" t="s">
        <v>456</v>
      </c>
      <c r="AJ140" s="2">
        <v>52.99</v>
      </c>
      <c r="AK140" s="2" t="s">
        <v>456</v>
      </c>
      <c r="AL140" s="2">
        <v>9.0500000000000007</v>
      </c>
      <c r="AM140" s="2" t="s">
        <v>456</v>
      </c>
      <c r="AN140" s="2">
        <v>113.6</v>
      </c>
      <c r="AO140" s="2" t="s">
        <v>456</v>
      </c>
      <c r="AP140" s="2">
        <v>125.32</v>
      </c>
      <c r="AQ140" s="2" t="s">
        <v>456</v>
      </c>
      <c r="AR140" s="2">
        <v>12.66</v>
      </c>
      <c r="AS140" s="2" t="s">
        <v>456</v>
      </c>
      <c r="AT140" s="2">
        <v>1383.5</v>
      </c>
      <c r="AU140" s="2" t="s">
        <v>456</v>
      </c>
      <c r="AV140" s="2">
        <v>148.18</v>
      </c>
      <c r="AW140" s="2" t="s">
        <v>456</v>
      </c>
      <c r="AX140" s="2">
        <v>132.99</v>
      </c>
      <c r="AY140" s="2" t="s">
        <v>456</v>
      </c>
      <c r="AZ140" s="2">
        <v>4.21</v>
      </c>
      <c r="BA140" s="2" t="s">
        <v>456</v>
      </c>
      <c r="BB140" s="2">
        <v>198.78</v>
      </c>
      <c r="BC140" s="2" t="s">
        <v>456</v>
      </c>
      <c r="BD140" s="2" t="s">
        <v>47</v>
      </c>
      <c r="BE140" s="2" t="s">
        <v>456</v>
      </c>
      <c r="BF140" s="2">
        <v>26.59</v>
      </c>
      <c r="BG140" s="2" t="s">
        <v>456</v>
      </c>
      <c r="BH140" s="2">
        <v>38.65</v>
      </c>
      <c r="BI140" s="2" t="s">
        <v>456</v>
      </c>
      <c r="BJ140" s="2">
        <v>182.3</v>
      </c>
      <c r="BK140" s="2" t="s">
        <v>456</v>
      </c>
      <c r="BL140" s="2">
        <v>35.229999999999997</v>
      </c>
      <c r="BM140" s="2" t="s">
        <v>456</v>
      </c>
      <c r="BN140" s="2">
        <v>43.45</v>
      </c>
      <c r="BO140" s="2" t="s">
        <v>456</v>
      </c>
      <c r="BP140" s="2">
        <v>29.55</v>
      </c>
      <c r="BQ140" s="2" t="s">
        <v>456</v>
      </c>
      <c r="BR140" s="2">
        <v>41.3</v>
      </c>
      <c r="BS140" s="2" t="s">
        <v>456</v>
      </c>
      <c r="BT140" s="2">
        <v>15.65</v>
      </c>
      <c r="BU140" s="2" t="s">
        <v>456</v>
      </c>
      <c r="BV140" s="2">
        <v>116414.35</v>
      </c>
      <c r="BW140" s="2" t="s">
        <v>456</v>
      </c>
      <c r="BX140" s="2">
        <v>31.61</v>
      </c>
    </row>
    <row r="141" spans="1:76">
      <c r="A141" s="2" t="s">
        <v>1</v>
      </c>
      <c r="B141" s="2">
        <v>141</v>
      </c>
      <c r="C141" s="2" t="s">
        <v>457</v>
      </c>
      <c r="D141" s="2">
        <v>20.25</v>
      </c>
      <c r="E141" s="2" t="s">
        <v>457</v>
      </c>
      <c r="F141" s="2">
        <v>36.07</v>
      </c>
      <c r="G141" s="2" t="s">
        <v>457</v>
      </c>
      <c r="H141" s="2">
        <v>53.09</v>
      </c>
      <c r="I141" s="2" t="s">
        <v>457</v>
      </c>
      <c r="J141" s="2">
        <v>17.8</v>
      </c>
      <c r="K141" s="2" t="s">
        <v>457</v>
      </c>
      <c r="L141" s="2">
        <v>22.4</v>
      </c>
      <c r="M141" s="2" t="s">
        <v>457</v>
      </c>
      <c r="N141" s="2">
        <v>13.49</v>
      </c>
      <c r="O141" s="2" t="s">
        <v>457</v>
      </c>
      <c r="P141" s="2">
        <v>30.29</v>
      </c>
      <c r="Q141" s="2" t="s">
        <v>457</v>
      </c>
      <c r="R141" s="2">
        <v>30.98</v>
      </c>
      <c r="S141" s="2" t="s">
        <v>457</v>
      </c>
      <c r="T141" s="2">
        <v>21.62</v>
      </c>
      <c r="U141" s="2" t="s">
        <v>457</v>
      </c>
      <c r="V141" s="2">
        <v>6.55</v>
      </c>
      <c r="W141" s="2" t="s">
        <v>457</v>
      </c>
      <c r="X141" s="2">
        <v>138.01</v>
      </c>
      <c r="Y141" s="2" t="s">
        <v>457</v>
      </c>
      <c r="Z141" s="2">
        <v>30.85</v>
      </c>
      <c r="AA141" s="2" t="s">
        <v>458</v>
      </c>
      <c r="AB141" s="2">
        <v>23.11</v>
      </c>
      <c r="AC141" s="2" t="s">
        <v>457</v>
      </c>
      <c r="AD141" s="2">
        <v>26.51</v>
      </c>
      <c r="AE141" s="2" t="s">
        <v>457</v>
      </c>
      <c r="AF141" s="2">
        <v>41.95</v>
      </c>
      <c r="AG141" s="2" t="s">
        <v>457</v>
      </c>
      <c r="AH141" s="2">
        <v>55.17</v>
      </c>
      <c r="AI141" s="2" t="s">
        <v>457</v>
      </c>
      <c r="AJ141" s="2">
        <v>53.99</v>
      </c>
      <c r="AK141" s="2" t="s">
        <v>457</v>
      </c>
      <c r="AL141" s="2">
        <v>9.08</v>
      </c>
      <c r="AM141" s="2" t="s">
        <v>457</v>
      </c>
      <c r="AN141" s="2" t="s">
        <v>128</v>
      </c>
      <c r="AO141" s="2" t="s">
        <v>457</v>
      </c>
      <c r="AP141" s="2">
        <v>125.3</v>
      </c>
      <c r="AQ141" s="2" t="s">
        <v>457</v>
      </c>
      <c r="AR141" s="2">
        <v>12.66</v>
      </c>
      <c r="AS141" s="2" t="s">
        <v>457</v>
      </c>
      <c r="AT141" s="2" t="s">
        <v>459</v>
      </c>
      <c r="AU141" s="2" t="s">
        <v>457</v>
      </c>
      <c r="AV141" s="2">
        <v>147.71</v>
      </c>
      <c r="AW141" s="2" t="s">
        <v>457</v>
      </c>
      <c r="AX141" s="2">
        <v>133.38999999999999</v>
      </c>
      <c r="AY141" s="2" t="s">
        <v>457</v>
      </c>
      <c r="AZ141" s="2">
        <v>4.03</v>
      </c>
      <c r="BA141" s="2" t="s">
        <v>457</v>
      </c>
      <c r="BB141" s="2" t="s">
        <v>460</v>
      </c>
      <c r="BC141" s="2" t="s">
        <v>457</v>
      </c>
      <c r="BD141" s="2">
        <v>24.1</v>
      </c>
      <c r="BE141" s="2" t="s">
        <v>457</v>
      </c>
      <c r="BF141" s="2">
        <v>27.3</v>
      </c>
      <c r="BG141" s="2" t="s">
        <v>457</v>
      </c>
      <c r="BH141" s="2">
        <v>39.24</v>
      </c>
      <c r="BI141" s="2" t="s">
        <v>457</v>
      </c>
      <c r="BJ141" s="2">
        <v>182.4</v>
      </c>
      <c r="BK141" s="2" t="s">
        <v>457</v>
      </c>
      <c r="BL141" s="2">
        <v>35.869999999999997</v>
      </c>
      <c r="BM141" s="2" t="s">
        <v>457</v>
      </c>
      <c r="BN141" s="2">
        <v>43.95</v>
      </c>
      <c r="BO141" s="2" t="s">
        <v>457</v>
      </c>
      <c r="BP141" s="2">
        <v>29.52</v>
      </c>
      <c r="BQ141" s="2" t="s">
        <v>457</v>
      </c>
      <c r="BR141" s="2">
        <v>41.38</v>
      </c>
      <c r="BS141" s="2" t="s">
        <v>457</v>
      </c>
      <c r="BT141" s="2">
        <v>15.64</v>
      </c>
      <c r="BU141" s="2" t="s">
        <v>457</v>
      </c>
      <c r="BV141" s="2">
        <v>116704.21</v>
      </c>
      <c r="BW141" s="2" t="s">
        <v>457</v>
      </c>
      <c r="BX141" s="2">
        <v>31.8</v>
      </c>
    </row>
    <row r="142" spans="1:76">
      <c r="A142" s="2" t="s">
        <v>1</v>
      </c>
      <c r="B142" s="2">
        <v>142</v>
      </c>
      <c r="C142" s="2" t="s">
        <v>458</v>
      </c>
      <c r="D142" s="2">
        <v>21.56</v>
      </c>
      <c r="E142" s="2" t="s">
        <v>458</v>
      </c>
      <c r="F142" s="2">
        <v>36.14</v>
      </c>
      <c r="G142" s="2" t="s">
        <v>458</v>
      </c>
      <c r="H142" s="2">
        <v>53.43</v>
      </c>
      <c r="I142" s="2" t="s">
        <v>458</v>
      </c>
      <c r="J142" s="2">
        <v>18.260000000000002</v>
      </c>
      <c r="K142" s="2" t="s">
        <v>458</v>
      </c>
      <c r="L142" s="2">
        <v>22.4</v>
      </c>
      <c r="M142" s="2" t="s">
        <v>458</v>
      </c>
      <c r="N142" s="2">
        <v>13.6</v>
      </c>
      <c r="O142" s="2" t="s">
        <v>458</v>
      </c>
      <c r="P142" s="2">
        <v>30.77</v>
      </c>
      <c r="Q142" s="2" t="s">
        <v>458</v>
      </c>
      <c r="R142" s="2">
        <v>31.08</v>
      </c>
      <c r="S142" s="2" t="s">
        <v>458</v>
      </c>
      <c r="T142" s="2">
        <v>21.69</v>
      </c>
      <c r="U142" s="2" t="s">
        <v>458</v>
      </c>
      <c r="V142" s="2">
        <v>6.56</v>
      </c>
      <c r="W142" s="2" t="s">
        <v>458</v>
      </c>
      <c r="X142" s="2">
        <v>136.25</v>
      </c>
      <c r="Y142" s="2" t="s">
        <v>458</v>
      </c>
      <c r="Z142" s="2">
        <v>31.44</v>
      </c>
      <c r="AA142" s="2" t="s">
        <v>461</v>
      </c>
      <c r="AB142" s="2">
        <v>23.39</v>
      </c>
      <c r="AC142" s="2" t="s">
        <v>458</v>
      </c>
      <c r="AD142" s="2">
        <v>25.89</v>
      </c>
      <c r="AE142" s="2" t="s">
        <v>458</v>
      </c>
      <c r="AF142" s="2">
        <v>42.61</v>
      </c>
      <c r="AG142" s="2" t="s">
        <v>458</v>
      </c>
      <c r="AH142" s="2" t="s">
        <v>462</v>
      </c>
      <c r="AI142" s="2" t="s">
        <v>458</v>
      </c>
      <c r="AJ142" s="2" t="s">
        <v>463</v>
      </c>
      <c r="AK142" s="2" t="s">
        <v>458</v>
      </c>
      <c r="AL142" s="2">
        <v>9.18</v>
      </c>
      <c r="AM142" s="2" t="s">
        <v>458</v>
      </c>
      <c r="AN142" s="2">
        <v>112.4</v>
      </c>
      <c r="AO142" s="2" t="s">
        <v>458</v>
      </c>
      <c r="AP142" s="2" t="s">
        <v>375</v>
      </c>
      <c r="AQ142" s="2" t="s">
        <v>458</v>
      </c>
      <c r="AR142" s="2">
        <v>12.65</v>
      </c>
      <c r="AS142" s="2" t="s">
        <v>458</v>
      </c>
      <c r="AT142" s="2">
        <v>1385.7</v>
      </c>
      <c r="AU142" s="2" t="s">
        <v>458</v>
      </c>
      <c r="AV142" s="2">
        <v>147.5</v>
      </c>
      <c r="AW142" s="2" t="s">
        <v>458</v>
      </c>
      <c r="AX142" s="2">
        <v>133.4</v>
      </c>
      <c r="AY142" s="2" t="s">
        <v>458</v>
      </c>
      <c r="AZ142" s="2">
        <v>4.0999999999999996</v>
      </c>
      <c r="BA142" s="2" t="s">
        <v>458</v>
      </c>
      <c r="BB142" s="2">
        <v>195.89</v>
      </c>
      <c r="BC142" s="2" t="s">
        <v>458</v>
      </c>
      <c r="BD142" s="2">
        <v>24.49</v>
      </c>
      <c r="BE142" s="2" t="s">
        <v>458</v>
      </c>
      <c r="BF142" s="2">
        <v>27.48</v>
      </c>
      <c r="BG142" s="2" t="s">
        <v>458</v>
      </c>
      <c r="BH142" s="2">
        <v>38.9</v>
      </c>
      <c r="BI142" s="2" t="s">
        <v>458</v>
      </c>
      <c r="BJ142" s="2">
        <v>181.52</v>
      </c>
      <c r="BK142" s="2" t="s">
        <v>458</v>
      </c>
      <c r="BL142" s="2">
        <v>36.799999999999997</v>
      </c>
      <c r="BM142" s="2" t="s">
        <v>458</v>
      </c>
      <c r="BN142" s="2">
        <v>45.34</v>
      </c>
      <c r="BO142" s="2" t="s">
        <v>458</v>
      </c>
      <c r="BP142" s="2">
        <v>29.85</v>
      </c>
      <c r="BQ142" s="2" t="s">
        <v>458</v>
      </c>
      <c r="BR142" s="2">
        <v>41.01</v>
      </c>
      <c r="BS142" s="2" t="s">
        <v>458</v>
      </c>
      <c r="BT142" s="2">
        <v>15.84</v>
      </c>
      <c r="BU142" s="2" t="s">
        <v>458</v>
      </c>
      <c r="BV142" s="2">
        <v>118478.3</v>
      </c>
      <c r="BW142" s="2" t="s">
        <v>458</v>
      </c>
      <c r="BX142" s="2">
        <v>31.95</v>
      </c>
    </row>
    <row r="143" spans="1:76">
      <c r="A143" s="2" t="s">
        <v>1</v>
      </c>
      <c r="B143" s="2">
        <v>143</v>
      </c>
      <c r="C143" s="2" t="s">
        <v>461</v>
      </c>
      <c r="D143" s="2">
        <v>21.99</v>
      </c>
      <c r="E143" s="2" t="s">
        <v>461</v>
      </c>
      <c r="F143" s="2">
        <v>36.159999999999997</v>
      </c>
      <c r="G143" s="2" t="s">
        <v>461</v>
      </c>
      <c r="H143" s="2">
        <v>53.4</v>
      </c>
      <c r="I143" s="2" t="s">
        <v>461</v>
      </c>
      <c r="J143" s="2">
        <v>18.489999999999998</v>
      </c>
      <c r="K143" s="2" t="s">
        <v>461</v>
      </c>
      <c r="L143" s="2">
        <v>22.89</v>
      </c>
      <c r="M143" s="2" t="s">
        <v>461</v>
      </c>
      <c r="N143" s="2">
        <v>13.41</v>
      </c>
      <c r="O143" s="2" t="s">
        <v>461</v>
      </c>
      <c r="P143" s="2">
        <v>30.23</v>
      </c>
      <c r="Q143" s="2" t="s">
        <v>461</v>
      </c>
      <c r="R143" s="2">
        <v>31.6</v>
      </c>
      <c r="S143" s="2" t="s">
        <v>461</v>
      </c>
      <c r="T143" s="2">
        <v>22.29</v>
      </c>
      <c r="U143" s="2" t="s">
        <v>461</v>
      </c>
      <c r="V143" s="2">
        <v>6.52</v>
      </c>
      <c r="W143" s="2" t="s">
        <v>461</v>
      </c>
      <c r="X143" s="2" t="s">
        <v>464</v>
      </c>
      <c r="Y143" s="2" t="s">
        <v>461</v>
      </c>
      <c r="Z143" s="2">
        <v>32.049999999999997</v>
      </c>
      <c r="AA143" s="2" t="s">
        <v>465</v>
      </c>
      <c r="AB143" s="2">
        <v>23.43</v>
      </c>
      <c r="AC143" s="2" t="s">
        <v>461</v>
      </c>
      <c r="AD143" s="2">
        <v>26.43</v>
      </c>
      <c r="AE143" s="2" t="s">
        <v>461</v>
      </c>
      <c r="AF143" s="2">
        <v>41.3</v>
      </c>
      <c r="AG143" s="2" t="s">
        <v>461</v>
      </c>
      <c r="AH143" s="2">
        <v>57.36</v>
      </c>
      <c r="AI143" s="2" t="s">
        <v>461</v>
      </c>
      <c r="AJ143" s="2" t="s">
        <v>463</v>
      </c>
      <c r="AK143" s="2" t="s">
        <v>461</v>
      </c>
      <c r="AL143" s="2">
        <v>9.17</v>
      </c>
      <c r="AM143" s="2" t="s">
        <v>461</v>
      </c>
      <c r="AN143" s="2" t="s">
        <v>112</v>
      </c>
      <c r="AO143" s="2" t="s">
        <v>461</v>
      </c>
      <c r="AP143" s="2">
        <v>122.65</v>
      </c>
      <c r="AQ143" s="2" t="s">
        <v>461</v>
      </c>
      <c r="AR143" s="2">
        <v>12.56</v>
      </c>
      <c r="AS143" s="2" t="s">
        <v>461</v>
      </c>
      <c r="AT143" s="2" t="s">
        <v>433</v>
      </c>
      <c r="AU143" s="2" t="s">
        <v>461</v>
      </c>
      <c r="AV143" s="2">
        <v>144.1</v>
      </c>
      <c r="AW143" s="2" t="s">
        <v>461</v>
      </c>
      <c r="AX143" s="2">
        <v>134.6</v>
      </c>
      <c r="AY143" s="2" t="s">
        <v>461</v>
      </c>
      <c r="AZ143" s="2">
        <v>4.04</v>
      </c>
      <c r="BA143" s="2" t="s">
        <v>461</v>
      </c>
      <c r="BB143" s="2">
        <v>190.2</v>
      </c>
      <c r="BC143" s="2" t="s">
        <v>461</v>
      </c>
      <c r="BD143" s="2">
        <v>24.65</v>
      </c>
      <c r="BE143" s="2" t="s">
        <v>461</v>
      </c>
      <c r="BF143" s="2" t="s">
        <v>77</v>
      </c>
      <c r="BG143" s="2" t="s">
        <v>461</v>
      </c>
      <c r="BH143" s="2">
        <v>38.159999999999997</v>
      </c>
      <c r="BI143" s="2" t="s">
        <v>461</v>
      </c>
      <c r="BJ143" s="2">
        <v>181.95</v>
      </c>
      <c r="BK143" s="2" t="s">
        <v>461</v>
      </c>
      <c r="BL143" s="2">
        <v>37.93</v>
      </c>
      <c r="BM143" s="2" t="s">
        <v>461</v>
      </c>
      <c r="BN143" s="2">
        <v>45.5</v>
      </c>
      <c r="BO143" s="2" t="s">
        <v>461</v>
      </c>
      <c r="BP143" s="2" t="s">
        <v>58</v>
      </c>
      <c r="BQ143" s="2" t="s">
        <v>461</v>
      </c>
      <c r="BR143" s="2">
        <v>43.06</v>
      </c>
      <c r="BS143" s="2" t="s">
        <v>461</v>
      </c>
      <c r="BT143" s="2">
        <v>16.329999999999998</v>
      </c>
      <c r="BU143" s="2" t="s">
        <v>461</v>
      </c>
      <c r="BV143" s="2">
        <v>118861.63</v>
      </c>
      <c r="BW143" s="2" t="s">
        <v>461</v>
      </c>
      <c r="BX143" s="2">
        <v>31.6</v>
      </c>
    </row>
    <row r="144" spans="1:76">
      <c r="A144" s="2" t="s">
        <v>1</v>
      </c>
      <c r="B144" s="2">
        <v>144</v>
      </c>
      <c r="C144" s="2" t="s">
        <v>465</v>
      </c>
      <c r="D144" s="2">
        <v>22.51</v>
      </c>
      <c r="E144" s="2" t="s">
        <v>465</v>
      </c>
      <c r="F144" s="2" t="s">
        <v>120</v>
      </c>
      <c r="G144" s="2" t="s">
        <v>465</v>
      </c>
      <c r="H144" s="2">
        <v>53.6</v>
      </c>
      <c r="I144" s="2" t="s">
        <v>465</v>
      </c>
      <c r="J144" s="2">
        <v>18.54</v>
      </c>
      <c r="K144" s="2" t="s">
        <v>465</v>
      </c>
      <c r="L144" s="2">
        <v>22.88</v>
      </c>
      <c r="M144" s="2" t="s">
        <v>465</v>
      </c>
      <c r="N144" s="2">
        <v>13.1</v>
      </c>
      <c r="O144" s="2" t="s">
        <v>465</v>
      </c>
      <c r="P144" s="2">
        <v>29.5</v>
      </c>
      <c r="Q144" s="2" t="s">
        <v>465</v>
      </c>
      <c r="R144" s="2">
        <v>31.67</v>
      </c>
      <c r="S144" s="2" t="s">
        <v>465</v>
      </c>
      <c r="T144" s="2">
        <v>21.65</v>
      </c>
      <c r="U144" s="2" t="s">
        <v>465</v>
      </c>
      <c r="V144" s="2">
        <v>6.52</v>
      </c>
      <c r="W144" s="2" t="s">
        <v>465</v>
      </c>
      <c r="X144" s="2" t="s">
        <v>432</v>
      </c>
      <c r="Y144" s="2" t="s">
        <v>465</v>
      </c>
      <c r="Z144" s="2">
        <v>31.85</v>
      </c>
      <c r="AA144" s="2" t="s">
        <v>466</v>
      </c>
      <c r="AB144" s="2">
        <v>23.23</v>
      </c>
      <c r="AC144" s="2" t="s">
        <v>465</v>
      </c>
      <c r="AD144" s="2">
        <v>26.38</v>
      </c>
      <c r="AE144" s="2" t="s">
        <v>465</v>
      </c>
      <c r="AF144" s="2">
        <v>39.5</v>
      </c>
      <c r="AG144" s="2" t="s">
        <v>465</v>
      </c>
      <c r="AH144" s="2">
        <v>56.03</v>
      </c>
      <c r="AI144" s="2" t="s">
        <v>465</v>
      </c>
      <c r="AJ144" s="2">
        <v>54.88</v>
      </c>
      <c r="AK144" s="2" t="s">
        <v>465</v>
      </c>
      <c r="AL144" s="2">
        <v>9.02</v>
      </c>
      <c r="AM144" s="2" t="s">
        <v>465</v>
      </c>
      <c r="AN144" s="2">
        <v>113.99</v>
      </c>
      <c r="AO144" s="2" t="s">
        <v>465</v>
      </c>
      <c r="AP144" s="2">
        <v>123.9</v>
      </c>
      <c r="AQ144" s="2" t="s">
        <v>465</v>
      </c>
      <c r="AR144" s="2">
        <v>12.45</v>
      </c>
      <c r="AS144" s="2" t="s">
        <v>465</v>
      </c>
      <c r="AT144" s="2">
        <v>1354.01</v>
      </c>
      <c r="AU144" s="2" t="s">
        <v>465</v>
      </c>
      <c r="AV144" s="2">
        <v>142.19999999999999</v>
      </c>
      <c r="AW144" s="2" t="s">
        <v>465</v>
      </c>
      <c r="AX144" s="2">
        <v>134.49</v>
      </c>
      <c r="AY144" s="2" t="s">
        <v>465</v>
      </c>
      <c r="AZ144" s="2">
        <v>4.07</v>
      </c>
      <c r="BA144" s="2" t="s">
        <v>465</v>
      </c>
      <c r="BB144" s="2" t="s">
        <v>467</v>
      </c>
      <c r="BC144" s="2" t="s">
        <v>465</v>
      </c>
      <c r="BD144" s="2">
        <v>24.7</v>
      </c>
      <c r="BE144" s="2" t="s">
        <v>465</v>
      </c>
      <c r="BF144" s="2">
        <v>28.5</v>
      </c>
      <c r="BG144" s="2" t="s">
        <v>465</v>
      </c>
      <c r="BH144" s="2">
        <v>37.1</v>
      </c>
      <c r="BI144" s="2" t="s">
        <v>465</v>
      </c>
      <c r="BJ144" s="2" t="s">
        <v>468</v>
      </c>
      <c r="BK144" s="2" t="s">
        <v>465</v>
      </c>
      <c r="BL144" s="2">
        <v>37.49</v>
      </c>
      <c r="BM144" s="2" t="s">
        <v>465</v>
      </c>
      <c r="BN144" s="2">
        <v>44.7</v>
      </c>
      <c r="BO144" s="2" t="s">
        <v>465</v>
      </c>
      <c r="BP144" s="2">
        <v>29.62</v>
      </c>
      <c r="BQ144" s="2" t="s">
        <v>465</v>
      </c>
      <c r="BR144" s="2">
        <v>44.72</v>
      </c>
      <c r="BS144" s="2" t="s">
        <v>465</v>
      </c>
      <c r="BT144" s="2">
        <v>16.3</v>
      </c>
      <c r="BU144" s="2" t="s">
        <v>465</v>
      </c>
      <c r="BV144" s="2">
        <v>117026.04</v>
      </c>
      <c r="BW144" s="2" t="s">
        <v>465</v>
      </c>
      <c r="BX144" s="2">
        <v>31.6</v>
      </c>
    </row>
    <row r="145" spans="1:76">
      <c r="A145" s="2" t="s">
        <v>1</v>
      </c>
      <c r="B145" s="2">
        <v>145</v>
      </c>
      <c r="C145" s="2" t="s">
        <v>466</v>
      </c>
      <c r="D145" s="2">
        <v>22.38</v>
      </c>
      <c r="E145" s="2" t="s">
        <v>466</v>
      </c>
      <c r="F145" s="2">
        <v>36.19</v>
      </c>
      <c r="G145" s="2" t="s">
        <v>466</v>
      </c>
      <c r="H145" s="2">
        <v>53.61</v>
      </c>
      <c r="I145" s="2" t="s">
        <v>466</v>
      </c>
      <c r="J145" s="2">
        <v>18.489999999999998</v>
      </c>
      <c r="K145" s="2" t="s">
        <v>466</v>
      </c>
      <c r="L145" s="2">
        <v>22.88</v>
      </c>
      <c r="M145" s="2" t="s">
        <v>466</v>
      </c>
      <c r="N145" s="2">
        <v>13.29</v>
      </c>
      <c r="O145" s="2" t="s">
        <v>466</v>
      </c>
      <c r="P145" s="2">
        <v>29.98</v>
      </c>
      <c r="Q145" s="2" t="s">
        <v>466</v>
      </c>
      <c r="R145" s="2">
        <v>32.08</v>
      </c>
      <c r="S145" s="2" t="s">
        <v>466</v>
      </c>
      <c r="T145" s="2">
        <v>21.81</v>
      </c>
      <c r="U145" s="2" t="s">
        <v>466</v>
      </c>
      <c r="V145" s="2">
        <v>6.64</v>
      </c>
      <c r="W145" s="2" t="s">
        <v>466</v>
      </c>
      <c r="X145" s="2" t="s">
        <v>469</v>
      </c>
      <c r="Y145" s="2" t="s">
        <v>466</v>
      </c>
      <c r="Z145" s="2">
        <v>31.99</v>
      </c>
      <c r="AA145" s="2" t="s">
        <v>470</v>
      </c>
      <c r="AB145" s="2">
        <v>23.22</v>
      </c>
      <c r="AC145" s="2" t="s">
        <v>466</v>
      </c>
      <c r="AD145" s="2">
        <v>26.77</v>
      </c>
      <c r="AE145" s="2" t="s">
        <v>466</v>
      </c>
      <c r="AF145" s="2">
        <v>41.41</v>
      </c>
      <c r="AG145" s="2" t="s">
        <v>466</v>
      </c>
      <c r="AH145" s="2">
        <v>56.3</v>
      </c>
      <c r="AI145" s="2" t="s">
        <v>466</v>
      </c>
      <c r="AJ145" s="2">
        <v>53.5</v>
      </c>
      <c r="AK145" s="2" t="s">
        <v>466</v>
      </c>
      <c r="AL145" s="2">
        <v>8.9499999999999993</v>
      </c>
      <c r="AM145" s="2" t="s">
        <v>466</v>
      </c>
      <c r="AN145" s="2" t="s">
        <v>95</v>
      </c>
      <c r="AO145" s="2" t="s">
        <v>466</v>
      </c>
      <c r="AP145" s="2">
        <v>123.27</v>
      </c>
      <c r="AQ145" s="2" t="s">
        <v>466</v>
      </c>
      <c r="AR145" s="2">
        <v>12.14</v>
      </c>
      <c r="AS145" s="2" t="s">
        <v>466</v>
      </c>
      <c r="AT145" s="2" t="s">
        <v>455</v>
      </c>
      <c r="AU145" s="2" t="s">
        <v>466</v>
      </c>
      <c r="AV145" s="2">
        <v>142.94999999999999</v>
      </c>
      <c r="AW145" s="2" t="s">
        <v>466</v>
      </c>
      <c r="AX145" s="2">
        <v>135.47999999999999</v>
      </c>
      <c r="AY145" s="2" t="s">
        <v>466</v>
      </c>
      <c r="AZ145" s="2">
        <v>4.09</v>
      </c>
      <c r="BA145" s="2" t="s">
        <v>466</v>
      </c>
      <c r="BB145" s="2">
        <v>185.11</v>
      </c>
      <c r="BC145" s="2" t="s">
        <v>466</v>
      </c>
      <c r="BD145" s="2">
        <v>24.64</v>
      </c>
      <c r="BE145" s="2" t="s">
        <v>466</v>
      </c>
      <c r="BF145" s="2" t="s">
        <v>77</v>
      </c>
      <c r="BG145" s="2" t="s">
        <v>466</v>
      </c>
      <c r="BH145" s="2">
        <v>37.81</v>
      </c>
      <c r="BI145" s="2" t="s">
        <v>466</v>
      </c>
      <c r="BJ145" s="2" t="s">
        <v>471</v>
      </c>
      <c r="BK145" s="2" t="s">
        <v>466</v>
      </c>
      <c r="BL145" s="2">
        <v>38.9</v>
      </c>
      <c r="BM145" s="2" t="s">
        <v>466</v>
      </c>
      <c r="BN145" s="2">
        <v>47.5</v>
      </c>
      <c r="BO145" s="2" t="s">
        <v>466</v>
      </c>
      <c r="BP145" s="2">
        <v>29.29</v>
      </c>
      <c r="BQ145" s="2" t="s">
        <v>466</v>
      </c>
      <c r="BR145" s="2">
        <v>46.2</v>
      </c>
      <c r="BS145" s="2" t="s">
        <v>466</v>
      </c>
      <c r="BT145" s="2">
        <v>16.55</v>
      </c>
      <c r="BU145" s="2" t="s">
        <v>466</v>
      </c>
      <c r="BV145" s="2">
        <v>118391.36</v>
      </c>
      <c r="BW145" s="2" t="s">
        <v>466</v>
      </c>
      <c r="BX145" s="2">
        <v>32.49</v>
      </c>
    </row>
    <row r="146" spans="1:76">
      <c r="A146" s="2" t="s">
        <v>1</v>
      </c>
      <c r="B146" s="2">
        <v>146</v>
      </c>
      <c r="C146" s="2" t="s">
        <v>470</v>
      </c>
      <c r="D146" s="2">
        <v>23.16</v>
      </c>
      <c r="E146" s="2" t="s">
        <v>470</v>
      </c>
      <c r="F146" s="2">
        <v>36.24</v>
      </c>
      <c r="G146" s="2" t="s">
        <v>470</v>
      </c>
      <c r="H146" s="2">
        <v>53.6</v>
      </c>
      <c r="I146" s="2" t="s">
        <v>470</v>
      </c>
      <c r="J146" s="2">
        <v>18.399999999999999</v>
      </c>
      <c r="K146" s="2" t="s">
        <v>470</v>
      </c>
      <c r="L146" s="2">
        <v>23.2</v>
      </c>
      <c r="M146" s="2" t="s">
        <v>470</v>
      </c>
      <c r="N146" s="2">
        <v>13.55</v>
      </c>
      <c r="O146" s="2" t="s">
        <v>470</v>
      </c>
      <c r="P146" s="2">
        <v>30.62</v>
      </c>
      <c r="Q146" s="2" t="s">
        <v>470</v>
      </c>
      <c r="R146" s="2">
        <v>32.380000000000003</v>
      </c>
      <c r="S146" s="2" t="s">
        <v>470</v>
      </c>
      <c r="T146" s="2">
        <v>21.75</v>
      </c>
      <c r="U146" s="2" t="s">
        <v>470</v>
      </c>
      <c r="V146" s="2">
        <v>6.76</v>
      </c>
      <c r="W146" s="2" t="s">
        <v>470</v>
      </c>
      <c r="X146" s="2">
        <v>129.44999999999999</v>
      </c>
      <c r="Y146" s="2" t="s">
        <v>470</v>
      </c>
      <c r="Z146" s="2">
        <v>32.21</v>
      </c>
      <c r="AA146" s="2" t="s">
        <v>472</v>
      </c>
      <c r="AB146" s="2">
        <v>23.1</v>
      </c>
      <c r="AC146" s="2" t="s">
        <v>470</v>
      </c>
      <c r="AD146" s="2">
        <v>26.4</v>
      </c>
      <c r="AE146" s="2" t="s">
        <v>470</v>
      </c>
      <c r="AF146" s="2">
        <v>41.05</v>
      </c>
      <c r="AG146" s="2" t="s">
        <v>470</v>
      </c>
      <c r="AH146" s="2">
        <v>55.5</v>
      </c>
      <c r="AI146" s="2" t="s">
        <v>470</v>
      </c>
      <c r="AJ146" s="2">
        <v>53.78</v>
      </c>
      <c r="AK146" s="2" t="s">
        <v>470</v>
      </c>
      <c r="AL146" s="2" t="s">
        <v>43</v>
      </c>
      <c r="AM146" s="2" t="s">
        <v>470</v>
      </c>
      <c r="AN146" s="2" t="s">
        <v>141</v>
      </c>
      <c r="AO146" s="2" t="s">
        <v>470</v>
      </c>
      <c r="AP146" s="2">
        <v>123.2</v>
      </c>
      <c r="AQ146" s="2" t="s">
        <v>470</v>
      </c>
      <c r="AR146" s="2">
        <v>12.34</v>
      </c>
      <c r="AS146" s="2" t="s">
        <v>470</v>
      </c>
      <c r="AT146" s="2">
        <v>1350.01</v>
      </c>
      <c r="AU146" s="2" t="s">
        <v>470</v>
      </c>
      <c r="AV146" s="2" t="s">
        <v>199</v>
      </c>
      <c r="AW146" s="2" t="s">
        <v>470</v>
      </c>
      <c r="AX146" s="2">
        <v>135.63999999999999</v>
      </c>
      <c r="AY146" s="2" t="s">
        <v>470</v>
      </c>
      <c r="AZ146" s="2">
        <v>4.03</v>
      </c>
      <c r="BA146" s="2" t="s">
        <v>470</v>
      </c>
      <c r="BB146" s="2" t="s">
        <v>473</v>
      </c>
      <c r="BC146" s="2" t="s">
        <v>470</v>
      </c>
      <c r="BD146" s="2">
        <v>25.49</v>
      </c>
      <c r="BE146" s="2" t="s">
        <v>470</v>
      </c>
      <c r="BF146" s="2">
        <v>29.49</v>
      </c>
      <c r="BG146" s="2" t="s">
        <v>470</v>
      </c>
      <c r="BH146" s="2">
        <v>39.49</v>
      </c>
      <c r="BI146" s="2" t="s">
        <v>470</v>
      </c>
      <c r="BJ146" s="2">
        <v>182.5</v>
      </c>
      <c r="BK146" s="2" t="s">
        <v>470</v>
      </c>
      <c r="BL146" s="2">
        <v>39.65</v>
      </c>
      <c r="BM146" s="2" t="s">
        <v>470</v>
      </c>
      <c r="BN146" s="2">
        <v>48.7</v>
      </c>
      <c r="BO146" s="2" t="s">
        <v>470</v>
      </c>
      <c r="BP146" s="2">
        <v>29.65</v>
      </c>
      <c r="BQ146" s="2" t="s">
        <v>470</v>
      </c>
      <c r="BR146" s="2">
        <v>46.53</v>
      </c>
      <c r="BS146" s="2" t="s">
        <v>470</v>
      </c>
      <c r="BT146" s="2">
        <v>16.899999999999999</v>
      </c>
      <c r="BU146" s="2" t="s">
        <v>470</v>
      </c>
      <c r="BV146" s="2">
        <v>119527.63</v>
      </c>
      <c r="BW146" s="2" t="s">
        <v>470</v>
      </c>
      <c r="BX146" s="2">
        <v>32.5</v>
      </c>
    </row>
    <row r="147" spans="1:76">
      <c r="A147" s="2" t="s">
        <v>1</v>
      </c>
      <c r="B147" s="2">
        <v>147</v>
      </c>
      <c r="C147" s="2" t="s">
        <v>472</v>
      </c>
      <c r="D147" s="2">
        <v>23.03</v>
      </c>
      <c r="E147" s="2" t="s">
        <v>472</v>
      </c>
      <c r="F147" s="2">
        <v>35.9</v>
      </c>
      <c r="G147" s="2" t="s">
        <v>472</v>
      </c>
      <c r="H147" s="2">
        <v>53.87</v>
      </c>
      <c r="I147" s="2" t="s">
        <v>472</v>
      </c>
      <c r="J147" s="2">
        <v>18.13</v>
      </c>
      <c r="K147" s="2" t="s">
        <v>472</v>
      </c>
      <c r="L147" s="2">
        <v>23.08</v>
      </c>
      <c r="M147" s="2" t="s">
        <v>472</v>
      </c>
      <c r="N147" s="2">
        <v>13.35</v>
      </c>
      <c r="O147" s="2" t="s">
        <v>472</v>
      </c>
      <c r="P147" s="2">
        <v>30.24</v>
      </c>
      <c r="Q147" s="2" t="s">
        <v>472</v>
      </c>
      <c r="R147" s="2">
        <v>32.770000000000003</v>
      </c>
      <c r="S147" s="2" t="s">
        <v>472</v>
      </c>
      <c r="T147" s="2">
        <v>21.65</v>
      </c>
      <c r="U147" s="2" t="s">
        <v>472</v>
      </c>
      <c r="V147" s="2">
        <v>6.82</v>
      </c>
      <c r="W147" s="2" t="s">
        <v>472</v>
      </c>
      <c r="X147" s="2" t="s">
        <v>432</v>
      </c>
      <c r="Y147" s="2" t="s">
        <v>472</v>
      </c>
      <c r="Z147" s="2">
        <v>32.020000000000003</v>
      </c>
      <c r="AA147" s="2" t="s">
        <v>474</v>
      </c>
      <c r="AB147" s="2">
        <v>22.63</v>
      </c>
      <c r="AC147" s="2" t="s">
        <v>472</v>
      </c>
      <c r="AD147" s="2">
        <v>26.55</v>
      </c>
      <c r="AE147" s="2" t="s">
        <v>472</v>
      </c>
      <c r="AF147" s="2">
        <v>39.85</v>
      </c>
      <c r="AG147" s="2" t="s">
        <v>472</v>
      </c>
      <c r="AH147" s="2">
        <v>53.8</v>
      </c>
      <c r="AI147" s="2" t="s">
        <v>472</v>
      </c>
      <c r="AJ147" s="2">
        <v>54.3</v>
      </c>
      <c r="AK147" s="2" t="s">
        <v>472</v>
      </c>
      <c r="AL147" s="2">
        <v>8.9</v>
      </c>
      <c r="AM147" s="2" t="s">
        <v>472</v>
      </c>
      <c r="AN147" s="2" t="s">
        <v>95</v>
      </c>
      <c r="AO147" s="2" t="s">
        <v>472</v>
      </c>
      <c r="AP147" s="2">
        <v>122.25</v>
      </c>
      <c r="AQ147" s="2" t="s">
        <v>472</v>
      </c>
      <c r="AR147" s="2">
        <v>12.06</v>
      </c>
      <c r="AS147" s="2" t="s">
        <v>472</v>
      </c>
      <c r="AT147" s="2" t="s">
        <v>455</v>
      </c>
      <c r="AU147" s="2" t="s">
        <v>472</v>
      </c>
      <c r="AV147" s="2">
        <v>141.81</v>
      </c>
      <c r="AW147" s="2" t="s">
        <v>472</v>
      </c>
      <c r="AX147" s="2">
        <v>135.6</v>
      </c>
      <c r="AY147" s="2" t="s">
        <v>472</v>
      </c>
      <c r="AZ147" s="2">
        <v>4.08</v>
      </c>
      <c r="BA147" s="2" t="s">
        <v>472</v>
      </c>
      <c r="BB147" s="2" t="s">
        <v>468</v>
      </c>
      <c r="BC147" s="2" t="s">
        <v>472</v>
      </c>
      <c r="BD147" s="2">
        <v>24.9</v>
      </c>
      <c r="BE147" s="2" t="s">
        <v>472</v>
      </c>
      <c r="BF147" s="2">
        <v>29.02</v>
      </c>
      <c r="BG147" s="2" t="s">
        <v>472</v>
      </c>
      <c r="BH147" s="2">
        <v>39.15</v>
      </c>
      <c r="BI147" s="2" t="s">
        <v>472</v>
      </c>
      <c r="BJ147" s="2">
        <v>182.03</v>
      </c>
      <c r="BK147" s="2" t="s">
        <v>472</v>
      </c>
      <c r="BL147" s="2">
        <v>41.43</v>
      </c>
      <c r="BM147" s="2" t="s">
        <v>472</v>
      </c>
      <c r="BN147" s="2">
        <v>48.99</v>
      </c>
      <c r="BO147" s="2" t="s">
        <v>472</v>
      </c>
      <c r="BP147" s="2">
        <v>29.3</v>
      </c>
      <c r="BQ147" s="2" t="s">
        <v>472</v>
      </c>
      <c r="BR147" s="2">
        <v>45.5</v>
      </c>
      <c r="BS147" s="2" t="s">
        <v>472</v>
      </c>
      <c r="BT147" s="2">
        <v>16.7</v>
      </c>
      <c r="BU147" s="2" t="s">
        <v>472</v>
      </c>
      <c r="BV147" s="2">
        <v>118376.36</v>
      </c>
      <c r="BW147" s="2" t="s">
        <v>472</v>
      </c>
      <c r="BX147" s="2">
        <v>32.99</v>
      </c>
    </row>
    <row r="148" spans="1:76">
      <c r="A148" s="2" t="s">
        <v>1</v>
      </c>
      <c r="B148" s="2">
        <v>148</v>
      </c>
      <c r="C148" s="2" t="s">
        <v>474</v>
      </c>
      <c r="D148" s="2">
        <v>22.5</v>
      </c>
      <c r="E148" s="2" t="s">
        <v>474</v>
      </c>
      <c r="F148" s="2" t="s">
        <v>324</v>
      </c>
      <c r="G148" s="2" t="s">
        <v>474</v>
      </c>
      <c r="H148" s="2">
        <v>52.82</v>
      </c>
      <c r="I148" s="2" t="s">
        <v>474</v>
      </c>
      <c r="J148" s="2">
        <v>17.25</v>
      </c>
      <c r="K148" s="2" t="s">
        <v>474</v>
      </c>
      <c r="L148" s="2">
        <v>22.89</v>
      </c>
      <c r="M148" s="2" t="s">
        <v>474</v>
      </c>
      <c r="N148" s="2">
        <v>13.06</v>
      </c>
      <c r="O148" s="2" t="s">
        <v>474</v>
      </c>
      <c r="P148" s="2">
        <v>29.87</v>
      </c>
      <c r="Q148" s="2" t="s">
        <v>474</v>
      </c>
      <c r="R148" s="2">
        <v>32.200000000000003</v>
      </c>
      <c r="S148" s="2" t="s">
        <v>474</v>
      </c>
      <c r="T148" s="2">
        <v>20.170000000000002</v>
      </c>
      <c r="U148" s="2" t="s">
        <v>474</v>
      </c>
      <c r="V148" s="2">
        <v>6.67</v>
      </c>
      <c r="W148" s="2" t="s">
        <v>474</v>
      </c>
      <c r="X148" s="2">
        <v>126.85</v>
      </c>
      <c r="Y148" s="2" t="s">
        <v>474</v>
      </c>
      <c r="Z148" s="2">
        <v>31.5</v>
      </c>
      <c r="AA148" s="2" t="s">
        <v>475</v>
      </c>
      <c r="AB148" s="2">
        <v>22.75</v>
      </c>
      <c r="AC148" s="2" t="s">
        <v>474</v>
      </c>
      <c r="AD148" s="2">
        <v>26.29</v>
      </c>
      <c r="AE148" s="2" t="s">
        <v>474</v>
      </c>
      <c r="AF148" s="2">
        <v>37.729999999999997</v>
      </c>
      <c r="AG148" s="2" t="s">
        <v>474</v>
      </c>
      <c r="AH148" s="2">
        <v>50.51</v>
      </c>
      <c r="AI148" s="2" t="s">
        <v>474</v>
      </c>
      <c r="AJ148" s="2">
        <v>53.6</v>
      </c>
      <c r="AK148" s="2" t="s">
        <v>474</v>
      </c>
      <c r="AL148" s="2">
        <v>8.6</v>
      </c>
      <c r="AM148" s="2" t="s">
        <v>474</v>
      </c>
      <c r="AN148" s="2" t="s">
        <v>78</v>
      </c>
      <c r="AO148" s="2" t="s">
        <v>474</v>
      </c>
      <c r="AP148" s="2" t="s">
        <v>103</v>
      </c>
      <c r="AQ148" s="2" t="s">
        <v>474</v>
      </c>
      <c r="AR148" s="2">
        <v>12.08</v>
      </c>
      <c r="AS148" s="2" t="s">
        <v>474</v>
      </c>
      <c r="AT148" s="2" t="s">
        <v>476</v>
      </c>
      <c r="AU148" s="2" t="s">
        <v>474</v>
      </c>
      <c r="AV148" s="2">
        <v>141.47999999999999</v>
      </c>
      <c r="AW148" s="2" t="s">
        <v>474</v>
      </c>
      <c r="AX148" s="2">
        <v>135.44999999999999</v>
      </c>
      <c r="AY148" s="2" t="s">
        <v>474</v>
      </c>
      <c r="AZ148" s="2">
        <v>4.0199999999999996</v>
      </c>
      <c r="BA148" s="2" t="s">
        <v>474</v>
      </c>
      <c r="BB148" s="2">
        <v>180.4</v>
      </c>
      <c r="BC148" s="2" t="s">
        <v>474</v>
      </c>
      <c r="BD148" s="2">
        <v>24.26</v>
      </c>
      <c r="BE148" s="2" t="s">
        <v>474</v>
      </c>
      <c r="BF148" s="2">
        <v>27.73</v>
      </c>
      <c r="BG148" s="2" t="s">
        <v>474</v>
      </c>
      <c r="BH148" s="2">
        <v>38.799999999999997</v>
      </c>
      <c r="BI148" s="2" t="s">
        <v>474</v>
      </c>
      <c r="BJ148" s="2">
        <v>180.35</v>
      </c>
      <c r="BK148" s="2" t="s">
        <v>474</v>
      </c>
      <c r="BL148" s="2">
        <v>40.97</v>
      </c>
      <c r="BM148" s="2" t="s">
        <v>474</v>
      </c>
      <c r="BN148" s="2">
        <v>47.65</v>
      </c>
      <c r="BO148" s="2" t="s">
        <v>474</v>
      </c>
      <c r="BP148" s="2">
        <v>28.03</v>
      </c>
      <c r="BQ148" s="2" t="s">
        <v>474</v>
      </c>
      <c r="BR148" s="2">
        <v>44.78</v>
      </c>
      <c r="BS148" s="2" t="s">
        <v>474</v>
      </c>
      <c r="BT148" s="2">
        <v>15.86</v>
      </c>
      <c r="BU148" s="2" t="s">
        <v>474</v>
      </c>
      <c r="BV148" s="2">
        <v>114481.84</v>
      </c>
      <c r="BW148" s="2" t="s">
        <v>474</v>
      </c>
      <c r="BX148" s="2">
        <v>32.51</v>
      </c>
    </row>
    <row r="149" spans="1:76">
      <c r="A149" s="2" t="s">
        <v>1</v>
      </c>
      <c r="B149" s="2">
        <v>149</v>
      </c>
      <c r="C149" s="2" t="s">
        <v>475</v>
      </c>
      <c r="D149" s="2">
        <v>22.69</v>
      </c>
      <c r="E149" s="2" t="s">
        <v>475</v>
      </c>
      <c r="F149" s="2">
        <v>35.01</v>
      </c>
      <c r="G149" s="2" t="s">
        <v>475</v>
      </c>
      <c r="H149" s="2">
        <v>53.49</v>
      </c>
      <c r="I149" s="2" t="s">
        <v>475</v>
      </c>
      <c r="J149" s="2">
        <v>17.45</v>
      </c>
      <c r="K149" s="2" t="s">
        <v>475</v>
      </c>
      <c r="L149" s="2">
        <v>23.15</v>
      </c>
      <c r="M149" s="2" t="s">
        <v>475</v>
      </c>
      <c r="N149" s="2">
        <v>13.11</v>
      </c>
      <c r="O149" s="2" t="s">
        <v>475</v>
      </c>
      <c r="P149" s="2">
        <v>29.61</v>
      </c>
      <c r="Q149" s="2" t="s">
        <v>475</v>
      </c>
      <c r="R149" s="2">
        <v>32.33</v>
      </c>
      <c r="S149" s="2" t="s">
        <v>475</v>
      </c>
      <c r="T149" s="2">
        <v>20.11</v>
      </c>
      <c r="U149" s="2" t="s">
        <v>475</v>
      </c>
      <c r="V149" s="2">
        <v>6.84</v>
      </c>
      <c r="W149" s="2" t="s">
        <v>475</v>
      </c>
      <c r="X149" s="2">
        <v>126.39</v>
      </c>
      <c r="Y149" s="2" t="s">
        <v>475</v>
      </c>
      <c r="Z149" s="2">
        <v>31.98</v>
      </c>
      <c r="AA149" s="2" t="s">
        <v>477</v>
      </c>
      <c r="AB149" s="2">
        <v>22.55</v>
      </c>
      <c r="AC149" s="2" t="s">
        <v>475</v>
      </c>
      <c r="AD149" s="2">
        <v>26.46</v>
      </c>
      <c r="AE149" s="2" t="s">
        <v>475</v>
      </c>
      <c r="AF149" s="2">
        <v>37.61</v>
      </c>
      <c r="AG149" s="2" t="s">
        <v>475</v>
      </c>
      <c r="AH149" s="2">
        <v>51.2</v>
      </c>
      <c r="AI149" s="2" t="s">
        <v>475</v>
      </c>
      <c r="AJ149" s="2">
        <v>53.94</v>
      </c>
      <c r="AK149" s="2" t="s">
        <v>475</v>
      </c>
      <c r="AL149" s="2">
        <v>8.8000000000000007</v>
      </c>
      <c r="AM149" s="2" t="s">
        <v>475</v>
      </c>
      <c r="AN149" s="2">
        <v>106.84</v>
      </c>
      <c r="AO149" s="2" t="s">
        <v>475</v>
      </c>
      <c r="AP149" s="2">
        <v>120.57</v>
      </c>
      <c r="AQ149" s="2" t="s">
        <v>475</v>
      </c>
      <c r="AR149" s="2">
        <v>11.74</v>
      </c>
      <c r="AS149" s="2" t="s">
        <v>475</v>
      </c>
      <c r="AT149" s="2" t="s">
        <v>478</v>
      </c>
      <c r="AU149" s="2" t="s">
        <v>475</v>
      </c>
      <c r="AV149" s="2">
        <v>140.34</v>
      </c>
      <c r="AW149" s="2" t="s">
        <v>475</v>
      </c>
      <c r="AX149" s="2" t="s">
        <v>93</v>
      </c>
      <c r="AY149" s="2" t="s">
        <v>475</v>
      </c>
      <c r="AZ149" s="2">
        <v>4.04</v>
      </c>
      <c r="BA149" s="2" t="s">
        <v>475</v>
      </c>
      <c r="BB149" s="2">
        <v>183.3</v>
      </c>
      <c r="BC149" s="2" t="s">
        <v>475</v>
      </c>
      <c r="BD149" s="2">
        <v>24.8</v>
      </c>
      <c r="BE149" s="2" t="s">
        <v>475</v>
      </c>
      <c r="BF149" s="2">
        <v>28.35</v>
      </c>
      <c r="BG149" s="2" t="s">
        <v>475</v>
      </c>
      <c r="BH149" s="2">
        <v>40.5</v>
      </c>
      <c r="BI149" s="2" t="s">
        <v>475</v>
      </c>
      <c r="BJ149" s="2">
        <v>182.15</v>
      </c>
      <c r="BK149" s="2" t="s">
        <v>475</v>
      </c>
      <c r="BL149" s="2">
        <v>42.01</v>
      </c>
      <c r="BM149" s="2" t="s">
        <v>475</v>
      </c>
      <c r="BN149" s="2">
        <v>49.08</v>
      </c>
      <c r="BO149" s="2" t="s">
        <v>475</v>
      </c>
      <c r="BP149" s="2">
        <v>28.8</v>
      </c>
      <c r="BQ149" s="2" t="s">
        <v>475</v>
      </c>
      <c r="BR149" s="2">
        <v>47.6</v>
      </c>
      <c r="BS149" s="2" t="s">
        <v>475</v>
      </c>
      <c r="BT149" s="2">
        <v>16.190000000000001</v>
      </c>
      <c r="BU149" s="2" t="s">
        <v>475</v>
      </c>
      <c r="BV149" s="2">
        <v>116478.98</v>
      </c>
      <c r="BW149" s="2" t="s">
        <v>475</v>
      </c>
      <c r="BX149" s="2">
        <v>33.29</v>
      </c>
    </row>
    <row r="150" spans="1:76">
      <c r="A150" s="2" t="s">
        <v>1</v>
      </c>
      <c r="B150" s="2">
        <v>150</v>
      </c>
      <c r="C150" s="2" t="s">
        <v>477</v>
      </c>
      <c r="D150" s="2">
        <v>22.35</v>
      </c>
      <c r="E150" s="2" t="s">
        <v>477</v>
      </c>
      <c r="F150" s="2">
        <v>35.619999999999997</v>
      </c>
      <c r="G150" s="2" t="s">
        <v>477</v>
      </c>
      <c r="H150" s="2">
        <v>53.02</v>
      </c>
      <c r="I150" s="2" t="s">
        <v>477</v>
      </c>
      <c r="J150" s="2">
        <v>16.8</v>
      </c>
      <c r="K150" s="2" t="s">
        <v>477</v>
      </c>
      <c r="L150" s="2">
        <v>22.51</v>
      </c>
      <c r="M150" s="2" t="s">
        <v>477</v>
      </c>
      <c r="N150" s="2">
        <v>12.97</v>
      </c>
      <c r="O150" s="2" t="s">
        <v>477</v>
      </c>
      <c r="P150" s="2">
        <v>29.35</v>
      </c>
      <c r="Q150" s="2" t="s">
        <v>477</v>
      </c>
      <c r="R150" s="2">
        <v>32.369999999999997</v>
      </c>
      <c r="S150" s="2" t="s">
        <v>477</v>
      </c>
      <c r="T150" s="2">
        <v>21.05</v>
      </c>
      <c r="U150" s="2" t="s">
        <v>477</v>
      </c>
      <c r="V150" s="2">
        <v>6.71</v>
      </c>
      <c r="W150" s="2" t="s">
        <v>477</v>
      </c>
      <c r="X150" s="2">
        <v>125.3</v>
      </c>
      <c r="Y150" s="2" t="s">
        <v>477</v>
      </c>
      <c r="Z150" s="2">
        <v>31.77</v>
      </c>
      <c r="AA150" s="2" t="s">
        <v>479</v>
      </c>
      <c r="AB150" s="2">
        <v>22.33</v>
      </c>
      <c r="AC150" s="2" t="s">
        <v>477</v>
      </c>
      <c r="AD150" s="2">
        <v>26.4</v>
      </c>
      <c r="AE150" s="2" t="s">
        <v>477</v>
      </c>
      <c r="AF150" s="2">
        <v>36.51</v>
      </c>
      <c r="AG150" s="2" t="s">
        <v>477</v>
      </c>
      <c r="AH150" s="2">
        <v>50.75</v>
      </c>
      <c r="AI150" s="2" t="s">
        <v>477</v>
      </c>
      <c r="AJ150" s="2">
        <v>54.54</v>
      </c>
      <c r="AK150" s="2" t="s">
        <v>477</v>
      </c>
      <c r="AL150" s="2">
        <v>8.7899999999999991</v>
      </c>
      <c r="AM150" s="2" t="s">
        <v>477</v>
      </c>
      <c r="AN150" s="2" t="s">
        <v>480</v>
      </c>
      <c r="AO150" s="2" t="s">
        <v>477</v>
      </c>
      <c r="AP150" s="2">
        <v>121.86</v>
      </c>
      <c r="AQ150" s="2" t="s">
        <v>477</v>
      </c>
      <c r="AR150" s="2">
        <v>11.62</v>
      </c>
      <c r="AS150" s="2" t="s">
        <v>477</v>
      </c>
      <c r="AT150" s="2" t="s">
        <v>481</v>
      </c>
      <c r="AU150" s="2" t="s">
        <v>477</v>
      </c>
      <c r="AV150" s="2">
        <v>138.99</v>
      </c>
      <c r="AW150" s="2" t="s">
        <v>477</v>
      </c>
      <c r="AX150" s="2">
        <v>139.19</v>
      </c>
      <c r="AY150" s="2" t="s">
        <v>477</v>
      </c>
      <c r="AZ150" s="2" t="s">
        <v>302</v>
      </c>
      <c r="BA150" s="2" t="s">
        <v>477</v>
      </c>
      <c r="BB150" s="2" t="s">
        <v>429</v>
      </c>
      <c r="BC150" s="2" t="s">
        <v>477</v>
      </c>
      <c r="BD150" s="2">
        <v>24.75</v>
      </c>
      <c r="BE150" s="2" t="s">
        <v>477</v>
      </c>
      <c r="BF150" s="2" t="s">
        <v>45</v>
      </c>
      <c r="BG150" s="2" t="s">
        <v>477</v>
      </c>
      <c r="BH150" s="2">
        <v>42.29</v>
      </c>
      <c r="BI150" s="2" t="s">
        <v>477</v>
      </c>
      <c r="BJ150" s="2">
        <v>178.85</v>
      </c>
      <c r="BK150" s="2" t="s">
        <v>477</v>
      </c>
      <c r="BL150" s="2">
        <v>42.39</v>
      </c>
      <c r="BM150" s="2" t="s">
        <v>477</v>
      </c>
      <c r="BN150" s="2">
        <v>48.6</v>
      </c>
      <c r="BO150" s="2" t="s">
        <v>477</v>
      </c>
      <c r="BP150" s="2">
        <v>28.85</v>
      </c>
      <c r="BQ150" s="2" t="s">
        <v>477</v>
      </c>
      <c r="BR150" s="2">
        <v>45.76</v>
      </c>
      <c r="BS150" s="2" t="s">
        <v>477</v>
      </c>
      <c r="BT150" s="2">
        <v>15.94</v>
      </c>
      <c r="BU150" s="2" t="s">
        <v>477</v>
      </c>
      <c r="BV150" s="2">
        <v>115384.84</v>
      </c>
      <c r="BW150" s="2" t="s">
        <v>477</v>
      </c>
      <c r="BX150" s="2">
        <v>33.04</v>
      </c>
    </row>
    <row r="151" spans="1:76">
      <c r="A151" s="2" t="s">
        <v>1</v>
      </c>
      <c r="B151" s="2">
        <v>151</v>
      </c>
      <c r="C151" s="2" t="s">
        <v>479</v>
      </c>
      <c r="D151" s="2" t="s">
        <v>87</v>
      </c>
      <c r="E151" s="2" t="s">
        <v>479</v>
      </c>
      <c r="F151" s="2">
        <v>35.61</v>
      </c>
      <c r="G151" s="2" t="s">
        <v>479</v>
      </c>
      <c r="H151" s="2">
        <v>52.5</v>
      </c>
      <c r="I151" s="2" t="s">
        <v>479</v>
      </c>
      <c r="J151" s="2">
        <v>17.03</v>
      </c>
      <c r="K151" s="2" t="s">
        <v>479</v>
      </c>
      <c r="L151" s="2">
        <v>22.23</v>
      </c>
      <c r="M151" s="2" t="s">
        <v>479</v>
      </c>
      <c r="N151" s="2">
        <v>13.08</v>
      </c>
      <c r="O151" s="2" t="s">
        <v>479</v>
      </c>
      <c r="P151" s="2">
        <v>29.75</v>
      </c>
      <c r="Q151" s="2" t="s">
        <v>479</v>
      </c>
      <c r="R151" s="2">
        <v>30.97</v>
      </c>
      <c r="S151" s="2" t="s">
        <v>479</v>
      </c>
      <c r="T151" s="2">
        <v>21.18</v>
      </c>
      <c r="U151" s="2" t="s">
        <v>479</v>
      </c>
      <c r="V151" s="2">
        <v>6.66</v>
      </c>
      <c r="W151" s="2" t="s">
        <v>479</v>
      </c>
      <c r="X151" s="2" t="s">
        <v>111</v>
      </c>
      <c r="Y151" s="2" t="s">
        <v>479</v>
      </c>
      <c r="Z151" s="2">
        <v>31.33</v>
      </c>
      <c r="AA151" s="2" t="s">
        <v>482</v>
      </c>
      <c r="AB151" s="2">
        <v>22.2</v>
      </c>
      <c r="AC151" s="2" t="s">
        <v>479</v>
      </c>
      <c r="AD151" s="2">
        <v>25.77</v>
      </c>
      <c r="AE151" s="2" t="s">
        <v>479</v>
      </c>
      <c r="AF151" s="2">
        <v>34.5</v>
      </c>
      <c r="AG151" s="2" t="s">
        <v>479</v>
      </c>
      <c r="AH151" s="2">
        <v>51.5</v>
      </c>
      <c r="AI151" s="2" t="s">
        <v>479</v>
      </c>
      <c r="AJ151" s="2">
        <v>52.79</v>
      </c>
      <c r="AK151" s="2" t="s">
        <v>479</v>
      </c>
      <c r="AL151" s="2">
        <v>8.8000000000000007</v>
      </c>
      <c r="AM151" s="2" t="s">
        <v>479</v>
      </c>
      <c r="AN151" s="2" t="s">
        <v>483</v>
      </c>
      <c r="AO151" s="2" t="s">
        <v>479</v>
      </c>
      <c r="AP151" s="2" t="s">
        <v>102</v>
      </c>
      <c r="AQ151" s="2" t="s">
        <v>479</v>
      </c>
      <c r="AR151" s="2">
        <v>11.67</v>
      </c>
      <c r="AS151" s="2" t="s">
        <v>479</v>
      </c>
      <c r="AT151" s="2" t="s">
        <v>484</v>
      </c>
      <c r="AU151" s="2" t="s">
        <v>479</v>
      </c>
      <c r="AV151" s="2">
        <v>138.01</v>
      </c>
      <c r="AW151" s="2" t="s">
        <v>479</v>
      </c>
      <c r="AX151" s="2">
        <v>137.4</v>
      </c>
      <c r="AY151" s="2" t="s">
        <v>479</v>
      </c>
      <c r="AZ151" s="2">
        <v>3.98</v>
      </c>
      <c r="BA151" s="2" t="s">
        <v>479</v>
      </c>
      <c r="BB151" s="2">
        <v>189.18</v>
      </c>
      <c r="BC151" s="2" t="s">
        <v>479</v>
      </c>
      <c r="BD151" s="2">
        <v>24.53</v>
      </c>
      <c r="BE151" s="2" t="s">
        <v>479</v>
      </c>
      <c r="BF151" s="2">
        <v>26.3</v>
      </c>
      <c r="BG151" s="2" t="s">
        <v>479</v>
      </c>
      <c r="BH151" s="2">
        <v>41.46</v>
      </c>
      <c r="BI151" s="2" t="s">
        <v>479</v>
      </c>
      <c r="BJ151" s="2">
        <v>180.25</v>
      </c>
      <c r="BK151" s="2" t="s">
        <v>479</v>
      </c>
      <c r="BL151" s="2">
        <v>40.97</v>
      </c>
      <c r="BM151" s="2" t="s">
        <v>479</v>
      </c>
      <c r="BN151" s="2">
        <v>48.8</v>
      </c>
      <c r="BO151" s="2" t="s">
        <v>479</v>
      </c>
      <c r="BP151" s="2">
        <v>28.94</v>
      </c>
      <c r="BQ151" s="2" t="s">
        <v>479</v>
      </c>
      <c r="BR151" s="2">
        <v>47.3</v>
      </c>
      <c r="BS151" s="2" t="s">
        <v>479</v>
      </c>
      <c r="BT151" s="2">
        <v>15.75</v>
      </c>
      <c r="BU151" s="2" t="s">
        <v>479</v>
      </c>
      <c r="BV151" s="2">
        <v>115528.04</v>
      </c>
      <c r="BW151" s="2" t="s">
        <v>479</v>
      </c>
      <c r="BX151" s="2">
        <v>32.39</v>
      </c>
    </row>
    <row r="152" spans="1:76">
      <c r="A152" s="2" t="s">
        <v>1</v>
      </c>
      <c r="B152" s="2">
        <v>152</v>
      </c>
      <c r="C152" s="2" t="s">
        <v>482</v>
      </c>
      <c r="D152" s="2">
        <v>21.71</v>
      </c>
      <c r="E152" s="2" t="s">
        <v>482</v>
      </c>
      <c r="F152" s="2">
        <v>34.78</v>
      </c>
      <c r="G152" s="2" t="s">
        <v>482</v>
      </c>
      <c r="H152" s="2">
        <v>52.05</v>
      </c>
      <c r="I152" s="2" t="s">
        <v>482</v>
      </c>
      <c r="J152" s="2">
        <v>16.3</v>
      </c>
      <c r="K152" s="2" t="s">
        <v>482</v>
      </c>
      <c r="L152" s="2">
        <v>22.35</v>
      </c>
      <c r="M152" s="2" t="s">
        <v>482</v>
      </c>
      <c r="N152" s="2">
        <v>12.86</v>
      </c>
      <c r="O152" s="2" t="s">
        <v>482</v>
      </c>
      <c r="P152" s="2">
        <v>29.44</v>
      </c>
      <c r="Q152" s="2" t="s">
        <v>482</v>
      </c>
      <c r="R152" s="2">
        <v>31.1</v>
      </c>
      <c r="S152" s="2" t="s">
        <v>482</v>
      </c>
      <c r="T152" s="2">
        <v>20.87</v>
      </c>
      <c r="U152" s="2" t="s">
        <v>482</v>
      </c>
      <c r="V152" s="2">
        <v>6.64</v>
      </c>
      <c r="W152" s="2" t="s">
        <v>482</v>
      </c>
      <c r="X152" s="2">
        <v>118.79</v>
      </c>
      <c r="Y152" s="2" t="s">
        <v>482</v>
      </c>
      <c r="Z152" s="2">
        <v>30.96</v>
      </c>
      <c r="AA152" s="2" t="s">
        <v>485</v>
      </c>
      <c r="AB152" s="2">
        <v>22.33</v>
      </c>
      <c r="AC152" s="2" t="s">
        <v>482</v>
      </c>
      <c r="AD152" s="2">
        <v>24.89</v>
      </c>
      <c r="AE152" s="2" t="s">
        <v>482</v>
      </c>
      <c r="AF152" s="2">
        <v>32.700000000000003</v>
      </c>
      <c r="AG152" s="2" t="s">
        <v>482</v>
      </c>
      <c r="AH152" s="2">
        <v>50.27</v>
      </c>
      <c r="AI152" s="2" t="s">
        <v>482</v>
      </c>
      <c r="AJ152" s="2">
        <v>52.37</v>
      </c>
      <c r="AK152" s="2" t="s">
        <v>482</v>
      </c>
      <c r="AL152" s="2">
        <v>8.52</v>
      </c>
      <c r="AM152" s="2" t="s">
        <v>482</v>
      </c>
      <c r="AN152" s="2">
        <v>100.65</v>
      </c>
      <c r="AO152" s="2" t="s">
        <v>482</v>
      </c>
      <c r="AP152" s="2">
        <v>117.1</v>
      </c>
      <c r="AQ152" s="2" t="s">
        <v>482</v>
      </c>
      <c r="AR152" s="2">
        <v>11.68</v>
      </c>
      <c r="AS152" s="2" t="s">
        <v>482</v>
      </c>
      <c r="AT152" s="2">
        <v>1310.04</v>
      </c>
      <c r="AU152" s="2" t="s">
        <v>482</v>
      </c>
      <c r="AV152" s="2">
        <v>139.69999999999999</v>
      </c>
      <c r="AW152" s="2" t="s">
        <v>482</v>
      </c>
      <c r="AX152" s="2">
        <v>136.91</v>
      </c>
      <c r="AY152" s="2" t="s">
        <v>482</v>
      </c>
      <c r="AZ152" s="2">
        <v>3.96</v>
      </c>
      <c r="BA152" s="2" t="s">
        <v>482</v>
      </c>
      <c r="BB152" s="2">
        <v>191.5</v>
      </c>
      <c r="BC152" s="2" t="s">
        <v>482</v>
      </c>
      <c r="BD152" s="2">
        <v>23.61</v>
      </c>
      <c r="BE152" s="2" t="s">
        <v>482</v>
      </c>
      <c r="BF152" s="2">
        <v>25.17</v>
      </c>
      <c r="BG152" s="2" t="s">
        <v>482</v>
      </c>
      <c r="BH152" s="2">
        <v>41.09</v>
      </c>
      <c r="BI152" s="2" t="s">
        <v>482</v>
      </c>
      <c r="BJ152" s="2">
        <v>181.64</v>
      </c>
      <c r="BK152" s="2" t="s">
        <v>482</v>
      </c>
      <c r="BL152" s="2">
        <v>39.409999999999997</v>
      </c>
      <c r="BM152" s="2" t="s">
        <v>482</v>
      </c>
      <c r="BN152" s="2">
        <v>48.2</v>
      </c>
      <c r="BO152" s="2" t="s">
        <v>482</v>
      </c>
      <c r="BP152" s="2">
        <v>28.45</v>
      </c>
      <c r="BQ152" s="2" t="s">
        <v>482</v>
      </c>
      <c r="BR152" s="2">
        <v>47.93</v>
      </c>
      <c r="BS152" s="2" t="s">
        <v>482</v>
      </c>
      <c r="BT152" s="2">
        <v>15.25</v>
      </c>
      <c r="BU152" s="2" t="s">
        <v>482</v>
      </c>
      <c r="BV152" s="2">
        <v>113760.57</v>
      </c>
      <c r="BW152" s="2" t="s">
        <v>482</v>
      </c>
      <c r="BX152" s="2">
        <v>31.81</v>
      </c>
    </row>
    <row r="153" spans="1:76">
      <c r="A153" s="2" t="s">
        <v>1</v>
      </c>
      <c r="B153" s="2">
        <v>153</v>
      </c>
      <c r="C153" s="2" t="s">
        <v>485</v>
      </c>
      <c r="D153" s="2">
        <v>22.75</v>
      </c>
      <c r="E153" s="2" t="s">
        <v>485</v>
      </c>
      <c r="F153" s="2">
        <v>34.93</v>
      </c>
      <c r="G153" s="2" t="s">
        <v>485</v>
      </c>
      <c r="H153" s="2">
        <v>52.6</v>
      </c>
      <c r="I153" s="2" t="s">
        <v>485</v>
      </c>
      <c r="J153" s="2">
        <v>16.399999999999999</v>
      </c>
      <c r="K153" s="2" t="s">
        <v>485</v>
      </c>
      <c r="L153" s="2">
        <v>22.96</v>
      </c>
      <c r="M153" s="2" t="s">
        <v>485</v>
      </c>
      <c r="N153" s="2">
        <v>12.85</v>
      </c>
      <c r="O153" s="2" t="s">
        <v>485</v>
      </c>
      <c r="P153" s="2">
        <v>29.58</v>
      </c>
      <c r="Q153" s="2" t="s">
        <v>485</v>
      </c>
      <c r="R153" s="2">
        <v>32.65</v>
      </c>
      <c r="S153" s="2" t="s">
        <v>485</v>
      </c>
      <c r="T153" s="2">
        <v>20.58</v>
      </c>
      <c r="U153" s="2" t="s">
        <v>485</v>
      </c>
      <c r="V153" s="2">
        <v>6.7</v>
      </c>
      <c r="W153" s="2" t="s">
        <v>485</v>
      </c>
      <c r="X153" s="2">
        <v>113.15</v>
      </c>
      <c r="Y153" s="2" t="s">
        <v>485</v>
      </c>
      <c r="Z153" s="2">
        <v>31.15</v>
      </c>
      <c r="AA153" s="2" t="s">
        <v>486</v>
      </c>
      <c r="AB153" s="2">
        <v>22.59</v>
      </c>
      <c r="AC153" s="2" t="s">
        <v>485</v>
      </c>
      <c r="AD153" s="2" t="s">
        <v>60</v>
      </c>
      <c r="AE153" s="2" t="s">
        <v>485</v>
      </c>
      <c r="AF153" s="2">
        <v>34.25</v>
      </c>
      <c r="AG153" s="2" t="s">
        <v>485</v>
      </c>
      <c r="AH153" s="2">
        <v>50.91</v>
      </c>
      <c r="AI153" s="2" t="s">
        <v>485</v>
      </c>
      <c r="AJ153" s="2">
        <v>53.06</v>
      </c>
      <c r="AK153" s="2" t="s">
        <v>485</v>
      </c>
      <c r="AL153" s="2">
        <v>8.7200000000000006</v>
      </c>
      <c r="AM153" s="2" t="s">
        <v>485</v>
      </c>
      <c r="AN153" s="2">
        <v>97.5</v>
      </c>
      <c r="AO153" s="2" t="s">
        <v>485</v>
      </c>
      <c r="AP153" s="2" t="s">
        <v>110</v>
      </c>
      <c r="AQ153" s="2" t="s">
        <v>485</v>
      </c>
      <c r="AR153" s="2">
        <v>11.31</v>
      </c>
      <c r="AS153" s="2" t="s">
        <v>485</v>
      </c>
      <c r="AT153" s="2">
        <v>1310.1400000000001</v>
      </c>
      <c r="AU153" s="2" t="s">
        <v>485</v>
      </c>
      <c r="AV153" s="2">
        <v>138.51</v>
      </c>
      <c r="AW153" s="2" t="s">
        <v>485</v>
      </c>
      <c r="AX153" s="2">
        <v>132.80000000000001</v>
      </c>
      <c r="AY153" s="2" t="s">
        <v>485</v>
      </c>
      <c r="AZ153" s="2">
        <v>3.99</v>
      </c>
      <c r="BA153" s="2" t="s">
        <v>485</v>
      </c>
      <c r="BB153" s="2">
        <v>191.7</v>
      </c>
      <c r="BC153" s="2" t="s">
        <v>485</v>
      </c>
      <c r="BD153" s="2">
        <v>24.9</v>
      </c>
      <c r="BE153" s="2" t="s">
        <v>485</v>
      </c>
      <c r="BF153" s="2">
        <v>26.52</v>
      </c>
      <c r="BG153" s="2" t="s">
        <v>485</v>
      </c>
      <c r="BH153" s="2">
        <v>42.25</v>
      </c>
      <c r="BI153" s="2" t="s">
        <v>485</v>
      </c>
      <c r="BJ153" s="2">
        <v>182.66</v>
      </c>
      <c r="BK153" s="2" t="s">
        <v>485</v>
      </c>
      <c r="BL153" s="2">
        <v>40.67</v>
      </c>
      <c r="BM153" s="2" t="s">
        <v>485</v>
      </c>
      <c r="BN153" s="2">
        <v>50.09</v>
      </c>
      <c r="BO153" s="2" t="s">
        <v>485</v>
      </c>
      <c r="BP153" s="2">
        <v>28.18</v>
      </c>
      <c r="BQ153" s="2" t="s">
        <v>485</v>
      </c>
      <c r="BR153" s="2">
        <v>47.97</v>
      </c>
      <c r="BS153" s="2" t="s">
        <v>485</v>
      </c>
      <c r="BT153" s="2">
        <v>15.4</v>
      </c>
      <c r="BU153" s="2" t="s">
        <v>485</v>
      </c>
      <c r="BV153" s="2">
        <v>114629.21</v>
      </c>
      <c r="BW153" s="2" t="s">
        <v>485</v>
      </c>
      <c r="BX153" s="2">
        <v>31.8</v>
      </c>
    </row>
    <row r="154" spans="1:76">
      <c r="A154" s="2" t="s">
        <v>1</v>
      </c>
      <c r="B154" s="2">
        <v>154</v>
      </c>
      <c r="C154" s="2" t="s">
        <v>486</v>
      </c>
      <c r="D154" s="2">
        <v>22.82</v>
      </c>
      <c r="E154" s="2" t="s">
        <v>486</v>
      </c>
      <c r="F154" s="2">
        <v>34.450000000000003</v>
      </c>
      <c r="G154" s="2" t="s">
        <v>486</v>
      </c>
      <c r="H154" s="2">
        <v>52.85</v>
      </c>
      <c r="I154" s="2" t="s">
        <v>486</v>
      </c>
      <c r="J154" s="2">
        <v>16.72</v>
      </c>
      <c r="K154" s="2" t="s">
        <v>486</v>
      </c>
      <c r="L154" s="2">
        <v>22.51</v>
      </c>
      <c r="M154" s="2" t="s">
        <v>486</v>
      </c>
      <c r="N154" s="2">
        <v>12.88</v>
      </c>
      <c r="O154" s="2" t="s">
        <v>486</v>
      </c>
      <c r="P154" s="2">
        <v>29.78</v>
      </c>
      <c r="Q154" s="2" t="s">
        <v>486</v>
      </c>
      <c r="R154" s="2">
        <v>32.43</v>
      </c>
      <c r="S154" s="2" t="s">
        <v>486</v>
      </c>
      <c r="T154" s="2">
        <v>21.15</v>
      </c>
      <c r="U154" s="2" t="s">
        <v>486</v>
      </c>
      <c r="V154" s="2">
        <v>6.67</v>
      </c>
      <c r="W154" s="2" t="s">
        <v>486</v>
      </c>
      <c r="X154" s="2">
        <v>114.01</v>
      </c>
      <c r="Y154" s="2" t="s">
        <v>486</v>
      </c>
      <c r="Z154" s="2">
        <v>31.14</v>
      </c>
      <c r="AA154" s="2" t="s">
        <v>487</v>
      </c>
      <c r="AB154" s="2">
        <v>22.37</v>
      </c>
      <c r="AC154" s="2" t="s">
        <v>486</v>
      </c>
      <c r="AD154" s="2">
        <v>25.91</v>
      </c>
      <c r="AE154" s="2" t="s">
        <v>486</v>
      </c>
      <c r="AF154" s="2" t="s">
        <v>101</v>
      </c>
      <c r="AG154" s="2" t="s">
        <v>486</v>
      </c>
      <c r="AH154" s="2">
        <v>52.27</v>
      </c>
      <c r="AI154" s="2" t="s">
        <v>486</v>
      </c>
      <c r="AJ154" s="2">
        <v>52.76</v>
      </c>
      <c r="AK154" s="2" t="s">
        <v>486</v>
      </c>
      <c r="AL154" s="2">
        <v>8.73</v>
      </c>
      <c r="AM154" s="2" t="s">
        <v>486</v>
      </c>
      <c r="AN154" s="2">
        <v>98.4</v>
      </c>
      <c r="AO154" s="2" t="s">
        <v>486</v>
      </c>
      <c r="AP154" s="2">
        <v>115.96</v>
      </c>
      <c r="AQ154" s="2" t="s">
        <v>486</v>
      </c>
      <c r="AR154" s="2">
        <v>11.4</v>
      </c>
      <c r="AS154" s="2" t="s">
        <v>486</v>
      </c>
      <c r="AT154" s="2" t="s">
        <v>488</v>
      </c>
      <c r="AU154" s="2" t="s">
        <v>486</v>
      </c>
      <c r="AV154" s="2">
        <v>139.02000000000001</v>
      </c>
      <c r="AW154" s="2" t="s">
        <v>486</v>
      </c>
      <c r="AX154" s="2">
        <v>132.75</v>
      </c>
      <c r="AY154" s="2" t="s">
        <v>486</v>
      </c>
      <c r="AZ154" s="2">
        <v>3.97</v>
      </c>
      <c r="BA154" s="2" t="s">
        <v>486</v>
      </c>
      <c r="BB154" s="2">
        <v>187.02</v>
      </c>
      <c r="BC154" s="2" t="s">
        <v>486</v>
      </c>
      <c r="BD154" s="2">
        <v>25.2</v>
      </c>
      <c r="BE154" s="2" t="s">
        <v>486</v>
      </c>
      <c r="BF154" s="2">
        <v>26.9</v>
      </c>
      <c r="BG154" s="2" t="s">
        <v>486</v>
      </c>
      <c r="BH154" s="2" t="s">
        <v>65</v>
      </c>
      <c r="BI154" s="2" t="s">
        <v>486</v>
      </c>
      <c r="BJ154" s="2">
        <v>182.98</v>
      </c>
      <c r="BK154" s="2" t="s">
        <v>486</v>
      </c>
      <c r="BL154" s="2">
        <v>40.520000000000003</v>
      </c>
      <c r="BM154" s="2" t="s">
        <v>486</v>
      </c>
      <c r="BN154" s="2">
        <v>49.96</v>
      </c>
      <c r="BO154" s="2" t="s">
        <v>486</v>
      </c>
      <c r="BP154" s="2">
        <v>28.63</v>
      </c>
      <c r="BQ154" s="2" t="s">
        <v>486</v>
      </c>
      <c r="BR154" s="2">
        <v>48.8</v>
      </c>
      <c r="BS154" s="2" t="s">
        <v>486</v>
      </c>
      <c r="BT154" s="2">
        <v>15.44</v>
      </c>
      <c r="BU154" s="2" t="s">
        <v>486</v>
      </c>
      <c r="BV154" s="2">
        <v>115556.71</v>
      </c>
      <c r="BW154" s="2" t="s">
        <v>486</v>
      </c>
      <c r="BX154" s="2">
        <v>32.29</v>
      </c>
    </row>
    <row r="155" spans="1:76">
      <c r="A155" s="2" t="s">
        <v>1</v>
      </c>
      <c r="B155" s="2">
        <v>155</v>
      </c>
      <c r="C155" s="2" t="s">
        <v>487</v>
      </c>
      <c r="D155" s="2">
        <v>23.75</v>
      </c>
      <c r="E155" s="2" t="s">
        <v>487</v>
      </c>
      <c r="F155" s="2">
        <v>34.630000000000003</v>
      </c>
      <c r="G155" s="2" t="s">
        <v>487</v>
      </c>
      <c r="H155" s="2">
        <v>52.8</v>
      </c>
      <c r="I155" s="2" t="s">
        <v>487</v>
      </c>
      <c r="J155" s="2">
        <v>16.649999999999999</v>
      </c>
      <c r="K155" s="2" t="s">
        <v>487</v>
      </c>
      <c r="L155" s="2">
        <v>22.45</v>
      </c>
      <c r="M155" s="2" t="s">
        <v>487</v>
      </c>
      <c r="N155" s="2">
        <v>12.95</v>
      </c>
      <c r="O155" s="2" t="s">
        <v>487</v>
      </c>
      <c r="P155" s="2">
        <v>29.82</v>
      </c>
      <c r="Q155" s="2" t="s">
        <v>487</v>
      </c>
      <c r="R155" s="2">
        <v>32.46</v>
      </c>
      <c r="S155" s="2" t="s">
        <v>487</v>
      </c>
      <c r="T155" s="2">
        <v>21.6</v>
      </c>
      <c r="U155" s="2" t="s">
        <v>487</v>
      </c>
      <c r="V155" s="2">
        <v>6.97</v>
      </c>
      <c r="W155" s="2" t="s">
        <v>487</v>
      </c>
      <c r="X155" s="2">
        <v>115.5</v>
      </c>
      <c r="Y155" s="2" t="s">
        <v>487</v>
      </c>
      <c r="Z155" s="2">
        <v>31.36</v>
      </c>
      <c r="AA155" s="2" t="s">
        <v>489</v>
      </c>
      <c r="AB155" s="2">
        <v>22.2</v>
      </c>
      <c r="AC155" s="2" t="s">
        <v>487</v>
      </c>
      <c r="AD155" s="2">
        <v>26.4</v>
      </c>
      <c r="AE155" s="2" t="s">
        <v>487</v>
      </c>
      <c r="AF155" s="2">
        <v>33.97</v>
      </c>
      <c r="AG155" s="2" t="s">
        <v>487</v>
      </c>
      <c r="AH155" s="2">
        <v>52.99</v>
      </c>
      <c r="AI155" s="2" t="s">
        <v>487</v>
      </c>
      <c r="AJ155" s="2">
        <v>52.42</v>
      </c>
      <c r="AK155" s="2" t="s">
        <v>487</v>
      </c>
      <c r="AL155" s="2">
        <v>8.9700000000000006</v>
      </c>
      <c r="AM155" s="2" t="s">
        <v>487</v>
      </c>
      <c r="AN155" s="2">
        <v>99.11</v>
      </c>
      <c r="AO155" s="2" t="s">
        <v>487</v>
      </c>
      <c r="AP155" s="2">
        <v>115.5</v>
      </c>
      <c r="AQ155" s="2" t="s">
        <v>487</v>
      </c>
      <c r="AR155" s="2">
        <v>11.48</v>
      </c>
      <c r="AS155" s="2" t="s">
        <v>487</v>
      </c>
      <c r="AT155" s="2">
        <v>1319.97</v>
      </c>
      <c r="AU155" s="2" t="s">
        <v>487</v>
      </c>
      <c r="AV155" s="2">
        <v>140.47</v>
      </c>
      <c r="AW155" s="2" t="s">
        <v>487</v>
      </c>
      <c r="AX155" s="2">
        <v>132.33000000000001</v>
      </c>
      <c r="AY155" s="2" t="s">
        <v>487</v>
      </c>
      <c r="AZ155" s="2">
        <v>3.99</v>
      </c>
      <c r="BA155" s="2" t="s">
        <v>487</v>
      </c>
      <c r="BB155" s="2">
        <v>186.16</v>
      </c>
      <c r="BC155" s="2" t="s">
        <v>487</v>
      </c>
      <c r="BD155" s="2">
        <v>25.7</v>
      </c>
      <c r="BE155" s="2" t="s">
        <v>487</v>
      </c>
      <c r="BF155" s="2">
        <v>26.48</v>
      </c>
      <c r="BG155" s="2" t="s">
        <v>487</v>
      </c>
      <c r="BH155" s="2">
        <v>42.32</v>
      </c>
      <c r="BI155" s="2" t="s">
        <v>487</v>
      </c>
      <c r="BJ155" s="2">
        <v>182.25</v>
      </c>
      <c r="BK155" s="2" t="s">
        <v>487</v>
      </c>
      <c r="BL155" s="2">
        <v>41.37</v>
      </c>
      <c r="BM155" s="2" t="s">
        <v>487</v>
      </c>
      <c r="BN155" s="2">
        <v>49.35</v>
      </c>
      <c r="BO155" s="2" t="s">
        <v>487</v>
      </c>
      <c r="BP155" s="2">
        <v>28.39</v>
      </c>
      <c r="BQ155" s="2" t="s">
        <v>487</v>
      </c>
      <c r="BR155" s="2" t="s">
        <v>135</v>
      </c>
      <c r="BS155" s="2" t="s">
        <v>487</v>
      </c>
      <c r="BT155" s="2">
        <v>15.51</v>
      </c>
      <c r="BU155" s="2" t="s">
        <v>487</v>
      </c>
      <c r="BV155" s="2">
        <v>116028.27</v>
      </c>
      <c r="BW155" s="2" t="s">
        <v>487</v>
      </c>
      <c r="BX155" s="2" t="s">
        <v>101</v>
      </c>
    </row>
    <row r="156" spans="1:76">
      <c r="A156" s="2" t="s">
        <v>1</v>
      </c>
      <c r="B156" s="2">
        <v>156</v>
      </c>
      <c r="C156" s="2" t="s">
        <v>489</v>
      </c>
      <c r="D156" s="2">
        <v>22.52</v>
      </c>
      <c r="E156" s="2" t="s">
        <v>489</v>
      </c>
      <c r="F156" s="2">
        <v>34.799999999999997</v>
      </c>
      <c r="G156" s="2" t="s">
        <v>489</v>
      </c>
      <c r="H156" s="2">
        <v>51.81</v>
      </c>
      <c r="I156" s="2" t="s">
        <v>489</v>
      </c>
      <c r="J156" s="2">
        <v>16.12</v>
      </c>
      <c r="K156" s="2" t="s">
        <v>489</v>
      </c>
      <c r="L156" s="2">
        <v>22.23</v>
      </c>
      <c r="M156" s="2" t="s">
        <v>489</v>
      </c>
      <c r="N156" s="2">
        <v>12.82</v>
      </c>
      <c r="O156" s="2" t="s">
        <v>489</v>
      </c>
      <c r="P156" s="2">
        <v>29.69</v>
      </c>
      <c r="Q156" s="2" t="s">
        <v>489</v>
      </c>
      <c r="R156" s="2">
        <v>31.97</v>
      </c>
      <c r="S156" s="2" t="s">
        <v>489</v>
      </c>
      <c r="T156" s="2">
        <v>21.1</v>
      </c>
      <c r="U156" s="2" t="s">
        <v>489</v>
      </c>
      <c r="V156" s="2">
        <v>6.85</v>
      </c>
      <c r="W156" s="2" t="s">
        <v>489</v>
      </c>
      <c r="X156" s="2" t="s">
        <v>107</v>
      </c>
      <c r="Y156" s="2" t="s">
        <v>489</v>
      </c>
      <c r="Z156" s="2">
        <v>30.85</v>
      </c>
      <c r="AA156" s="2" t="s">
        <v>490</v>
      </c>
      <c r="AB156" s="2">
        <v>21.83</v>
      </c>
      <c r="AC156" s="2" t="s">
        <v>489</v>
      </c>
      <c r="AD156" s="2">
        <v>26.28</v>
      </c>
      <c r="AE156" s="2" t="s">
        <v>489</v>
      </c>
      <c r="AF156" s="2">
        <v>34.229999999999997</v>
      </c>
      <c r="AG156" s="2" t="s">
        <v>489</v>
      </c>
      <c r="AH156" s="2">
        <v>53.28</v>
      </c>
      <c r="AI156" s="2" t="s">
        <v>489</v>
      </c>
      <c r="AJ156" s="2">
        <v>52.58</v>
      </c>
      <c r="AK156" s="2" t="s">
        <v>489</v>
      </c>
      <c r="AL156" s="2">
        <v>8.7100000000000009</v>
      </c>
      <c r="AM156" s="2" t="s">
        <v>489</v>
      </c>
      <c r="AN156" s="2">
        <v>100.8</v>
      </c>
      <c r="AO156" s="2" t="s">
        <v>489</v>
      </c>
      <c r="AP156" s="2" t="s">
        <v>110</v>
      </c>
      <c r="AQ156" s="2" t="s">
        <v>489</v>
      </c>
      <c r="AR156" s="2">
        <v>11.32</v>
      </c>
      <c r="AS156" s="2" t="s">
        <v>489</v>
      </c>
      <c r="AT156" s="2" t="s">
        <v>478</v>
      </c>
      <c r="AU156" s="2" t="s">
        <v>489</v>
      </c>
      <c r="AV156" s="2">
        <v>141.1</v>
      </c>
      <c r="AW156" s="2" t="s">
        <v>489</v>
      </c>
      <c r="AX156" s="2">
        <v>129.97</v>
      </c>
      <c r="AY156" s="2" t="s">
        <v>489</v>
      </c>
      <c r="AZ156" s="2">
        <v>3.96</v>
      </c>
      <c r="BA156" s="2" t="s">
        <v>489</v>
      </c>
      <c r="BB156" s="2" t="s">
        <v>451</v>
      </c>
      <c r="BC156" s="2" t="s">
        <v>489</v>
      </c>
      <c r="BD156" s="2">
        <v>24.97</v>
      </c>
      <c r="BE156" s="2" t="s">
        <v>489</v>
      </c>
      <c r="BF156" s="2" t="s">
        <v>60</v>
      </c>
      <c r="BG156" s="2" t="s">
        <v>489</v>
      </c>
      <c r="BH156" s="2">
        <v>41.9</v>
      </c>
      <c r="BI156" s="2" t="s">
        <v>489</v>
      </c>
      <c r="BJ156" s="2">
        <v>180.45</v>
      </c>
      <c r="BK156" s="2" t="s">
        <v>489</v>
      </c>
      <c r="BL156" s="2">
        <v>42.84</v>
      </c>
      <c r="BM156" s="2" t="s">
        <v>489</v>
      </c>
      <c r="BN156" s="2">
        <v>48.69</v>
      </c>
      <c r="BO156" s="2" t="s">
        <v>489</v>
      </c>
      <c r="BP156" s="2">
        <v>29.18</v>
      </c>
      <c r="BQ156" s="2" t="s">
        <v>489</v>
      </c>
      <c r="BR156" s="2">
        <v>47.89</v>
      </c>
      <c r="BS156" s="2" t="s">
        <v>489</v>
      </c>
      <c r="BT156" s="2">
        <v>15.6</v>
      </c>
      <c r="BU156" s="2" t="s">
        <v>489</v>
      </c>
      <c r="BV156" s="2">
        <v>115189.97</v>
      </c>
      <c r="BW156" s="2" t="s">
        <v>489</v>
      </c>
      <c r="BX156" s="2">
        <v>32.700000000000003</v>
      </c>
    </row>
    <row r="157" spans="1:76">
      <c r="A157" s="2" t="s">
        <v>1</v>
      </c>
      <c r="B157" s="2">
        <v>157</v>
      </c>
      <c r="C157" s="2" t="s">
        <v>490</v>
      </c>
      <c r="D157" s="2">
        <v>21.95</v>
      </c>
      <c r="E157" s="2" t="s">
        <v>490</v>
      </c>
      <c r="F157" s="2">
        <v>35.36</v>
      </c>
      <c r="G157" s="2" t="s">
        <v>490</v>
      </c>
      <c r="H157" s="2">
        <v>50.32</v>
      </c>
      <c r="I157" s="2" t="s">
        <v>490</v>
      </c>
      <c r="J157" s="2">
        <v>15.26</v>
      </c>
      <c r="K157" s="2" t="s">
        <v>490</v>
      </c>
      <c r="L157" s="2">
        <v>21.5</v>
      </c>
      <c r="M157" s="2" t="s">
        <v>490</v>
      </c>
      <c r="N157" s="2">
        <v>12.79</v>
      </c>
      <c r="O157" s="2" t="s">
        <v>490</v>
      </c>
      <c r="P157" s="2">
        <v>29.77</v>
      </c>
      <c r="Q157" s="2" t="s">
        <v>490</v>
      </c>
      <c r="R157" s="2">
        <v>31.26</v>
      </c>
      <c r="S157" s="2" t="s">
        <v>490</v>
      </c>
      <c r="T157" s="2">
        <v>20.03</v>
      </c>
      <c r="U157" s="2" t="s">
        <v>490</v>
      </c>
      <c r="V157" s="2">
        <v>6.77</v>
      </c>
      <c r="W157" s="2" t="s">
        <v>490</v>
      </c>
      <c r="X157" s="2" t="s">
        <v>95</v>
      </c>
      <c r="Y157" s="2" t="s">
        <v>490</v>
      </c>
      <c r="Z157" s="2">
        <v>30.47</v>
      </c>
      <c r="AA157" s="2" t="s">
        <v>491</v>
      </c>
      <c r="AB157" s="2">
        <v>21.74</v>
      </c>
      <c r="AC157" s="2" t="s">
        <v>490</v>
      </c>
      <c r="AD157" s="2">
        <v>25.19</v>
      </c>
      <c r="AE157" s="2" t="s">
        <v>490</v>
      </c>
      <c r="AF157" s="2">
        <v>33.4</v>
      </c>
      <c r="AG157" s="2" t="s">
        <v>490</v>
      </c>
      <c r="AH157" s="2">
        <v>52.1</v>
      </c>
      <c r="AI157" s="2" t="s">
        <v>490</v>
      </c>
      <c r="AJ157" s="2">
        <v>51.9</v>
      </c>
      <c r="AK157" s="2" t="s">
        <v>490</v>
      </c>
      <c r="AL157" s="2">
        <v>8.5299999999999994</v>
      </c>
      <c r="AM157" s="2" t="s">
        <v>490</v>
      </c>
      <c r="AN157" s="2">
        <v>101.17</v>
      </c>
      <c r="AO157" s="2" t="s">
        <v>490</v>
      </c>
      <c r="AP157" s="2">
        <v>114.9</v>
      </c>
      <c r="AQ157" s="2" t="s">
        <v>490</v>
      </c>
      <c r="AR157" s="2">
        <v>11.38</v>
      </c>
      <c r="AS157" s="2" t="s">
        <v>490</v>
      </c>
      <c r="AT157" s="2" t="s">
        <v>492</v>
      </c>
      <c r="AU157" s="2" t="s">
        <v>490</v>
      </c>
      <c r="AV157" s="2">
        <v>139.99</v>
      </c>
      <c r="AW157" s="2" t="s">
        <v>490</v>
      </c>
      <c r="AX157" s="2">
        <v>127.75</v>
      </c>
      <c r="AY157" s="2" t="s">
        <v>490</v>
      </c>
      <c r="AZ157" s="2">
        <v>3.81</v>
      </c>
      <c r="BA157" s="2" t="s">
        <v>490</v>
      </c>
      <c r="BB157" s="2">
        <v>181.35</v>
      </c>
      <c r="BC157" s="2" t="s">
        <v>490</v>
      </c>
      <c r="BD157" s="2">
        <v>24.03</v>
      </c>
      <c r="BE157" s="2" t="s">
        <v>490</v>
      </c>
      <c r="BF157" s="2">
        <v>25.4</v>
      </c>
      <c r="BG157" s="2" t="s">
        <v>490</v>
      </c>
      <c r="BH157" s="2">
        <v>41.7</v>
      </c>
      <c r="BI157" s="2" t="s">
        <v>490</v>
      </c>
      <c r="BJ157" s="2">
        <v>180.55</v>
      </c>
      <c r="BK157" s="2" t="s">
        <v>490</v>
      </c>
      <c r="BL157" s="2">
        <v>41.1</v>
      </c>
      <c r="BM157" s="2" t="s">
        <v>490</v>
      </c>
      <c r="BN157" s="2">
        <v>48.3</v>
      </c>
      <c r="BO157" s="2" t="s">
        <v>490</v>
      </c>
      <c r="BP157" s="2">
        <v>28.93</v>
      </c>
      <c r="BQ157" s="2" t="s">
        <v>490</v>
      </c>
      <c r="BR157" s="2">
        <v>48.31</v>
      </c>
      <c r="BS157" s="2" t="s">
        <v>490</v>
      </c>
      <c r="BT157" s="2">
        <v>15.23</v>
      </c>
      <c r="BU157" s="2" t="s">
        <v>490</v>
      </c>
      <c r="BV157" s="2">
        <v>113770.29</v>
      </c>
      <c r="BW157" s="2" t="s">
        <v>490</v>
      </c>
      <c r="BX157" s="2">
        <v>32.89</v>
      </c>
    </row>
    <row r="158" spans="1:76">
      <c r="A158" s="2" t="s">
        <v>1</v>
      </c>
      <c r="B158" s="2">
        <v>158</v>
      </c>
      <c r="C158" s="2" t="s">
        <v>491</v>
      </c>
      <c r="D158" s="2">
        <v>21.24</v>
      </c>
      <c r="E158" s="2" t="s">
        <v>491</v>
      </c>
      <c r="F158" s="2">
        <v>35.82</v>
      </c>
      <c r="G158" s="2" t="s">
        <v>491</v>
      </c>
      <c r="H158" s="2">
        <v>49.93</v>
      </c>
      <c r="I158" s="2" t="s">
        <v>491</v>
      </c>
      <c r="J158" s="2">
        <v>15.28</v>
      </c>
      <c r="K158" s="2" t="s">
        <v>491</v>
      </c>
      <c r="L158" s="2">
        <v>21.26</v>
      </c>
      <c r="M158" s="2" t="s">
        <v>491</v>
      </c>
      <c r="N158" s="2">
        <v>13.05</v>
      </c>
      <c r="O158" s="2" t="s">
        <v>491</v>
      </c>
      <c r="P158" s="2">
        <v>30.05</v>
      </c>
      <c r="Q158" s="2" t="s">
        <v>491</v>
      </c>
      <c r="R158" s="2">
        <v>30.3</v>
      </c>
      <c r="S158" s="2" t="s">
        <v>491</v>
      </c>
      <c r="T158" s="2">
        <v>19.8</v>
      </c>
      <c r="U158" s="2" t="s">
        <v>491</v>
      </c>
      <c r="V158" s="2">
        <v>6.68</v>
      </c>
      <c r="W158" s="2" t="s">
        <v>491</v>
      </c>
      <c r="X158" s="2">
        <v>114.54</v>
      </c>
      <c r="Y158" s="2" t="s">
        <v>491</v>
      </c>
      <c r="Z158" s="2">
        <v>30.49</v>
      </c>
      <c r="AA158" s="2" t="s">
        <v>493</v>
      </c>
      <c r="AB158" s="2">
        <v>22.16</v>
      </c>
      <c r="AC158" s="2" t="s">
        <v>491</v>
      </c>
      <c r="AD158" s="2">
        <v>23.77</v>
      </c>
      <c r="AE158" s="2" t="s">
        <v>491</v>
      </c>
      <c r="AF158" s="2" t="s">
        <v>137</v>
      </c>
      <c r="AG158" s="2" t="s">
        <v>491</v>
      </c>
      <c r="AH158" s="2">
        <v>50.19</v>
      </c>
      <c r="AI158" s="2" t="s">
        <v>491</v>
      </c>
      <c r="AJ158" s="2">
        <v>51.98</v>
      </c>
      <c r="AK158" s="2" t="s">
        <v>491</v>
      </c>
      <c r="AL158" s="2">
        <v>8.51</v>
      </c>
      <c r="AM158" s="2" t="s">
        <v>491</v>
      </c>
      <c r="AN158" s="2">
        <v>100.64</v>
      </c>
      <c r="AO158" s="2" t="s">
        <v>491</v>
      </c>
      <c r="AP158" s="2">
        <v>113.3</v>
      </c>
      <c r="AQ158" s="2" t="s">
        <v>491</v>
      </c>
      <c r="AR158" s="2">
        <v>11.34</v>
      </c>
      <c r="AS158" s="2" t="s">
        <v>491</v>
      </c>
      <c r="AT158" s="2">
        <v>1307.44</v>
      </c>
      <c r="AU158" s="2" t="s">
        <v>491</v>
      </c>
      <c r="AV158" s="2">
        <v>139.02000000000001</v>
      </c>
      <c r="AW158" s="2" t="s">
        <v>491</v>
      </c>
      <c r="AX158" s="2">
        <v>125.98</v>
      </c>
      <c r="AY158" s="2" t="s">
        <v>491</v>
      </c>
      <c r="AZ158" s="2">
        <v>3.7</v>
      </c>
      <c r="BA158" s="2" t="s">
        <v>491</v>
      </c>
      <c r="BB158" s="2" t="s">
        <v>494</v>
      </c>
      <c r="BC158" s="2" t="s">
        <v>491</v>
      </c>
      <c r="BD158" s="2">
        <v>23.15</v>
      </c>
      <c r="BE158" s="2" t="s">
        <v>491</v>
      </c>
      <c r="BF158" s="2">
        <v>23.78</v>
      </c>
      <c r="BG158" s="2" t="s">
        <v>491</v>
      </c>
      <c r="BH158" s="2">
        <v>41.58</v>
      </c>
      <c r="BI158" s="2" t="s">
        <v>491</v>
      </c>
      <c r="BJ158" s="2">
        <v>178.1</v>
      </c>
      <c r="BK158" s="2" t="s">
        <v>491</v>
      </c>
      <c r="BL158" s="2">
        <v>41.53</v>
      </c>
      <c r="BM158" s="2" t="s">
        <v>491</v>
      </c>
      <c r="BN158" s="2">
        <v>48.63</v>
      </c>
      <c r="BO158" s="2" t="s">
        <v>491</v>
      </c>
      <c r="BP158" s="2">
        <v>29.13</v>
      </c>
      <c r="BQ158" s="2" t="s">
        <v>491</v>
      </c>
      <c r="BR158" s="2">
        <v>43.65</v>
      </c>
      <c r="BS158" s="2" t="s">
        <v>491</v>
      </c>
      <c r="BT158" s="2" t="s">
        <v>61</v>
      </c>
      <c r="BU158" s="2" t="s">
        <v>491</v>
      </c>
      <c r="BV158" s="2">
        <v>112570.3</v>
      </c>
      <c r="BW158" s="2" t="s">
        <v>491</v>
      </c>
      <c r="BX158" s="2">
        <v>32.18</v>
      </c>
    </row>
    <row r="159" spans="1:76">
      <c r="A159" s="2" t="s">
        <v>1</v>
      </c>
      <c r="B159" s="2">
        <v>159</v>
      </c>
      <c r="C159" s="2" t="s">
        <v>493</v>
      </c>
      <c r="D159" s="2">
        <v>21.55</v>
      </c>
      <c r="E159" s="2" t="s">
        <v>493</v>
      </c>
      <c r="F159" s="2">
        <v>36.869999999999997</v>
      </c>
      <c r="G159" s="2" t="s">
        <v>493</v>
      </c>
      <c r="H159" s="2">
        <v>50.87</v>
      </c>
      <c r="I159" s="2" t="s">
        <v>493</v>
      </c>
      <c r="J159" s="2">
        <v>15.84</v>
      </c>
      <c r="K159" s="2" t="s">
        <v>493</v>
      </c>
      <c r="L159" s="2">
        <v>21.36</v>
      </c>
      <c r="M159" s="2" t="s">
        <v>493</v>
      </c>
      <c r="N159" s="2">
        <v>13.28</v>
      </c>
      <c r="O159" s="2" t="s">
        <v>493</v>
      </c>
      <c r="P159" s="2">
        <v>31.31</v>
      </c>
      <c r="Q159" s="2" t="s">
        <v>493</v>
      </c>
      <c r="R159" s="2">
        <v>30.39</v>
      </c>
      <c r="S159" s="2" t="s">
        <v>493</v>
      </c>
      <c r="T159" s="2">
        <v>20.16</v>
      </c>
      <c r="U159" s="2" t="s">
        <v>493</v>
      </c>
      <c r="V159" s="2">
        <v>6.88</v>
      </c>
      <c r="W159" s="2" t="s">
        <v>493</v>
      </c>
      <c r="X159" s="2">
        <v>113.78</v>
      </c>
      <c r="Y159" s="2" t="s">
        <v>493</v>
      </c>
      <c r="Z159" s="2">
        <v>30.81</v>
      </c>
      <c r="AA159" s="2" t="s">
        <v>495</v>
      </c>
      <c r="AB159" s="2">
        <v>22.39</v>
      </c>
      <c r="AC159" s="2" t="s">
        <v>493</v>
      </c>
      <c r="AD159" s="2">
        <v>23.91</v>
      </c>
      <c r="AE159" s="2" t="s">
        <v>493</v>
      </c>
      <c r="AF159" s="2">
        <v>32.5</v>
      </c>
      <c r="AG159" s="2" t="s">
        <v>493</v>
      </c>
      <c r="AH159" s="2">
        <v>52.05</v>
      </c>
      <c r="AI159" s="2" t="s">
        <v>493</v>
      </c>
      <c r="AJ159" s="2">
        <v>52.9</v>
      </c>
      <c r="AK159" s="2" t="s">
        <v>493</v>
      </c>
      <c r="AL159" s="2">
        <v>8.65</v>
      </c>
      <c r="AM159" s="2" t="s">
        <v>493</v>
      </c>
      <c r="AN159" s="2">
        <v>98.75</v>
      </c>
      <c r="AO159" s="2" t="s">
        <v>493</v>
      </c>
      <c r="AP159" s="2">
        <v>113.31</v>
      </c>
      <c r="AQ159" s="2" t="s">
        <v>493</v>
      </c>
      <c r="AR159" s="2">
        <v>11.38</v>
      </c>
      <c r="AS159" s="2" t="s">
        <v>493</v>
      </c>
      <c r="AT159" s="2">
        <v>1285.01</v>
      </c>
      <c r="AU159" s="2" t="s">
        <v>493</v>
      </c>
      <c r="AV159" s="2">
        <v>138.5</v>
      </c>
      <c r="AW159" s="2" t="s">
        <v>493</v>
      </c>
      <c r="AX159" s="2">
        <v>127.8</v>
      </c>
      <c r="AY159" s="2" t="s">
        <v>493</v>
      </c>
      <c r="AZ159" s="2">
        <v>3.78</v>
      </c>
      <c r="BA159" s="2" t="s">
        <v>493</v>
      </c>
      <c r="BB159" s="2">
        <v>182.59</v>
      </c>
      <c r="BC159" s="2" t="s">
        <v>493</v>
      </c>
      <c r="BD159" s="2">
        <v>23.71</v>
      </c>
      <c r="BE159" s="2" t="s">
        <v>493</v>
      </c>
      <c r="BF159" s="2">
        <v>24.51</v>
      </c>
      <c r="BG159" s="2" t="s">
        <v>493</v>
      </c>
      <c r="BH159" s="2">
        <v>43.3</v>
      </c>
      <c r="BI159" s="2" t="s">
        <v>493</v>
      </c>
      <c r="BJ159" s="2">
        <v>177.9</v>
      </c>
      <c r="BK159" s="2" t="s">
        <v>493</v>
      </c>
      <c r="BL159" s="2">
        <v>43.05</v>
      </c>
      <c r="BM159" s="2" t="s">
        <v>493</v>
      </c>
      <c r="BN159" s="2">
        <v>48.9</v>
      </c>
      <c r="BO159" s="2" t="s">
        <v>493</v>
      </c>
      <c r="BP159" s="2">
        <v>29.48</v>
      </c>
      <c r="BQ159" s="2" t="s">
        <v>493</v>
      </c>
      <c r="BR159" s="2">
        <v>45.49</v>
      </c>
      <c r="BS159" s="2" t="s">
        <v>493</v>
      </c>
      <c r="BT159" s="2">
        <v>15.28</v>
      </c>
      <c r="BU159" s="2" t="s">
        <v>493</v>
      </c>
      <c r="BV159" s="2">
        <v>115370.61</v>
      </c>
      <c r="BW159" s="2" t="s">
        <v>493</v>
      </c>
      <c r="BX159" s="2">
        <v>33.5</v>
      </c>
    </row>
    <row r="160" spans="1:76">
      <c r="A160" s="2" t="s">
        <v>1</v>
      </c>
      <c r="B160" s="2">
        <v>160</v>
      </c>
      <c r="C160" s="2" t="s">
        <v>495</v>
      </c>
      <c r="D160" s="2">
        <v>21.68</v>
      </c>
      <c r="E160" s="2" t="s">
        <v>495</v>
      </c>
      <c r="F160" s="2">
        <v>37.15</v>
      </c>
      <c r="G160" s="2" t="s">
        <v>495</v>
      </c>
      <c r="H160" s="2">
        <v>50.8</v>
      </c>
      <c r="I160" s="2" t="s">
        <v>495</v>
      </c>
      <c r="J160" s="2">
        <v>16.09</v>
      </c>
      <c r="K160" s="2" t="s">
        <v>495</v>
      </c>
      <c r="L160" s="2">
        <v>21.59</v>
      </c>
      <c r="M160" s="2" t="s">
        <v>495</v>
      </c>
      <c r="N160" s="2">
        <v>13.37</v>
      </c>
      <c r="O160" s="2" t="s">
        <v>495</v>
      </c>
      <c r="P160" s="2">
        <v>31.47</v>
      </c>
      <c r="Q160" s="2" t="s">
        <v>495</v>
      </c>
      <c r="R160" s="2">
        <v>31.12</v>
      </c>
      <c r="S160" s="2" t="s">
        <v>495</v>
      </c>
      <c r="T160" s="2">
        <v>20.45</v>
      </c>
      <c r="U160" s="2" t="s">
        <v>495</v>
      </c>
      <c r="V160" s="2" t="s">
        <v>94</v>
      </c>
      <c r="W160" s="2" t="s">
        <v>495</v>
      </c>
      <c r="X160" s="2">
        <v>114.01</v>
      </c>
      <c r="Y160" s="2" t="s">
        <v>495</v>
      </c>
      <c r="Z160" s="2">
        <v>31.52</v>
      </c>
      <c r="AA160" s="2" t="s">
        <v>496</v>
      </c>
      <c r="AB160" s="2">
        <v>22.27</v>
      </c>
      <c r="AC160" s="2" t="s">
        <v>495</v>
      </c>
      <c r="AD160" s="2">
        <v>23.95</v>
      </c>
      <c r="AE160" s="2" t="s">
        <v>495</v>
      </c>
      <c r="AF160" s="2">
        <v>32.1</v>
      </c>
      <c r="AG160" s="2" t="s">
        <v>495</v>
      </c>
      <c r="AH160" s="2">
        <v>53.07</v>
      </c>
      <c r="AI160" s="2" t="s">
        <v>495</v>
      </c>
      <c r="AJ160" s="2" t="s">
        <v>463</v>
      </c>
      <c r="AK160" s="2" t="s">
        <v>495</v>
      </c>
      <c r="AL160" s="2">
        <v>8.58</v>
      </c>
      <c r="AM160" s="2" t="s">
        <v>495</v>
      </c>
      <c r="AN160" s="2">
        <v>100.9</v>
      </c>
      <c r="AO160" s="2" t="s">
        <v>495</v>
      </c>
      <c r="AP160" s="2">
        <v>114.15</v>
      </c>
      <c r="AQ160" s="2" t="s">
        <v>495</v>
      </c>
      <c r="AR160" s="2">
        <v>11.44</v>
      </c>
      <c r="AS160" s="2" t="s">
        <v>495</v>
      </c>
      <c r="AT160" s="2" t="s">
        <v>497</v>
      </c>
      <c r="AU160" s="2" t="s">
        <v>495</v>
      </c>
      <c r="AV160" s="2" t="s">
        <v>91</v>
      </c>
      <c r="AW160" s="2" t="s">
        <v>495</v>
      </c>
      <c r="AX160" s="2">
        <v>127.64</v>
      </c>
      <c r="AY160" s="2" t="s">
        <v>495</v>
      </c>
      <c r="AZ160" s="2">
        <v>3.92</v>
      </c>
      <c r="BA160" s="2" t="s">
        <v>495</v>
      </c>
      <c r="BB160" s="2" t="s">
        <v>498</v>
      </c>
      <c r="BC160" s="2" t="s">
        <v>495</v>
      </c>
      <c r="BD160" s="2">
        <v>23.9</v>
      </c>
      <c r="BE160" s="2" t="s">
        <v>495</v>
      </c>
      <c r="BF160" s="2">
        <v>25.62</v>
      </c>
      <c r="BG160" s="2" t="s">
        <v>495</v>
      </c>
      <c r="BH160" s="2">
        <v>43.3</v>
      </c>
      <c r="BI160" s="2" t="s">
        <v>495</v>
      </c>
      <c r="BJ160" s="2">
        <v>179.44</v>
      </c>
      <c r="BK160" s="2" t="s">
        <v>495</v>
      </c>
      <c r="BL160" s="2">
        <v>44.56</v>
      </c>
      <c r="BM160" s="2" t="s">
        <v>495</v>
      </c>
      <c r="BN160" s="2">
        <v>49.88</v>
      </c>
      <c r="BO160" s="2" t="s">
        <v>495</v>
      </c>
      <c r="BP160" s="2">
        <v>30.13</v>
      </c>
      <c r="BQ160" s="2" t="s">
        <v>495</v>
      </c>
      <c r="BR160" s="2">
        <v>45.15</v>
      </c>
      <c r="BS160" s="2" t="s">
        <v>495</v>
      </c>
      <c r="BT160" s="2">
        <v>15.83</v>
      </c>
      <c r="BU160" s="2" t="s">
        <v>495</v>
      </c>
      <c r="BV160" s="2">
        <v>116674.13</v>
      </c>
      <c r="BW160" s="2" t="s">
        <v>495</v>
      </c>
      <c r="BX160" s="2">
        <v>33.61</v>
      </c>
    </row>
    <row r="161" spans="1:76">
      <c r="A161" s="2" t="s">
        <v>1</v>
      </c>
      <c r="B161" s="2">
        <v>161</v>
      </c>
      <c r="C161" s="2" t="s">
        <v>496</v>
      </c>
      <c r="D161" s="2">
        <v>21.62</v>
      </c>
      <c r="E161" s="2" t="s">
        <v>496</v>
      </c>
      <c r="F161" s="2">
        <v>37.24</v>
      </c>
      <c r="G161" s="2" t="s">
        <v>496</v>
      </c>
      <c r="H161" s="2">
        <v>50.35</v>
      </c>
      <c r="I161" s="2" t="s">
        <v>496</v>
      </c>
      <c r="J161" s="2">
        <v>15.71</v>
      </c>
      <c r="K161" s="2" t="s">
        <v>496</v>
      </c>
      <c r="L161" s="2">
        <v>21.62</v>
      </c>
      <c r="M161" s="2" t="s">
        <v>496</v>
      </c>
      <c r="N161" s="2">
        <v>13.17</v>
      </c>
      <c r="O161" s="2" t="s">
        <v>496</v>
      </c>
      <c r="P161" s="2">
        <v>30.91</v>
      </c>
      <c r="Q161" s="2" t="s">
        <v>496</v>
      </c>
      <c r="R161" s="2">
        <v>30.55</v>
      </c>
      <c r="S161" s="2" t="s">
        <v>496</v>
      </c>
      <c r="T161" s="2">
        <v>20.52</v>
      </c>
      <c r="U161" s="2" t="s">
        <v>496</v>
      </c>
      <c r="V161" s="2">
        <v>7.22</v>
      </c>
      <c r="W161" s="2" t="s">
        <v>496</v>
      </c>
      <c r="X161" s="2">
        <v>115.09</v>
      </c>
      <c r="Y161" s="2" t="s">
        <v>496</v>
      </c>
      <c r="Z161" s="2">
        <v>31.18</v>
      </c>
      <c r="AA161" s="2" t="s">
        <v>499</v>
      </c>
      <c r="AB161" s="2">
        <v>22.22</v>
      </c>
      <c r="AC161" s="2" t="s">
        <v>496</v>
      </c>
      <c r="AD161" s="2">
        <v>23.7</v>
      </c>
      <c r="AE161" s="2" t="s">
        <v>496</v>
      </c>
      <c r="AF161" s="2">
        <v>31.79</v>
      </c>
      <c r="AG161" s="2" t="s">
        <v>496</v>
      </c>
      <c r="AH161" s="2">
        <v>52.14</v>
      </c>
      <c r="AI161" s="2" t="s">
        <v>496</v>
      </c>
      <c r="AJ161" s="2">
        <v>54.16</v>
      </c>
      <c r="AK161" s="2" t="s">
        <v>496</v>
      </c>
      <c r="AL161" s="2">
        <v>8.6</v>
      </c>
      <c r="AM161" s="2" t="s">
        <v>496</v>
      </c>
      <c r="AN161" s="2">
        <v>99.99</v>
      </c>
      <c r="AO161" s="2" t="s">
        <v>496</v>
      </c>
      <c r="AP161" s="2">
        <v>114.25</v>
      </c>
      <c r="AQ161" s="2" t="s">
        <v>496</v>
      </c>
      <c r="AR161" s="2">
        <v>11.46</v>
      </c>
      <c r="AS161" s="2" t="s">
        <v>496</v>
      </c>
      <c r="AT161" s="2" t="s">
        <v>500</v>
      </c>
      <c r="AU161" s="2" t="s">
        <v>496</v>
      </c>
      <c r="AV161" s="2">
        <v>139.75</v>
      </c>
      <c r="AW161" s="2" t="s">
        <v>496</v>
      </c>
      <c r="AX161" s="2">
        <v>128.4</v>
      </c>
      <c r="AY161" s="2" t="s">
        <v>496</v>
      </c>
      <c r="AZ161" s="2">
        <v>3.92</v>
      </c>
      <c r="BA161" s="2" t="s">
        <v>496</v>
      </c>
      <c r="BB161" s="2">
        <v>185.97</v>
      </c>
      <c r="BC161" s="2" t="s">
        <v>496</v>
      </c>
      <c r="BD161" s="2">
        <v>23.88</v>
      </c>
      <c r="BE161" s="2" t="s">
        <v>496</v>
      </c>
      <c r="BF161" s="2">
        <v>25.5</v>
      </c>
      <c r="BG161" s="2" t="s">
        <v>496</v>
      </c>
      <c r="BH161" s="2">
        <v>42.75</v>
      </c>
      <c r="BI161" s="2" t="s">
        <v>496</v>
      </c>
      <c r="BJ161" s="2" t="s">
        <v>400</v>
      </c>
      <c r="BK161" s="2" t="s">
        <v>496</v>
      </c>
      <c r="BL161" s="2">
        <v>45.57</v>
      </c>
      <c r="BM161" s="2" t="s">
        <v>496</v>
      </c>
      <c r="BN161" s="2">
        <v>49.58</v>
      </c>
      <c r="BO161" s="2" t="s">
        <v>496</v>
      </c>
      <c r="BP161" s="2">
        <v>29.72</v>
      </c>
      <c r="BQ161" s="2" t="s">
        <v>496</v>
      </c>
      <c r="BR161" s="2">
        <v>44.85</v>
      </c>
      <c r="BS161" s="2" t="s">
        <v>496</v>
      </c>
      <c r="BT161" s="2">
        <v>16.010000000000002</v>
      </c>
      <c r="BU161" s="2" t="s">
        <v>496</v>
      </c>
      <c r="BV161" s="2">
        <v>115662.39999999999</v>
      </c>
      <c r="BW161" s="2" t="s">
        <v>496</v>
      </c>
      <c r="BX161" s="2">
        <v>33.92</v>
      </c>
    </row>
    <row r="162" spans="1:76">
      <c r="A162" s="2" t="s">
        <v>1</v>
      </c>
      <c r="B162" s="2">
        <v>162</v>
      </c>
      <c r="C162" s="2" t="s">
        <v>499</v>
      </c>
      <c r="D162" s="2">
        <v>21.21</v>
      </c>
      <c r="E162" s="2" t="s">
        <v>499</v>
      </c>
      <c r="F162" s="2">
        <v>34.479999999999997</v>
      </c>
      <c r="G162" s="2" t="s">
        <v>499</v>
      </c>
      <c r="H162" s="2">
        <v>50.2</v>
      </c>
      <c r="I162" s="2" t="s">
        <v>499</v>
      </c>
      <c r="J162" s="2">
        <v>15.35</v>
      </c>
      <c r="K162" s="2" t="s">
        <v>499</v>
      </c>
      <c r="L162" s="2">
        <v>21.52</v>
      </c>
      <c r="M162" s="2" t="s">
        <v>499</v>
      </c>
      <c r="N162" s="2" t="s">
        <v>64</v>
      </c>
      <c r="O162" s="2" t="s">
        <v>499</v>
      </c>
      <c r="P162" s="2">
        <v>30.51</v>
      </c>
      <c r="Q162" s="2" t="s">
        <v>499</v>
      </c>
      <c r="R162" s="2">
        <v>29.96</v>
      </c>
      <c r="S162" s="2" t="s">
        <v>499</v>
      </c>
      <c r="T162" s="2">
        <v>19.96</v>
      </c>
      <c r="U162" s="2" t="s">
        <v>499</v>
      </c>
      <c r="V162" s="2">
        <v>7.23</v>
      </c>
      <c r="W162" s="2" t="s">
        <v>499</v>
      </c>
      <c r="X162" s="2" t="s">
        <v>95</v>
      </c>
      <c r="Y162" s="2" t="s">
        <v>499</v>
      </c>
      <c r="Z162" s="2">
        <v>31.04</v>
      </c>
      <c r="AA162" s="2" t="s">
        <v>501</v>
      </c>
      <c r="AB162" s="2">
        <v>22.68</v>
      </c>
      <c r="AC162" s="2" t="s">
        <v>499</v>
      </c>
      <c r="AD162" s="2">
        <v>23.68</v>
      </c>
      <c r="AE162" s="2" t="s">
        <v>499</v>
      </c>
      <c r="AF162" s="2">
        <v>31.57</v>
      </c>
      <c r="AG162" s="2" t="s">
        <v>499</v>
      </c>
      <c r="AH162" s="2" t="s">
        <v>130</v>
      </c>
      <c r="AI162" s="2" t="s">
        <v>499</v>
      </c>
      <c r="AJ162" s="2">
        <v>52.86</v>
      </c>
      <c r="AK162" s="2" t="s">
        <v>499</v>
      </c>
      <c r="AL162" s="2">
        <v>8.6</v>
      </c>
      <c r="AM162" s="2" t="s">
        <v>499</v>
      </c>
      <c r="AN162" s="2">
        <v>99.5</v>
      </c>
      <c r="AO162" s="2" t="s">
        <v>499</v>
      </c>
      <c r="AP162" s="2">
        <v>116.99</v>
      </c>
      <c r="AQ162" s="2" t="s">
        <v>499</v>
      </c>
      <c r="AR162" s="2">
        <v>11.49</v>
      </c>
      <c r="AS162" s="2" t="s">
        <v>499</v>
      </c>
      <c r="AT162" s="2" t="s">
        <v>502</v>
      </c>
      <c r="AU162" s="2" t="s">
        <v>499</v>
      </c>
      <c r="AV162" s="2">
        <v>139.74</v>
      </c>
      <c r="AW162" s="2" t="s">
        <v>499</v>
      </c>
      <c r="AX162" s="2" t="s">
        <v>76</v>
      </c>
      <c r="AY162" s="2" t="s">
        <v>499</v>
      </c>
      <c r="AZ162" s="2">
        <v>3.95</v>
      </c>
      <c r="BA162" s="2" t="s">
        <v>499</v>
      </c>
      <c r="BB162" s="2">
        <v>188.57</v>
      </c>
      <c r="BC162" s="2" t="s">
        <v>499</v>
      </c>
      <c r="BD162" s="2">
        <v>23.65</v>
      </c>
      <c r="BE162" s="2" t="s">
        <v>499</v>
      </c>
      <c r="BF162" s="2">
        <v>25.15</v>
      </c>
      <c r="BG162" s="2" t="s">
        <v>499</v>
      </c>
      <c r="BH162" s="2">
        <v>42.55</v>
      </c>
      <c r="BI162" s="2" t="s">
        <v>499</v>
      </c>
      <c r="BJ162" s="2">
        <v>178.8</v>
      </c>
      <c r="BK162" s="2" t="s">
        <v>499</v>
      </c>
      <c r="BL162" s="2">
        <v>45.57</v>
      </c>
      <c r="BM162" s="2" t="s">
        <v>499</v>
      </c>
      <c r="BN162" s="2">
        <v>50.2</v>
      </c>
      <c r="BO162" s="2" t="s">
        <v>499</v>
      </c>
      <c r="BP162" s="2">
        <v>29.42</v>
      </c>
      <c r="BQ162" s="2" t="s">
        <v>499</v>
      </c>
      <c r="BR162" s="2">
        <v>45.5</v>
      </c>
      <c r="BS162" s="2" t="s">
        <v>499</v>
      </c>
      <c r="BT162" s="2">
        <v>16.05</v>
      </c>
      <c r="BU162" s="2" t="s">
        <v>499</v>
      </c>
      <c r="BV162" s="2">
        <v>114380.71</v>
      </c>
      <c r="BW162" s="2" t="s">
        <v>499</v>
      </c>
      <c r="BX162" s="2" t="s">
        <v>365</v>
      </c>
    </row>
    <row r="163" spans="1:76">
      <c r="A163" s="2" t="s">
        <v>1</v>
      </c>
      <c r="B163" s="2">
        <v>163</v>
      </c>
      <c r="C163" s="2" t="s">
        <v>501</v>
      </c>
      <c r="D163" s="2">
        <v>21.45</v>
      </c>
      <c r="E163" s="2" t="s">
        <v>501</v>
      </c>
      <c r="F163" s="2">
        <v>33.729999999999997</v>
      </c>
      <c r="G163" s="2" t="s">
        <v>501</v>
      </c>
      <c r="H163" s="2">
        <v>50.6</v>
      </c>
      <c r="I163" s="2" t="s">
        <v>501</v>
      </c>
      <c r="J163" s="2">
        <v>16.27</v>
      </c>
      <c r="K163" s="2" t="s">
        <v>501</v>
      </c>
      <c r="L163" s="2">
        <v>21.54</v>
      </c>
      <c r="M163" s="2" t="s">
        <v>501</v>
      </c>
      <c r="N163" s="2" t="s">
        <v>64</v>
      </c>
      <c r="O163" s="2" t="s">
        <v>501</v>
      </c>
      <c r="P163" s="2">
        <v>30.35</v>
      </c>
      <c r="Q163" s="2" t="s">
        <v>501</v>
      </c>
      <c r="R163" s="2">
        <v>30.5</v>
      </c>
      <c r="S163" s="2" t="s">
        <v>501</v>
      </c>
      <c r="T163" s="2" t="s">
        <v>92</v>
      </c>
      <c r="U163" s="2" t="s">
        <v>501</v>
      </c>
      <c r="V163" s="2">
        <v>7.24</v>
      </c>
      <c r="W163" s="2" t="s">
        <v>501</v>
      </c>
      <c r="X163" s="2">
        <v>116.78</v>
      </c>
      <c r="Y163" s="2" t="s">
        <v>501</v>
      </c>
      <c r="Z163" s="2">
        <v>31.32</v>
      </c>
      <c r="AA163" s="2" t="s">
        <v>503</v>
      </c>
      <c r="AB163" s="2">
        <v>22.62</v>
      </c>
      <c r="AC163" s="2" t="s">
        <v>501</v>
      </c>
      <c r="AD163" s="2">
        <v>24.24</v>
      </c>
      <c r="AE163" s="2" t="s">
        <v>501</v>
      </c>
      <c r="AF163" s="2">
        <v>31.14</v>
      </c>
      <c r="AG163" s="2" t="s">
        <v>501</v>
      </c>
      <c r="AH163" s="2">
        <v>53.41</v>
      </c>
      <c r="AI163" s="2" t="s">
        <v>501</v>
      </c>
      <c r="AJ163" s="2">
        <v>53.02</v>
      </c>
      <c r="AK163" s="2" t="s">
        <v>501</v>
      </c>
      <c r="AL163" s="2">
        <v>8.6999999999999993</v>
      </c>
      <c r="AM163" s="2" t="s">
        <v>501</v>
      </c>
      <c r="AN163" s="2">
        <v>96.95</v>
      </c>
      <c r="AO163" s="2" t="s">
        <v>501</v>
      </c>
      <c r="AP163" s="2">
        <v>116.5</v>
      </c>
      <c r="AQ163" s="2" t="s">
        <v>501</v>
      </c>
      <c r="AR163" s="2">
        <v>11.36</v>
      </c>
      <c r="AS163" s="2" t="s">
        <v>501</v>
      </c>
      <c r="AT163" s="2" t="s">
        <v>381</v>
      </c>
      <c r="AU163" s="2" t="s">
        <v>501</v>
      </c>
      <c r="AV163" s="2">
        <v>139.69999999999999</v>
      </c>
      <c r="AW163" s="2" t="s">
        <v>501</v>
      </c>
      <c r="AX163" s="2">
        <v>130.5</v>
      </c>
      <c r="AY163" s="2" t="s">
        <v>501</v>
      </c>
      <c r="AZ163" s="2" t="s">
        <v>302</v>
      </c>
      <c r="BA163" s="2" t="s">
        <v>501</v>
      </c>
      <c r="BB163" s="2">
        <v>188.75</v>
      </c>
      <c r="BC163" s="2" t="s">
        <v>501</v>
      </c>
      <c r="BD163" s="2">
        <v>23.61</v>
      </c>
      <c r="BE163" s="2" t="s">
        <v>501</v>
      </c>
      <c r="BF163" s="2">
        <v>25.58</v>
      </c>
      <c r="BG163" s="2" t="s">
        <v>501</v>
      </c>
      <c r="BH163" s="2">
        <v>43.7</v>
      </c>
      <c r="BI163" s="2" t="s">
        <v>501</v>
      </c>
      <c r="BJ163" s="2">
        <v>179.6</v>
      </c>
      <c r="BK163" s="2" t="s">
        <v>501</v>
      </c>
      <c r="BL163" s="2">
        <v>45.78</v>
      </c>
      <c r="BM163" s="2" t="s">
        <v>501</v>
      </c>
      <c r="BN163" s="2">
        <v>51.69</v>
      </c>
      <c r="BO163" s="2" t="s">
        <v>501</v>
      </c>
      <c r="BP163" s="2">
        <v>29.36</v>
      </c>
      <c r="BQ163" s="2" t="s">
        <v>501</v>
      </c>
      <c r="BR163" s="2" t="s">
        <v>83</v>
      </c>
      <c r="BS163" s="2" t="s">
        <v>501</v>
      </c>
      <c r="BT163" s="2">
        <v>15.81</v>
      </c>
      <c r="BU163" s="2" t="s">
        <v>501</v>
      </c>
      <c r="BV163" s="2">
        <v>115309.08</v>
      </c>
      <c r="BW163" s="2" t="s">
        <v>501</v>
      </c>
      <c r="BX163" s="2">
        <v>34.630000000000003</v>
      </c>
    </row>
    <row r="164" spans="1:76">
      <c r="A164" s="2" t="s">
        <v>1</v>
      </c>
      <c r="B164" s="2">
        <v>164</v>
      </c>
      <c r="C164" s="2" t="s">
        <v>503</v>
      </c>
      <c r="D164" s="2">
        <v>21.03</v>
      </c>
      <c r="E164" s="2" t="s">
        <v>503</v>
      </c>
      <c r="F164" s="2">
        <v>33.33</v>
      </c>
      <c r="G164" s="2" t="s">
        <v>503</v>
      </c>
      <c r="H164" s="2">
        <v>50.85</v>
      </c>
      <c r="I164" s="2" t="s">
        <v>503</v>
      </c>
      <c r="J164" s="2">
        <v>15.97</v>
      </c>
      <c r="K164" s="2" t="s">
        <v>503</v>
      </c>
      <c r="L164" s="2">
        <v>21.6</v>
      </c>
      <c r="M164" s="2" t="s">
        <v>503</v>
      </c>
      <c r="N164" s="2">
        <v>13.19</v>
      </c>
      <c r="O164" s="2" t="s">
        <v>503</v>
      </c>
      <c r="P164" s="2">
        <v>30.32</v>
      </c>
      <c r="Q164" s="2" t="s">
        <v>503</v>
      </c>
      <c r="R164" s="2">
        <v>29.99</v>
      </c>
      <c r="S164" s="2" t="s">
        <v>503</v>
      </c>
      <c r="T164" s="2">
        <v>20.190000000000001</v>
      </c>
      <c r="U164" s="2" t="s">
        <v>503</v>
      </c>
      <c r="V164" s="2">
        <v>7.2</v>
      </c>
      <c r="W164" s="2" t="s">
        <v>503</v>
      </c>
      <c r="X164" s="2" t="s">
        <v>141</v>
      </c>
      <c r="Y164" s="2" t="s">
        <v>503</v>
      </c>
      <c r="Z164" s="2">
        <v>31.39</v>
      </c>
      <c r="AA164" s="2" t="s">
        <v>504</v>
      </c>
      <c r="AB164" s="2">
        <v>22.8</v>
      </c>
      <c r="AC164" s="2" t="s">
        <v>503</v>
      </c>
      <c r="AD164" s="2">
        <v>23.77</v>
      </c>
      <c r="AE164" s="2" t="s">
        <v>503</v>
      </c>
      <c r="AF164" s="2">
        <v>31.1</v>
      </c>
      <c r="AG164" s="2" t="s">
        <v>503</v>
      </c>
      <c r="AH164" s="2">
        <v>52.8</v>
      </c>
      <c r="AI164" s="2" t="s">
        <v>503</v>
      </c>
      <c r="AJ164" s="2">
        <v>51.58</v>
      </c>
      <c r="AK164" s="2" t="s">
        <v>503</v>
      </c>
      <c r="AL164" s="2">
        <v>8.75</v>
      </c>
      <c r="AM164" s="2" t="s">
        <v>503</v>
      </c>
      <c r="AN164" s="2" t="s">
        <v>505</v>
      </c>
      <c r="AO164" s="2" t="s">
        <v>503</v>
      </c>
      <c r="AP164" s="2">
        <v>116.3</v>
      </c>
      <c r="AQ164" s="2" t="s">
        <v>503</v>
      </c>
      <c r="AR164" s="2">
        <v>11.29</v>
      </c>
      <c r="AS164" s="2" t="s">
        <v>503</v>
      </c>
      <c r="AT164" s="2" t="s">
        <v>202</v>
      </c>
      <c r="AU164" s="2" t="s">
        <v>503</v>
      </c>
      <c r="AV164" s="2">
        <v>139.69999999999999</v>
      </c>
      <c r="AW164" s="2" t="s">
        <v>503</v>
      </c>
      <c r="AX164" s="2">
        <v>130.1</v>
      </c>
      <c r="AY164" s="2" t="s">
        <v>503</v>
      </c>
      <c r="AZ164" s="2" t="s">
        <v>302</v>
      </c>
      <c r="BA164" s="2" t="s">
        <v>503</v>
      </c>
      <c r="BB164" s="2">
        <v>186.26</v>
      </c>
      <c r="BC164" s="2" t="s">
        <v>503</v>
      </c>
      <c r="BD164" s="2">
        <v>23.9</v>
      </c>
      <c r="BE164" s="2" t="s">
        <v>503</v>
      </c>
      <c r="BF164" s="2">
        <v>25.75</v>
      </c>
      <c r="BG164" s="2" t="s">
        <v>503</v>
      </c>
      <c r="BH164" s="2">
        <v>43.85</v>
      </c>
      <c r="BI164" s="2" t="s">
        <v>503</v>
      </c>
      <c r="BJ164" s="2">
        <v>170.49</v>
      </c>
      <c r="BK164" s="2" t="s">
        <v>503</v>
      </c>
      <c r="BL164" s="2">
        <v>44.7</v>
      </c>
      <c r="BM164" s="2" t="s">
        <v>503</v>
      </c>
      <c r="BN164" s="2">
        <v>51.13</v>
      </c>
      <c r="BO164" s="2" t="s">
        <v>503</v>
      </c>
      <c r="BP164" s="2">
        <v>29.75</v>
      </c>
      <c r="BQ164" s="2" t="s">
        <v>503</v>
      </c>
      <c r="BR164" s="2">
        <v>46.95</v>
      </c>
      <c r="BS164" s="2" t="s">
        <v>503</v>
      </c>
      <c r="BT164" s="2">
        <v>15.75</v>
      </c>
      <c r="BU164" s="2" t="s">
        <v>503</v>
      </c>
      <c r="BV164" s="2">
        <v>114977.29</v>
      </c>
      <c r="BW164" s="2" t="s">
        <v>503</v>
      </c>
      <c r="BX164" s="2">
        <v>35.4</v>
      </c>
    </row>
    <row r="165" spans="1:76">
      <c r="A165" s="2" t="s">
        <v>1</v>
      </c>
      <c r="B165" s="2">
        <v>165</v>
      </c>
      <c r="C165" s="2" t="s">
        <v>504</v>
      </c>
      <c r="D165" s="2">
        <v>21.62</v>
      </c>
      <c r="E165" s="2" t="s">
        <v>504</v>
      </c>
      <c r="F165" s="2">
        <v>33.979999999999997</v>
      </c>
      <c r="G165" s="2" t="s">
        <v>504</v>
      </c>
      <c r="H165" s="2">
        <v>50.89</v>
      </c>
      <c r="I165" s="2" t="s">
        <v>504</v>
      </c>
      <c r="J165" s="2">
        <v>16.010000000000002</v>
      </c>
      <c r="K165" s="2" t="s">
        <v>504</v>
      </c>
      <c r="L165" s="2">
        <v>22.09</v>
      </c>
      <c r="M165" s="2" t="s">
        <v>504</v>
      </c>
      <c r="N165" s="2">
        <v>13.34</v>
      </c>
      <c r="O165" s="2" t="s">
        <v>504</v>
      </c>
      <c r="P165" s="2">
        <v>30.62</v>
      </c>
      <c r="Q165" s="2" t="s">
        <v>504</v>
      </c>
      <c r="R165" s="2">
        <v>30.14</v>
      </c>
      <c r="S165" s="2" t="s">
        <v>504</v>
      </c>
      <c r="T165" s="2">
        <v>20.39</v>
      </c>
      <c r="U165" s="2" t="s">
        <v>504</v>
      </c>
      <c r="V165" s="2">
        <v>7.34</v>
      </c>
      <c r="W165" s="2" t="s">
        <v>504</v>
      </c>
      <c r="X165" s="2">
        <v>115.55</v>
      </c>
      <c r="Y165" s="2" t="s">
        <v>504</v>
      </c>
      <c r="Z165" s="2">
        <v>31.47</v>
      </c>
      <c r="AA165" s="2" t="s">
        <v>506</v>
      </c>
      <c r="AB165" s="2">
        <v>22.38</v>
      </c>
      <c r="AC165" s="2" t="s">
        <v>504</v>
      </c>
      <c r="AD165" s="2">
        <v>24.13</v>
      </c>
      <c r="AE165" s="2" t="s">
        <v>504</v>
      </c>
      <c r="AF165" s="2" t="s">
        <v>133</v>
      </c>
      <c r="AG165" s="2" t="s">
        <v>504</v>
      </c>
      <c r="AH165" s="2">
        <v>52.81</v>
      </c>
      <c r="AI165" s="2" t="s">
        <v>504</v>
      </c>
      <c r="AJ165" s="2">
        <v>51.87</v>
      </c>
      <c r="AK165" s="2" t="s">
        <v>504</v>
      </c>
      <c r="AL165" s="2">
        <v>8.85</v>
      </c>
      <c r="AM165" s="2" t="s">
        <v>504</v>
      </c>
      <c r="AN165" s="2">
        <v>100.22</v>
      </c>
      <c r="AO165" s="2" t="s">
        <v>504</v>
      </c>
      <c r="AP165" s="2">
        <v>116.3</v>
      </c>
      <c r="AQ165" s="2" t="s">
        <v>504</v>
      </c>
      <c r="AR165" s="2">
        <v>11.18</v>
      </c>
      <c r="AS165" s="2" t="s">
        <v>504</v>
      </c>
      <c r="AT165" s="2" t="s">
        <v>507</v>
      </c>
      <c r="AU165" s="2" t="s">
        <v>504</v>
      </c>
      <c r="AV165" s="2">
        <v>138.19999999999999</v>
      </c>
      <c r="AW165" s="2" t="s">
        <v>504</v>
      </c>
      <c r="AX165" s="2" t="s">
        <v>76</v>
      </c>
      <c r="AY165" s="2" t="s">
        <v>504</v>
      </c>
      <c r="AZ165" s="2">
        <v>3.96</v>
      </c>
      <c r="BA165" s="2" t="s">
        <v>504</v>
      </c>
      <c r="BB165" s="2" t="s">
        <v>451</v>
      </c>
      <c r="BC165" s="2" t="s">
        <v>504</v>
      </c>
      <c r="BD165" s="2">
        <v>24.2</v>
      </c>
      <c r="BE165" s="2" t="s">
        <v>504</v>
      </c>
      <c r="BF165" s="2">
        <v>27.29</v>
      </c>
      <c r="BG165" s="2" t="s">
        <v>504</v>
      </c>
      <c r="BH165" s="2" t="s">
        <v>83</v>
      </c>
      <c r="BI165" s="2" t="s">
        <v>504</v>
      </c>
      <c r="BJ165" s="2">
        <v>166.65</v>
      </c>
      <c r="BK165" s="2" t="s">
        <v>504</v>
      </c>
      <c r="BL165" s="2">
        <v>48.82</v>
      </c>
      <c r="BM165" s="2" t="s">
        <v>504</v>
      </c>
      <c r="BN165" s="2">
        <v>53.13</v>
      </c>
      <c r="BO165" s="2" t="s">
        <v>504</v>
      </c>
      <c r="BP165" s="2">
        <v>30.55</v>
      </c>
      <c r="BQ165" s="2" t="s">
        <v>504</v>
      </c>
      <c r="BR165" s="2">
        <v>47.05</v>
      </c>
      <c r="BS165" s="2" t="s">
        <v>504</v>
      </c>
      <c r="BT165" s="2">
        <v>15.75</v>
      </c>
      <c r="BU165" s="2" t="s">
        <v>504</v>
      </c>
      <c r="BV165" s="2">
        <v>116517.59</v>
      </c>
      <c r="BW165" s="2" t="s">
        <v>504</v>
      </c>
      <c r="BX165" s="2">
        <v>35.15</v>
      </c>
    </row>
    <row r="166" spans="1:76">
      <c r="A166" s="2" t="s">
        <v>1</v>
      </c>
      <c r="B166" s="2">
        <v>166</v>
      </c>
      <c r="C166" s="2" t="s">
        <v>506</v>
      </c>
      <c r="D166" s="2">
        <v>21.7</v>
      </c>
      <c r="E166" s="2" t="s">
        <v>506</v>
      </c>
      <c r="F166" s="2">
        <v>33.44</v>
      </c>
      <c r="G166" s="2" t="s">
        <v>506</v>
      </c>
      <c r="H166" s="2">
        <v>49.37</v>
      </c>
      <c r="I166" s="2" t="s">
        <v>506</v>
      </c>
      <c r="J166" s="2">
        <v>16.53</v>
      </c>
      <c r="K166" s="2" t="s">
        <v>506</v>
      </c>
      <c r="L166" s="2">
        <v>21.45</v>
      </c>
      <c r="M166" s="2" t="s">
        <v>506</v>
      </c>
      <c r="N166" s="2">
        <v>13.25</v>
      </c>
      <c r="O166" s="2" t="s">
        <v>506</v>
      </c>
      <c r="P166" s="2">
        <v>30.59</v>
      </c>
      <c r="Q166" s="2" t="s">
        <v>506</v>
      </c>
      <c r="R166" s="2">
        <v>30.24</v>
      </c>
      <c r="S166" s="2" t="s">
        <v>506</v>
      </c>
      <c r="T166" s="2">
        <v>20.46</v>
      </c>
      <c r="U166" s="2" t="s">
        <v>506</v>
      </c>
      <c r="V166" s="2">
        <v>7.27</v>
      </c>
      <c r="W166" s="2" t="s">
        <v>506</v>
      </c>
      <c r="X166" s="2" t="s">
        <v>110</v>
      </c>
      <c r="Y166" s="2" t="s">
        <v>506</v>
      </c>
      <c r="Z166" s="2">
        <v>30.77</v>
      </c>
      <c r="AA166" s="2" t="s">
        <v>508</v>
      </c>
      <c r="AB166" s="2">
        <v>22.45</v>
      </c>
      <c r="AC166" s="2" t="s">
        <v>506</v>
      </c>
      <c r="AD166" s="2">
        <v>24.66</v>
      </c>
      <c r="AE166" s="2" t="s">
        <v>506</v>
      </c>
      <c r="AF166" s="2">
        <v>31.87</v>
      </c>
      <c r="AG166" s="2" t="s">
        <v>506</v>
      </c>
      <c r="AH166" s="2">
        <v>52.2</v>
      </c>
      <c r="AI166" s="2" t="s">
        <v>506</v>
      </c>
      <c r="AJ166" s="2">
        <v>51.16</v>
      </c>
      <c r="AK166" s="2" t="s">
        <v>506</v>
      </c>
      <c r="AL166" s="2">
        <v>8.7799999999999994</v>
      </c>
      <c r="AM166" s="2" t="s">
        <v>506</v>
      </c>
      <c r="AN166" s="2" t="s">
        <v>86</v>
      </c>
      <c r="AO166" s="2" t="s">
        <v>506</v>
      </c>
      <c r="AP166" s="2" t="s">
        <v>107</v>
      </c>
      <c r="AQ166" s="2" t="s">
        <v>506</v>
      </c>
      <c r="AR166" s="2">
        <v>11.24</v>
      </c>
      <c r="AS166" s="2" t="s">
        <v>506</v>
      </c>
      <c r="AT166" s="2">
        <v>1264.8</v>
      </c>
      <c r="AU166" s="2" t="s">
        <v>506</v>
      </c>
      <c r="AV166" s="2">
        <v>137.9</v>
      </c>
      <c r="AW166" s="2" t="s">
        <v>506</v>
      </c>
      <c r="AX166" s="2">
        <v>128.4</v>
      </c>
      <c r="AY166" s="2" t="s">
        <v>506</v>
      </c>
      <c r="AZ166" s="2">
        <v>3.9</v>
      </c>
      <c r="BA166" s="2" t="s">
        <v>506</v>
      </c>
      <c r="BB166" s="2" t="s">
        <v>494</v>
      </c>
      <c r="BC166" s="2" t="s">
        <v>506</v>
      </c>
      <c r="BD166" s="2">
        <v>23.71</v>
      </c>
      <c r="BE166" s="2" t="s">
        <v>506</v>
      </c>
      <c r="BF166" s="2">
        <v>26.28</v>
      </c>
      <c r="BG166" s="2" t="s">
        <v>506</v>
      </c>
      <c r="BH166" s="2">
        <v>44.3</v>
      </c>
      <c r="BI166" s="2" t="s">
        <v>506</v>
      </c>
      <c r="BJ166" s="2">
        <v>166.5</v>
      </c>
      <c r="BK166" s="2" t="s">
        <v>506</v>
      </c>
      <c r="BL166" s="2">
        <v>47.49</v>
      </c>
      <c r="BM166" s="2" t="s">
        <v>506</v>
      </c>
      <c r="BN166" s="2">
        <v>52.31</v>
      </c>
      <c r="BO166" s="2" t="s">
        <v>506</v>
      </c>
      <c r="BP166" s="2">
        <v>29.92</v>
      </c>
      <c r="BQ166" s="2" t="s">
        <v>506</v>
      </c>
      <c r="BR166" s="2">
        <v>47.98</v>
      </c>
      <c r="BS166" s="2" t="s">
        <v>506</v>
      </c>
      <c r="BT166" s="2">
        <v>15.59</v>
      </c>
      <c r="BU166" s="2" t="s">
        <v>506</v>
      </c>
      <c r="BV166" s="2">
        <v>114586.24000000001</v>
      </c>
      <c r="BW166" s="2" t="s">
        <v>506</v>
      </c>
      <c r="BX166" s="2">
        <v>34.700000000000003</v>
      </c>
    </row>
    <row r="167" spans="1:76">
      <c r="A167" s="2" t="s">
        <v>1</v>
      </c>
      <c r="B167" s="2">
        <v>167</v>
      </c>
      <c r="C167" s="2" t="s">
        <v>508</v>
      </c>
      <c r="D167" s="2">
        <v>21.41</v>
      </c>
      <c r="E167" s="2" t="s">
        <v>508</v>
      </c>
      <c r="F167" s="2" t="s">
        <v>101</v>
      </c>
      <c r="G167" s="2" t="s">
        <v>508</v>
      </c>
      <c r="H167" s="2">
        <v>50.14</v>
      </c>
      <c r="I167" s="2" t="s">
        <v>508</v>
      </c>
      <c r="J167" s="2">
        <v>16.600000000000001</v>
      </c>
      <c r="K167" s="2" t="s">
        <v>508</v>
      </c>
      <c r="L167" s="2">
        <v>21.66</v>
      </c>
      <c r="M167" s="2" t="s">
        <v>508</v>
      </c>
      <c r="N167" s="2">
        <v>12.81</v>
      </c>
      <c r="O167" s="2" t="s">
        <v>508</v>
      </c>
      <c r="P167" s="2">
        <v>29.38</v>
      </c>
      <c r="Q167" s="2" t="s">
        <v>508</v>
      </c>
      <c r="R167" s="2">
        <v>30.09</v>
      </c>
      <c r="S167" s="2" t="s">
        <v>508</v>
      </c>
      <c r="T167" s="2">
        <v>20.51</v>
      </c>
      <c r="U167" s="2" t="s">
        <v>508</v>
      </c>
      <c r="V167" s="2">
        <v>7.33</v>
      </c>
      <c r="W167" s="2" t="s">
        <v>508</v>
      </c>
      <c r="X167" s="2" t="s">
        <v>99</v>
      </c>
      <c r="Y167" s="2" t="s">
        <v>508</v>
      </c>
      <c r="Z167" s="2">
        <v>30.8</v>
      </c>
      <c r="AA167" s="2" t="s">
        <v>509</v>
      </c>
      <c r="AB167" s="2">
        <v>21.76</v>
      </c>
      <c r="AC167" s="2" t="s">
        <v>508</v>
      </c>
      <c r="AD167" s="2">
        <v>24.51</v>
      </c>
      <c r="AE167" s="2" t="s">
        <v>508</v>
      </c>
      <c r="AF167" s="2">
        <v>31.25</v>
      </c>
      <c r="AG167" s="2" t="s">
        <v>508</v>
      </c>
      <c r="AH167" s="2">
        <v>50.13</v>
      </c>
      <c r="AI167" s="2" t="s">
        <v>508</v>
      </c>
      <c r="AJ167" s="2">
        <v>52.59</v>
      </c>
      <c r="AK167" s="2" t="s">
        <v>508</v>
      </c>
      <c r="AL167" s="2">
        <v>8.65</v>
      </c>
      <c r="AM167" s="2" t="s">
        <v>508</v>
      </c>
      <c r="AN167" s="2">
        <v>101.09</v>
      </c>
      <c r="AO167" s="2" t="s">
        <v>508</v>
      </c>
      <c r="AP167" s="2">
        <v>116.2</v>
      </c>
      <c r="AQ167" s="2" t="s">
        <v>508</v>
      </c>
      <c r="AR167" s="2">
        <v>11.38</v>
      </c>
      <c r="AS167" s="2" t="s">
        <v>508</v>
      </c>
      <c r="AT167" s="2" t="s">
        <v>510</v>
      </c>
      <c r="AU167" s="2" t="s">
        <v>508</v>
      </c>
      <c r="AV167" s="2">
        <v>138.63</v>
      </c>
      <c r="AW167" s="2" t="s">
        <v>508</v>
      </c>
      <c r="AX167" s="2" t="s">
        <v>76</v>
      </c>
      <c r="AY167" s="2" t="s">
        <v>508</v>
      </c>
      <c r="AZ167" s="2">
        <v>3.97</v>
      </c>
      <c r="BA167" s="2" t="s">
        <v>508</v>
      </c>
      <c r="BB167" s="2">
        <v>178.5</v>
      </c>
      <c r="BC167" s="2" t="s">
        <v>508</v>
      </c>
      <c r="BD167" s="2">
        <v>23.77</v>
      </c>
      <c r="BE167" s="2" t="s">
        <v>508</v>
      </c>
      <c r="BF167" s="2">
        <v>26.64</v>
      </c>
      <c r="BG167" s="2" t="s">
        <v>508</v>
      </c>
      <c r="BH167" s="2">
        <v>43.85</v>
      </c>
      <c r="BI167" s="2" t="s">
        <v>508</v>
      </c>
      <c r="BJ167" s="2">
        <v>170.42</v>
      </c>
      <c r="BK167" s="2" t="s">
        <v>508</v>
      </c>
      <c r="BL167" s="2">
        <v>49.8</v>
      </c>
      <c r="BM167" s="2" t="s">
        <v>508</v>
      </c>
      <c r="BN167" s="2">
        <v>52.05</v>
      </c>
      <c r="BO167" s="2" t="s">
        <v>508</v>
      </c>
      <c r="BP167" s="2">
        <v>29.14</v>
      </c>
      <c r="BQ167" s="2" t="s">
        <v>508</v>
      </c>
      <c r="BR167" s="2">
        <v>47.96</v>
      </c>
      <c r="BS167" s="2" t="s">
        <v>508</v>
      </c>
      <c r="BT167" s="2">
        <v>15.57</v>
      </c>
      <c r="BU167" s="2" t="s">
        <v>508</v>
      </c>
      <c r="BV167" s="2">
        <v>113681.42</v>
      </c>
      <c r="BW167" s="2" t="s">
        <v>508</v>
      </c>
      <c r="BX167" s="2">
        <v>34.61</v>
      </c>
    </row>
    <row r="168" spans="1:76">
      <c r="A168" s="2" t="s">
        <v>1</v>
      </c>
      <c r="B168" s="2">
        <v>168</v>
      </c>
      <c r="C168" s="2" t="s">
        <v>509</v>
      </c>
      <c r="D168" s="2">
        <v>20.11</v>
      </c>
      <c r="E168" s="2" t="s">
        <v>509</v>
      </c>
      <c r="F168" s="2">
        <v>31.73</v>
      </c>
      <c r="G168" s="2" t="s">
        <v>509</v>
      </c>
      <c r="H168" s="2">
        <v>47.99</v>
      </c>
      <c r="I168" s="2" t="s">
        <v>509</v>
      </c>
      <c r="J168" s="2">
        <v>13.99</v>
      </c>
      <c r="K168" s="2" t="s">
        <v>509</v>
      </c>
      <c r="L168" s="2">
        <v>20.8</v>
      </c>
      <c r="M168" s="2" t="s">
        <v>509</v>
      </c>
      <c r="N168" s="2">
        <v>12.07</v>
      </c>
      <c r="O168" s="2" t="s">
        <v>509</v>
      </c>
      <c r="P168" s="2">
        <v>28.19</v>
      </c>
      <c r="Q168" s="2" t="s">
        <v>509</v>
      </c>
      <c r="R168" s="2">
        <v>28.13</v>
      </c>
      <c r="S168" s="2" t="s">
        <v>509</v>
      </c>
      <c r="T168" s="2">
        <v>19.190000000000001</v>
      </c>
      <c r="U168" s="2" t="s">
        <v>509</v>
      </c>
      <c r="V168" s="2">
        <v>6.97</v>
      </c>
      <c r="W168" s="2" t="s">
        <v>509</v>
      </c>
      <c r="X168" s="2">
        <v>110.21</v>
      </c>
      <c r="Y168" s="2" t="s">
        <v>509</v>
      </c>
      <c r="Z168" s="2">
        <v>29.7</v>
      </c>
      <c r="AA168" s="2" t="s">
        <v>511</v>
      </c>
      <c r="AB168" s="2">
        <v>21.71</v>
      </c>
      <c r="AC168" s="2" t="s">
        <v>509</v>
      </c>
      <c r="AD168" s="2">
        <v>22.75</v>
      </c>
      <c r="AE168" s="2" t="s">
        <v>509</v>
      </c>
      <c r="AF168" s="2">
        <v>29.7</v>
      </c>
      <c r="AG168" s="2" t="s">
        <v>509</v>
      </c>
      <c r="AH168" s="2">
        <v>45.35</v>
      </c>
      <c r="AI168" s="2" t="s">
        <v>509</v>
      </c>
      <c r="AJ168" s="2">
        <v>50.5</v>
      </c>
      <c r="AK168" s="2" t="s">
        <v>509</v>
      </c>
      <c r="AL168" s="2" t="s">
        <v>62</v>
      </c>
      <c r="AM168" s="2" t="s">
        <v>509</v>
      </c>
      <c r="AN168" s="2">
        <v>98.28</v>
      </c>
      <c r="AO168" s="2" t="s">
        <v>509</v>
      </c>
      <c r="AP168" s="2">
        <v>113.6</v>
      </c>
      <c r="AQ168" s="2" t="s">
        <v>509</v>
      </c>
      <c r="AR168" s="2">
        <v>11.16</v>
      </c>
      <c r="AS168" s="2" t="s">
        <v>509</v>
      </c>
      <c r="AT168" s="2">
        <v>1235.0999999999999</v>
      </c>
      <c r="AU168" s="2" t="s">
        <v>509</v>
      </c>
      <c r="AV168" s="2">
        <v>135.5</v>
      </c>
      <c r="AW168" s="2" t="s">
        <v>509</v>
      </c>
      <c r="AX168" s="2">
        <v>126.5</v>
      </c>
      <c r="AY168" s="2" t="s">
        <v>509</v>
      </c>
      <c r="AZ168" s="2">
        <v>3.87</v>
      </c>
      <c r="BA168" s="2" t="s">
        <v>509</v>
      </c>
      <c r="BB168" s="2">
        <v>177.87</v>
      </c>
      <c r="BC168" s="2" t="s">
        <v>509</v>
      </c>
      <c r="BD168" s="2">
        <v>22.03</v>
      </c>
      <c r="BE168" s="2" t="s">
        <v>509</v>
      </c>
      <c r="BF168" s="2">
        <v>23.99</v>
      </c>
      <c r="BG168" s="2" t="s">
        <v>509</v>
      </c>
      <c r="BH168" s="2">
        <v>41.6</v>
      </c>
      <c r="BI168" s="2" t="s">
        <v>509</v>
      </c>
      <c r="BJ168" s="2">
        <v>169.9</v>
      </c>
      <c r="BK168" s="2" t="s">
        <v>509</v>
      </c>
      <c r="BL168" s="2">
        <v>46.83</v>
      </c>
      <c r="BM168" s="2" t="s">
        <v>509</v>
      </c>
      <c r="BN168" s="2">
        <v>47.95</v>
      </c>
      <c r="BO168" s="2" t="s">
        <v>509</v>
      </c>
      <c r="BP168" s="2">
        <v>26.21</v>
      </c>
      <c r="BQ168" s="2" t="s">
        <v>509</v>
      </c>
      <c r="BR168" s="2">
        <v>40.9</v>
      </c>
      <c r="BS168" s="2" t="s">
        <v>509</v>
      </c>
      <c r="BT168" s="2">
        <v>14.93</v>
      </c>
      <c r="BU168" s="2" t="s">
        <v>509</v>
      </c>
      <c r="BV168" s="2">
        <v>105718.29</v>
      </c>
      <c r="BW168" s="2" t="s">
        <v>509</v>
      </c>
      <c r="BX168" s="2">
        <v>33.26</v>
      </c>
    </row>
    <row r="169" spans="1:76">
      <c r="A169" s="2" t="s">
        <v>1</v>
      </c>
      <c r="B169" s="2">
        <v>169</v>
      </c>
      <c r="C169" s="2" t="s">
        <v>511</v>
      </c>
      <c r="D169" s="2">
        <v>19.63</v>
      </c>
      <c r="E169" s="2" t="s">
        <v>511</v>
      </c>
      <c r="F169" s="2">
        <v>31.47</v>
      </c>
      <c r="G169" s="2" t="s">
        <v>511</v>
      </c>
      <c r="H169" s="2">
        <v>46.4</v>
      </c>
      <c r="I169" s="2" t="s">
        <v>511</v>
      </c>
      <c r="J169" s="2">
        <v>13.53</v>
      </c>
      <c r="K169" s="2" t="s">
        <v>511</v>
      </c>
      <c r="L169" s="2">
        <v>20.09</v>
      </c>
      <c r="M169" s="2" t="s">
        <v>511</v>
      </c>
      <c r="N169" s="2">
        <v>11.87</v>
      </c>
      <c r="O169" s="2" t="s">
        <v>511</v>
      </c>
      <c r="P169" s="2">
        <v>28.17</v>
      </c>
      <c r="Q169" s="2" t="s">
        <v>511</v>
      </c>
      <c r="R169" s="2">
        <v>27.36</v>
      </c>
      <c r="S169" s="2" t="s">
        <v>511</v>
      </c>
      <c r="T169" s="2">
        <v>18.170000000000002</v>
      </c>
      <c r="U169" s="2" t="s">
        <v>511</v>
      </c>
      <c r="V169" s="2">
        <v>6.74</v>
      </c>
      <c r="W169" s="2" t="s">
        <v>511</v>
      </c>
      <c r="X169" s="2">
        <v>110.6</v>
      </c>
      <c r="Y169" s="2" t="s">
        <v>511</v>
      </c>
      <c r="Z169" s="2">
        <v>29.44</v>
      </c>
      <c r="AA169" s="2" t="s">
        <v>512</v>
      </c>
      <c r="AB169" s="2">
        <v>22.04</v>
      </c>
      <c r="AC169" s="2" t="s">
        <v>511</v>
      </c>
      <c r="AD169" s="2">
        <v>22.15</v>
      </c>
      <c r="AE169" s="2" t="s">
        <v>511</v>
      </c>
      <c r="AF169" s="2">
        <v>28.05</v>
      </c>
      <c r="AG169" s="2" t="s">
        <v>511</v>
      </c>
      <c r="AH169" s="2">
        <v>44.47</v>
      </c>
      <c r="AI169" s="2" t="s">
        <v>511</v>
      </c>
      <c r="AJ169" s="2">
        <v>48.06</v>
      </c>
      <c r="AK169" s="2" t="s">
        <v>511</v>
      </c>
      <c r="AL169" s="2">
        <v>7.86</v>
      </c>
      <c r="AM169" s="2" t="s">
        <v>511</v>
      </c>
      <c r="AN169" s="2">
        <v>98.5</v>
      </c>
      <c r="AO169" s="2" t="s">
        <v>511</v>
      </c>
      <c r="AP169" s="2">
        <v>113.52</v>
      </c>
      <c r="AQ169" s="2" t="s">
        <v>511</v>
      </c>
      <c r="AR169" s="2">
        <v>11.2</v>
      </c>
      <c r="AS169" s="2" t="s">
        <v>511</v>
      </c>
      <c r="AT169" s="2">
        <v>1240.05</v>
      </c>
      <c r="AU169" s="2" t="s">
        <v>511</v>
      </c>
      <c r="AV169" s="2">
        <v>135.9</v>
      </c>
      <c r="AW169" s="2" t="s">
        <v>511</v>
      </c>
      <c r="AX169" s="2" t="s">
        <v>63</v>
      </c>
      <c r="AY169" s="2" t="s">
        <v>511</v>
      </c>
      <c r="AZ169" s="2">
        <v>3.84</v>
      </c>
      <c r="BA169" s="2" t="s">
        <v>511</v>
      </c>
      <c r="BB169" s="2">
        <v>178.21</v>
      </c>
      <c r="BC169" s="2" t="s">
        <v>511</v>
      </c>
      <c r="BD169" s="2">
        <v>21.39</v>
      </c>
      <c r="BE169" s="2" t="s">
        <v>511</v>
      </c>
      <c r="BF169" s="2">
        <v>22.95</v>
      </c>
      <c r="BG169" s="2" t="s">
        <v>511</v>
      </c>
      <c r="BH169" s="2">
        <v>39.6</v>
      </c>
      <c r="BI169" s="2" t="s">
        <v>511</v>
      </c>
      <c r="BJ169" s="2">
        <v>170.18</v>
      </c>
      <c r="BK169" s="2" t="s">
        <v>511</v>
      </c>
      <c r="BL169" s="2">
        <v>43.97</v>
      </c>
      <c r="BM169" s="2" t="s">
        <v>511</v>
      </c>
      <c r="BN169" s="2">
        <v>46.04</v>
      </c>
      <c r="BO169" s="2" t="s">
        <v>511</v>
      </c>
      <c r="BP169" s="2">
        <v>25.3</v>
      </c>
      <c r="BQ169" s="2" t="s">
        <v>511</v>
      </c>
      <c r="BR169" s="2">
        <v>39.799999999999997</v>
      </c>
      <c r="BS169" s="2" t="s">
        <v>511</v>
      </c>
      <c r="BT169" s="2">
        <v>14.72</v>
      </c>
      <c r="BU169" s="2" t="s">
        <v>511</v>
      </c>
      <c r="BV169" s="2">
        <v>102983.54</v>
      </c>
      <c r="BW169" s="2" t="s">
        <v>511</v>
      </c>
      <c r="BX169" s="2">
        <v>32.5</v>
      </c>
    </row>
    <row r="170" spans="1:76">
      <c r="A170" s="2" t="s">
        <v>1</v>
      </c>
      <c r="B170" s="2">
        <v>170</v>
      </c>
      <c r="C170" s="2" t="s">
        <v>512</v>
      </c>
      <c r="D170" s="2">
        <v>19.98</v>
      </c>
      <c r="E170" s="2" t="s">
        <v>512</v>
      </c>
      <c r="F170" s="2">
        <v>31.85</v>
      </c>
      <c r="G170" s="2" t="s">
        <v>512</v>
      </c>
      <c r="H170" s="2">
        <v>47.53</v>
      </c>
      <c r="I170" s="2" t="s">
        <v>512</v>
      </c>
      <c r="J170" s="2">
        <v>13.29</v>
      </c>
      <c r="K170" s="2" t="s">
        <v>512</v>
      </c>
      <c r="L170" s="2">
        <v>20.43</v>
      </c>
      <c r="M170" s="2" t="s">
        <v>512</v>
      </c>
      <c r="N170" s="2">
        <v>12.01</v>
      </c>
      <c r="O170" s="2" t="s">
        <v>512</v>
      </c>
      <c r="P170" s="2">
        <v>28.61</v>
      </c>
      <c r="Q170" s="2" t="s">
        <v>512</v>
      </c>
      <c r="R170" s="2">
        <v>26.95</v>
      </c>
      <c r="S170" s="2" t="s">
        <v>512</v>
      </c>
      <c r="T170" s="2">
        <v>19.489999999999998</v>
      </c>
      <c r="U170" s="2" t="s">
        <v>512</v>
      </c>
      <c r="V170" s="2">
        <v>6.6</v>
      </c>
      <c r="W170" s="2" t="s">
        <v>512</v>
      </c>
      <c r="X170" s="2">
        <v>110.4</v>
      </c>
      <c r="Y170" s="2" t="s">
        <v>512</v>
      </c>
      <c r="Z170" s="2">
        <v>29.99</v>
      </c>
      <c r="AA170" s="2" t="s">
        <v>513</v>
      </c>
      <c r="AB170" s="2">
        <v>22.38</v>
      </c>
      <c r="AC170" s="2" t="s">
        <v>512</v>
      </c>
      <c r="AD170" s="2">
        <v>21.89</v>
      </c>
      <c r="AE170" s="2" t="s">
        <v>512</v>
      </c>
      <c r="AF170" s="2">
        <v>26.8</v>
      </c>
      <c r="AG170" s="2" t="s">
        <v>512</v>
      </c>
      <c r="AH170" s="2">
        <v>44.31</v>
      </c>
      <c r="AI170" s="2" t="s">
        <v>512</v>
      </c>
      <c r="AJ170" s="2">
        <v>48.6</v>
      </c>
      <c r="AK170" s="2" t="s">
        <v>512</v>
      </c>
      <c r="AL170" s="2">
        <v>7.9</v>
      </c>
      <c r="AM170" s="2" t="s">
        <v>512</v>
      </c>
      <c r="AN170" s="2">
        <v>98.17</v>
      </c>
      <c r="AO170" s="2" t="s">
        <v>512</v>
      </c>
      <c r="AP170" s="2">
        <v>114.24</v>
      </c>
      <c r="AQ170" s="2" t="s">
        <v>512</v>
      </c>
      <c r="AR170" s="2">
        <v>11.2</v>
      </c>
      <c r="AS170" s="2" t="s">
        <v>512</v>
      </c>
      <c r="AT170" s="2" t="s">
        <v>204</v>
      </c>
      <c r="AU170" s="2" t="s">
        <v>512</v>
      </c>
      <c r="AV170" s="2">
        <v>136.13</v>
      </c>
      <c r="AW170" s="2" t="s">
        <v>512</v>
      </c>
      <c r="AX170" s="2">
        <v>128.19999999999999</v>
      </c>
      <c r="AY170" s="2" t="s">
        <v>512</v>
      </c>
      <c r="AZ170" s="2">
        <v>3.71</v>
      </c>
      <c r="BA170" s="2" t="s">
        <v>512</v>
      </c>
      <c r="BB170" s="2">
        <v>177.04</v>
      </c>
      <c r="BC170" s="2" t="s">
        <v>512</v>
      </c>
      <c r="BD170" s="2">
        <v>21.16</v>
      </c>
      <c r="BE170" s="2" t="s">
        <v>512</v>
      </c>
      <c r="BF170" s="2">
        <v>22.51</v>
      </c>
      <c r="BG170" s="2" t="s">
        <v>512</v>
      </c>
      <c r="BH170" s="2" t="s">
        <v>109</v>
      </c>
      <c r="BI170" s="2" t="s">
        <v>512</v>
      </c>
      <c r="BJ170" s="2">
        <v>170.95</v>
      </c>
      <c r="BK170" s="2" t="s">
        <v>512</v>
      </c>
      <c r="BL170" s="2">
        <v>43.15</v>
      </c>
      <c r="BM170" s="2" t="s">
        <v>512</v>
      </c>
      <c r="BN170" s="2" t="s">
        <v>135</v>
      </c>
      <c r="BO170" s="2" t="s">
        <v>512</v>
      </c>
      <c r="BP170" s="2">
        <v>25.34</v>
      </c>
      <c r="BQ170" s="2" t="s">
        <v>512</v>
      </c>
      <c r="BR170" s="2">
        <v>39.4</v>
      </c>
      <c r="BS170" s="2" t="s">
        <v>512</v>
      </c>
      <c r="BT170" s="2">
        <v>15.21</v>
      </c>
      <c r="BU170" s="2" t="s">
        <v>512</v>
      </c>
      <c r="BV170" s="2">
        <v>104171.57</v>
      </c>
      <c r="BW170" s="2" t="s">
        <v>512</v>
      </c>
      <c r="BX170" s="2">
        <v>32.6</v>
      </c>
    </row>
    <row r="171" spans="1:76">
      <c r="A171" s="2" t="s">
        <v>1</v>
      </c>
      <c r="B171" s="2">
        <v>171</v>
      </c>
      <c r="C171" s="2" t="s">
        <v>513</v>
      </c>
      <c r="D171" s="2">
        <v>19.809999999999999</v>
      </c>
      <c r="E171" s="2" t="s">
        <v>513</v>
      </c>
      <c r="F171" s="2">
        <v>31.6</v>
      </c>
      <c r="G171" s="2" t="s">
        <v>513</v>
      </c>
      <c r="H171" s="2">
        <v>48.5</v>
      </c>
      <c r="I171" s="2" t="s">
        <v>513</v>
      </c>
      <c r="J171" s="2">
        <v>13.61</v>
      </c>
      <c r="K171" s="2" t="s">
        <v>513</v>
      </c>
      <c r="L171" s="2">
        <v>20.84</v>
      </c>
      <c r="M171" s="2" t="s">
        <v>513</v>
      </c>
      <c r="N171" s="2">
        <v>12.31</v>
      </c>
      <c r="O171" s="2" t="s">
        <v>513</v>
      </c>
      <c r="P171" s="2">
        <v>28.6</v>
      </c>
      <c r="Q171" s="2" t="s">
        <v>513</v>
      </c>
      <c r="R171" s="2">
        <v>28.06</v>
      </c>
      <c r="S171" s="2" t="s">
        <v>513</v>
      </c>
      <c r="T171" s="2">
        <v>19.32</v>
      </c>
      <c r="U171" s="2" t="s">
        <v>513</v>
      </c>
      <c r="V171" s="2">
        <v>6.98</v>
      </c>
      <c r="W171" s="2" t="s">
        <v>513</v>
      </c>
      <c r="X171" s="2">
        <v>108.99</v>
      </c>
      <c r="Y171" s="2" t="s">
        <v>513</v>
      </c>
      <c r="Z171" s="2">
        <v>30.27</v>
      </c>
      <c r="AA171" s="2" t="s">
        <v>514</v>
      </c>
      <c r="AB171" s="2">
        <v>22.19</v>
      </c>
      <c r="AC171" s="2" t="s">
        <v>513</v>
      </c>
      <c r="AD171" s="2">
        <v>22.01</v>
      </c>
      <c r="AE171" s="2" t="s">
        <v>513</v>
      </c>
      <c r="AF171" s="2">
        <v>29.22</v>
      </c>
      <c r="AG171" s="2" t="s">
        <v>513</v>
      </c>
      <c r="AH171" s="2">
        <v>46.36</v>
      </c>
      <c r="AI171" s="2" t="s">
        <v>513</v>
      </c>
      <c r="AJ171" s="2">
        <v>51.4</v>
      </c>
      <c r="AK171" s="2" t="s">
        <v>513</v>
      </c>
      <c r="AL171" s="2">
        <v>8.1300000000000008</v>
      </c>
      <c r="AM171" s="2" t="s">
        <v>513</v>
      </c>
      <c r="AN171" s="2">
        <v>99.5</v>
      </c>
      <c r="AO171" s="2" t="s">
        <v>513</v>
      </c>
      <c r="AP171" s="2">
        <v>114.5</v>
      </c>
      <c r="AQ171" s="2" t="s">
        <v>513</v>
      </c>
      <c r="AR171" s="2">
        <v>11.16</v>
      </c>
      <c r="AS171" s="2" t="s">
        <v>513</v>
      </c>
      <c r="AT171" s="2">
        <v>1232.01</v>
      </c>
      <c r="AU171" s="2" t="s">
        <v>513</v>
      </c>
      <c r="AV171" s="2">
        <v>137.22999999999999</v>
      </c>
      <c r="AW171" s="2" t="s">
        <v>513</v>
      </c>
      <c r="AX171" s="2" t="s">
        <v>63</v>
      </c>
      <c r="AY171" s="2" t="s">
        <v>513</v>
      </c>
      <c r="AZ171" s="2">
        <v>3.85</v>
      </c>
      <c r="BA171" s="2" t="s">
        <v>513</v>
      </c>
      <c r="BB171" s="2">
        <v>178.31</v>
      </c>
      <c r="BC171" s="2" t="s">
        <v>513</v>
      </c>
      <c r="BD171" s="2">
        <v>21.38</v>
      </c>
      <c r="BE171" s="2" t="s">
        <v>513</v>
      </c>
      <c r="BF171" s="2">
        <v>23.3</v>
      </c>
      <c r="BG171" s="2" t="s">
        <v>513</v>
      </c>
      <c r="BH171" s="2">
        <v>44.35</v>
      </c>
      <c r="BI171" s="2" t="s">
        <v>513</v>
      </c>
      <c r="BJ171" s="2" t="s">
        <v>389</v>
      </c>
      <c r="BK171" s="2" t="s">
        <v>513</v>
      </c>
      <c r="BL171" s="2">
        <v>46.99</v>
      </c>
      <c r="BM171" s="2" t="s">
        <v>513</v>
      </c>
      <c r="BN171" s="2" t="s">
        <v>515</v>
      </c>
      <c r="BO171" s="2" t="s">
        <v>513</v>
      </c>
      <c r="BP171" s="2">
        <v>26.53</v>
      </c>
      <c r="BQ171" s="2" t="s">
        <v>513</v>
      </c>
      <c r="BR171" s="2">
        <v>42.3</v>
      </c>
      <c r="BS171" s="2" t="s">
        <v>513</v>
      </c>
      <c r="BT171" s="2">
        <v>18.8</v>
      </c>
      <c r="BU171" s="2" t="s">
        <v>513</v>
      </c>
      <c r="BV171" s="2">
        <v>106625.41</v>
      </c>
      <c r="BW171" s="2" t="s">
        <v>513</v>
      </c>
      <c r="BX171" s="2">
        <v>33.950000000000003</v>
      </c>
    </row>
    <row r="172" spans="1:76">
      <c r="A172" s="2" t="s">
        <v>1</v>
      </c>
      <c r="B172" s="2">
        <v>172</v>
      </c>
      <c r="C172" s="2" t="s">
        <v>514</v>
      </c>
      <c r="D172" s="2">
        <v>19.399999999999999</v>
      </c>
      <c r="E172" s="2" t="s">
        <v>514</v>
      </c>
      <c r="F172" s="2">
        <v>30.63</v>
      </c>
      <c r="G172" s="2" t="s">
        <v>514</v>
      </c>
      <c r="H172" s="2">
        <v>48.53</v>
      </c>
      <c r="I172" s="2" t="s">
        <v>514</v>
      </c>
      <c r="J172" s="2">
        <v>13.58</v>
      </c>
      <c r="K172" s="2" t="s">
        <v>514</v>
      </c>
      <c r="L172" s="2">
        <v>20.41</v>
      </c>
      <c r="M172" s="2" t="s">
        <v>514</v>
      </c>
      <c r="N172" s="2">
        <v>12.13</v>
      </c>
      <c r="O172" s="2" t="s">
        <v>514</v>
      </c>
      <c r="P172" s="2">
        <v>28.31</v>
      </c>
      <c r="Q172" s="2" t="s">
        <v>514</v>
      </c>
      <c r="R172" s="2">
        <v>27.8</v>
      </c>
      <c r="S172" s="2" t="s">
        <v>514</v>
      </c>
      <c r="T172" s="2">
        <v>18.670000000000002</v>
      </c>
      <c r="U172" s="2" t="s">
        <v>514</v>
      </c>
      <c r="V172" s="2">
        <v>7.02</v>
      </c>
      <c r="W172" s="2" t="s">
        <v>514</v>
      </c>
      <c r="X172" s="2">
        <v>109.41</v>
      </c>
      <c r="Y172" s="2" t="s">
        <v>514</v>
      </c>
      <c r="Z172" s="2" t="s">
        <v>58</v>
      </c>
      <c r="AA172" s="2" t="s">
        <v>516</v>
      </c>
      <c r="AB172" s="2">
        <v>23.5</v>
      </c>
      <c r="AC172" s="2" t="s">
        <v>514</v>
      </c>
      <c r="AD172" s="2">
        <v>21.6</v>
      </c>
      <c r="AE172" s="2" t="s">
        <v>514</v>
      </c>
      <c r="AF172" s="2">
        <v>28.6</v>
      </c>
      <c r="AG172" s="2" t="s">
        <v>514</v>
      </c>
      <c r="AH172" s="2">
        <v>46.35</v>
      </c>
      <c r="AI172" s="2" t="s">
        <v>514</v>
      </c>
      <c r="AJ172" s="2">
        <v>51.9</v>
      </c>
      <c r="AK172" s="2" t="s">
        <v>514</v>
      </c>
      <c r="AL172" s="2">
        <v>7.9</v>
      </c>
      <c r="AM172" s="2" t="s">
        <v>514</v>
      </c>
      <c r="AN172" s="2">
        <v>99.88</v>
      </c>
      <c r="AO172" s="2" t="s">
        <v>514</v>
      </c>
      <c r="AP172" s="2">
        <v>114.06</v>
      </c>
      <c r="AQ172" s="2" t="s">
        <v>514</v>
      </c>
      <c r="AR172" s="2">
        <v>11.31</v>
      </c>
      <c r="AS172" s="2" t="s">
        <v>514</v>
      </c>
      <c r="AT172" s="2" t="s">
        <v>517</v>
      </c>
      <c r="AU172" s="2" t="s">
        <v>514</v>
      </c>
      <c r="AV172" s="2">
        <v>137.5</v>
      </c>
      <c r="AW172" s="2" t="s">
        <v>514</v>
      </c>
      <c r="AX172" s="2">
        <v>127.98</v>
      </c>
      <c r="AY172" s="2" t="s">
        <v>514</v>
      </c>
      <c r="AZ172" s="2">
        <v>3.8</v>
      </c>
      <c r="BA172" s="2" t="s">
        <v>514</v>
      </c>
      <c r="BB172" s="2">
        <v>179.35</v>
      </c>
      <c r="BC172" s="2" t="s">
        <v>514</v>
      </c>
      <c r="BD172" s="2">
        <v>20.65</v>
      </c>
      <c r="BE172" s="2" t="s">
        <v>514</v>
      </c>
      <c r="BF172" s="2">
        <v>22.9</v>
      </c>
      <c r="BG172" s="2" t="s">
        <v>514</v>
      </c>
      <c r="BH172" s="2">
        <v>41.9</v>
      </c>
      <c r="BI172" s="2" t="s">
        <v>514</v>
      </c>
      <c r="BJ172" s="2">
        <v>172.95</v>
      </c>
      <c r="BK172" s="2" t="s">
        <v>514</v>
      </c>
      <c r="BL172" s="2">
        <v>47.92</v>
      </c>
      <c r="BM172" s="2" t="s">
        <v>514</v>
      </c>
      <c r="BN172" s="2">
        <v>49.61</v>
      </c>
      <c r="BO172" s="2" t="s">
        <v>514</v>
      </c>
      <c r="BP172" s="2">
        <v>26.05</v>
      </c>
      <c r="BQ172" s="2" t="s">
        <v>514</v>
      </c>
      <c r="BR172" s="2">
        <v>41.78</v>
      </c>
      <c r="BS172" s="2" t="s">
        <v>514</v>
      </c>
      <c r="BT172" s="2">
        <v>18.71</v>
      </c>
      <c r="BU172" s="2" t="s">
        <v>514</v>
      </c>
      <c r="BV172" s="2">
        <v>105537.14</v>
      </c>
      <c r="BW172" s="2" t="s">
        <v>514</v>
      </c>
      <c r="BX172" s="2">
        <v>34.11</v>
      </c>
    </row>
    <row r="173" spans="1:76">
      <c r="A173" s="2" t="s">
        <v>1</v>
      </c>
      <c r="B173" s="2">
        <v>173</v>
      </c>
      <c r="C173" s="2" t="s">
        <v>516</v>
      </c>
      <c r="D173" s="2">
        <v>19.3</v>
      </c>
      <c r="E173" s="2" t="s">
        <v>516</v>
      </c>
      <c r="F173" s="2">
        <v>31.04</v>
      </c>
      <c r="G173" s="2" t="s">
        <v>516</v>
      </c>
      <c r="H173" s="2">
        <v>50.8</v>
      </c>
      <c r="I173" s="2" t="s">
        <v>516</v>
      </c>
      <c r="J173" s="2" t="s">
        <v>64</v>
      </c>
      <c r="K173" s="2" t="s">
        <v>516</v>
      </c>
      <c r="L173" s="2">
        <v>21.48</v>
      </c>
      <c r="M173" s="2" t="s">
        <v>516</v>
      </c>
      <c r="N173" s="2">
        <v>12.2</v>
      </c>
      <c r="O173" s="2" t="s">
        <v>516</v>
      </c>
      <c r="P173" s="2">
        <v>28.6</v>
      </c>
      <c r="Q173" s="2" t="s">
        <v>516</v>
      </c>
      <c r="R173" s="2">
        <v>28.4</v>
      </c>
      <c r="S173" s="2" t="s">
        <v>516</v>
      </c>
      <c r="T173" s="2">
        <v>19.04</v>
      </c>
      <c r="U173" s="2" t="s">
        <v>516</v>
      </c>
      <c r="V173" s="2">
        <v>7.35</v>
      </c>
      <c r="W173" s="2" t="s">
        <v>516</v>
      </c>
      <c r="X173" s="2">
        <v>111.5</v>
      </c>
      <c r="Y173" s="2" t="s">
        <v>516</v>
      </c>
      <c r="Z173" s="2">
        <v>30.99</v>
      </c>
      <c r="AA173" s="2" t="s">
        <v>518</v>
      </c>
      <c r="AB173" s="2">
        <v>22.65</v>
      </c>
      <c r="AC173" s="2" t="s">
        <v>516</v>
      </c>
      <c r="AD173" s="2">
        <v>22.2</v>
      </c>
      <c r="AE173" s="2" t="s">
        <v>516</v>
      </c>
      <c r="AF173" s="2">
        <v>28.45</v>
      </c>
      <c r="AG173" s="2" t="s">
        <v>516</v>
      </c>
      <c r="AH173" s="2">
        <v>48.57</v>
      </c>
      <c r="AI173" s="2" t="s">
        <v>516</v>
      </c>
      <c r="AJ173" s="2">
        <v>53.67</v>
      </c>
      <c r="AK173" s="2" t="s">
        <v>516</v>
      </c>
      <c r="AL173" s="2">
        <v>7.94</v>
      </c>
      <c r="AM173" s="2" t="s">
        <v>516</v>
      </c>
      <c r="AN173" s="2">
        <v>99.45</v>
      </c>
      <c r="AO173" s="2" t="s">
        <v>516</v>
      </c>
      <c r="AP173" s="2">
        <v>114.78</v>
      </c>
      <c r="AQ173" s="2" t="s">
        <v>516</v>
      </c>
      <c r="AR173" s="2">
        <v>11.3</v>
      </c>
      <c r="AS173" s="2" t="s">
        <v>516</v>
      </c>
      <c r="AT173" s="2">
        <v>1257.8800000000001</v>
      </c>
      <c r="AU173" s="2" t="s">
        <v>516</v>
      </c>
      <c r="AV173" s="2">
        <v>137.1</v>
      </c>
      <c r="AW173" s="2" t="s">
        <v>516</v>
      </c>
      <c r="AX173" s="2">
        <v>127.2</v>
      </c>
      <c r="AY173" s="2" t="s">
        <v>516</v>
      </c>
      <c r="AZ173" s="2">
        <v>3.79</v>
      </c>
      <c r="BA173" s="2" t="s">
        <v>516</v>
      </c>
      <c r="BB173" s="2">
        <v>182.45</v>
      </c>
      <c r="BC173" s="2" t="s">
        <v>516</v>
      </c>
      <c r="BD173" s="2">
        <v>21.6</v>
      </c>
      <c r="BE173" s="2" t="s">
        <v>516</v>
      </c>
      <c r="BF173" s="2">
        <v>22.89</v>
      </c>
      <c r="BG173" s="2" t="s">
        <v>516</v>
      </c>
      <c r="BH173" s="2">
        <v>41.53</v>
      </c>
      <c r="BI173" s="2" t="s">
        <v>516</v>
      </c>
      <c r="BJ173" s="2">
        <v>171.35</v>
      </c>
      <c r="BK173" s="2" t="s">
        <v>516</v>
      </c>
      <c r="BL173" s="2">
        <v>48.46</v>
      </c>
      <c r="BM173" s="2" t="s">
        <v>516</v>
      </c>
      <c r="BN173" s="2">
        <v>49.79</v>
      </c>
      <c r="BO173" s="2" t="s">
        <v>516</v>
      </c>
      <c r="BP173" s="2">
        <v>26.89</v>
      </c>
      <c r="BQ173" s="2" t="s">
        <v>516</v>
      </c>
      <c r="BR173" s="2">
        <v>41.33</v>
      </c>
      <c r="BS173" s="2" t="s">
        <v>516</v>
      </c>
      <c r="BT173" s="2">
        <v>19.5</v>
      </c>
      <c r="BU173" s="2" t="s">
        <v>516</v>
      </c>
      <c r="BV173" s="2">
        <v>107224.22</v>
      </c>
      <c r="BW173" s="2" t="s">
        <v>516</v>
      </c>
      <c r="BX173" s="2">
        <v>35.67</v>
      </c>
    </row>
    <row r="174" spans="1:76">
      <c r="A174" s="2" t="s">
        <v>1</v>
      </c>
      <c r="B174" s="2">
        <v>174</v>
      </c>
      <c r="C174" s="2" t="s">
        <v>518</v>
      </c>
      <c r="D174" s="2">
        <v>18.350000000000001</v>
      </c>
      <c r="E174" s="2" t="s">
        <v>518</v>
      </c>
      <c r="F174" s="2">
        <v>30.44</v>
      </c>
      <c r="G174" s="2" t="s">
        <v>518</v>
      </c>
      <c r="H174" s="2">
        <v>48.8</v>
      </c>
      <c r="I174" s="2" t="s">
        <v>518</v>
      </c>
      <c r="J174" s="2">
        <v>13.11</v>
      </c>
      <c r="K174" s="2" t="s">
        <v>518</v>
      </c>
      <c r="L174" s="2">
        <v>20.81</v>
      </c>
      <c r="M174" s="2" t="s">
        <v>518</v>
      </c>
      <c r="N174" s="2">
        <v>11.83</v>
      </c>
      <c r="O174" s="2" t="s">
        <v>518</v>
      </c>
      <c r="P174" s="2">
        <v>28.12</v>
      </c>
      <c r="Q174" s="2" t="s">
        <v>518</v>
      </c>
      <c r="R174" s="2">
        <v>26.21</v>
      </c>
      <c r="S174" s="2" t="s">
        <v>518</v>
      </c>
      <c r="T174" s="2">
        <v>17.27</v>
      </c>
      <c r="U174" s="2" t="s">
        <v>518</v>
      </c>
      <c r="V174" s="2">
        <v>7.16</v>
      </c>
      <c r="W174" s="2" t="s">
        <v>518</v>
      </c>
      <c r="X174" s="2" t="s">
        <v>122</v>
      </c>
      <c r="Y174" s="2" t="s">
        <v>518</v>
      </c>
      <c r="Z174" s="2">
        <v>29.91</v>
      </c>
      <c r="AA174" s="2" t="s">
        <v>519</v>
      </c>
      <c r="AB174" s="2">
        <v>22.45</v>
      </c>
      <c r="AC174" s="2" t="s">
        <v>518</v>
      </c>
      <c r="AD174" s="2">
        <v>20.94</v>
      </c>
      <c r="AE174" s="2" t="s">
        <v>518</v>
      </c>
      <c r="AF174" s="2">
        <v>26.5</v>
      </c>
      <c r="AG174" s="2" t="s">
        <v>518</v>
      </c>
      <c r="AH174" s="2">
        <v>46.85</v>
      </c>
      <c r="AI174" s="2" t="s">
        <v>518</v>
      </c>
      <c r="AJ174" s="2">
        <v>52.19</v>
      </c>
      <c r="AK174" s="2" t="s">
        <v>518</v>
      </c>
      <c r="AL174" s="2">
        <v>7.28</v>
      </c>
      <c r="AM174" s="2" t="s">
        <v>518</v>
      </c>
      <c r="AN174" s="2" t="s">
        <v>520</v>
      </c>
      <c r="AO174" s="2" t="s">
        <v>518</v>
      </c>
      <c r="AP174" s="2" t="s">
        <v>99</v>
      </c>
      <c r="AQ174" s="2" t="s">
        <v>518</v>
      </c>
      <c r="AR174" s="2">
        <v>11.2</v>
      </c>
      <c r="AS174" s="2" t="s">
        <v>518</v>
      </c>
      <c r="AT174" s="2">
        <v>1256.01</v>
      </c>
      <c r="AU174" s="2" t="s">
        <v>518</v>
      </c>
      <c r="AV174" s="2">
        <v>135.6</v>
      </c>
      <c r="AW174" s="2" t="s">
        <v>518</v>
      </c>
      <c r="AX174" s="2">
        <v>126.3</v>
      </c>
      <c r="AY174" s="2" t="s">
        <v>518</v>
      </c>
      <c r="AZ174" s="2">
        <v>3.7</v>
      </c>
      <c r="BA174" s="2" t="s">
        <v>518</v>
      </c>
      <c r="BB174" s="2">
        <v>180.5</v>
      </c>
      <c r="BC174" s="2" t="s">
        <v>518</v>
      </c>
      <c r="BD174" s="2">
        <v>20.25</v>
      </c>
      <c r="BE174" s="2" t="s">
        <v>518</v>
      </c>
      <c r="BF174" s="2" t="s">
        <v>68</v>
      </c>
      <c r="BG174" s="2" t="s">
        <v>518</v>
      </c>
      <c r="BH174" s="2">
        <v>38.43</v>
      </c>
      <c r="BI174" s="2" t="s">
        <v>518</v>
      </c>
      <c r="BJ174" s="2">
        <v>171.04</v>
      </c>
      <c r="BK174" s="2" t="s">
        <v>518</v>
      </c>
      <c r="BL174" s="2">
        <v>46.7</v>
      </c>
      <c r="BM174" s="2" t="s">
        <v>518</v>
      </c>
      <c r="BN174" s="2">
        <v>47.11</v>
      </c>
      <c r="BO174" s="2" t="s">
        <v>518</v>
      </c>
      <c r="BP174" s="2">
        <v>25.29</v>
      </c>
      <c r="BQ174" s="2" t="s">
        <v>518</v>
      </c>
      <c r="BR174" s="2">
        <v>39.549999999999997</v>
      </c>
      <c r="BS174" s="2" t="s">
        <v>518</v>
      </c>
      <c r="BT174" s="2">
        <v>18.57</v>
      </c>
      <c r="BU174" s="2" t="s">
        <v>518</v>
      </c>
      <c r="BV174" s="2">
        <v>102233.24</v>
      </c>
      <c r="BW174" s="2" t="s">
        <v>518</v>
      </c>
      <c r="BX174" s="2">
        <v>34.229999999999997</v>
      </c>
    </row>
    <row r="175" spans="1:76">
      <c r="A175" s="2" t="s">
        <v>1</v>
      </c>
      <c r="B175" s="2">
        <v>175</v>
      </c>
      <c r="C175" s="2" t="s">
        <v>519</v>
      </c>
      <c r="D175" s="2" t="s">
        <v>69</v>
      </c>
      <c r="E175" s="2" t="s">
        <v>519</v>
      </c>
      <c r="F175" s="2">
        <v>30.48</v>
      </c>
      <c r="G175" s="2" t="s">
        <v>519</v>
      </c>
      <c r="H175" s="2" t="s">
        <v>135</v>
      </c>
      <c r="I175" s="2" t="s">
        <v>519</v>
      </c>
      <c r="J175" s="2">
        <v>12.41</v>
      </c>
      <c r="K175" s="2" t="s">
        <v>519</v>
      </c>
      <c r="L175" s="2">
        <v>20.170000000000002</v>
      </c>
      <c r="M175" s="2" t="s">
        <v>519</v>
      </c>
      <c r="N175" s="2">
        <v>11.56</v>
      </c>
      <c r="O175" s="2" t="s">
        <v>519</v>
      </c>
      <c r="P175" s="2">
        <v>27.21</v>
      </c>
      <c r="Q175" s="2" t="s">
        <v>519</v>
      </c>
      <c r="R175" s="2">
        <v>26.01</v>
      </c>
      <c r="S175" s="2" t="s">
        <v>519</v>
      </c>
      <c r="T175" s="2">
        <v>17.3</v>
      </c>
      <c r="U175" s="2" t="s">
        <v>519</v>
      </c>
      <c r="V175" s="2">
        <v>6.73</v>
      </c>
      <c r="W175" s="2" t="s">
        <v>519</v>
      </c>
      <c r="X175" s="2">
        <v>107.5</v>
      </c>
      <c r="Y175" s="2" t="s">
        <v>519</v>
      </c>
      <c r="Z175" s="2">
        <v>29.74</v>
      </c>
      <c r="AA175" s="2" t="s">
        <v>521</v>
      </c>
      <c r="AB175" s="2">
        <v>21.6</v>
      </c>
      <c r="AC175" s="2" t="s">
        <v>519</v>
      </c>
      <c r="AD175" s="2">
        <v>20.03</v>
      </c>
      <c r="AE175" s="2" t="s">
        <v>519</v>
      </c>
      <c r="AF175" s="2">
        <v>26.81</v>
      </c>
      <c r="AG175" s="2" t="s">
        <v>519</v>
      </c>
      <c r="AH175" s="2">
        <v>44.61</v>
      </c>
      <c r="AI175" s="2" t="s">
        <v>519</v>
      </c>
      <c r="AJ175" s="2">
        <v>51.14</v>
      </c>
      <c r="AK175" s="2" t="s">
        <v>519</v>
      </c>
      <c r="AL175" s="2">
        <v>7.08</v>
      </c>
      <c r="AM175" s="2" t="s">
        <v>519</v>
      </c>
      <c r="AN175" s="2">
        <v>98.45</v>
      </c>
      <c r="AO175" s="2" t="s">
        <v>519</v>
      </c>
      <c r="AP175" s="2">
        <v>113.1</v>
      </c>
      <c r="AQ175" s="2" t="s">
        <v>519</v>
      </c>
      <c r="AR175" s="2">
        <v>11.18</v>
      </c>
      <c r="AS175" s="2" t="s">
        <v>519</v>
      </c>
      <c r="AT175" s="2">
        <v>1221.3699999999999</v>
      </c>
      <c r="AU175" s="2" t="s">
        <v>519</v>
      </c>
      <c r="AV175" s="2" t="s">
        <v>437</v>
      </c>
      <c r="AW175" s="2" t="s">
        <v>519</v>
      </c>
      <c r="AX175" s="2" t="s">
        <v>369</v>
      </c>
      <c r="AY175" s="2" t="s">
        <v>519</v>
      </c>
      <c r="AZ175" s="2">
        <v>3.62</v>
      </c>
      <c r="BA175" s="2" t="s">
        <v>519</v>
      </c>
      <c r="BB175" s="2">
        <v>178.04</v>
      </c>
      <c r="BC175" s="2" t="s">
        <v>519</v>
      </c>
      <c r="BD175" s="2">
        <v>19.149999999999999</v>
      </c>
      <c r="BE175" s="2" t="s">
        <v>519</v>
      </c>
      <c r="BF175" s="2">
        <v>20.260000000000002</v>
      </c>
      <c r="BG175" s="2" t="s">
        <v>519</v>
      </c>
      <c r="BH175" s="2">
        <v>38.4</v>
      </c>
      <c r="BI175" s="2" t="s">
        <v>519</v>
      </c>
      <c r="BJ175" s="2">
        <v>170.49</v>
      </c>
      <c r="BK175" s="2" t="s">
        <v>519</v>
      </c>
      <c r="BL175" s="2">
        <v>44.02</v>
      </c>
      <c r="BM175" s="2" t="s">
        <v>519</v>
      </c>
      <c r="BN175" s="2">
        <v>46.48</v>
      </c>
      <c r="BO175" s="2" t="s">
        <v>519</v>
      </c>
      <c r="BP175" s="2">
        <v>22.83</v>
      </c>
      <c r="BQ175" s="2" t="s">
        <v>519</v>
      </c>
      <c r="BR175" s="2">
        <v>35.44</v>
      </c>
      <c r="BS175" s="2" t="s">
        <v>519</v>
      </c>
      <c r="BT175" s="2">
        <v>17.649999999999999</v>
      </c>
      <c r="BU175" s="2" t="s">
        <v>519</v>
      </c>
      <c r="BV175" s="2">
        <v>97996.77</v>
      </c>
      <c r="BW175" s="2" t="s">
        <v>519</v>
      </c>
      <c r="BX175" s="2">
        <v>33.4</v>
      </c>
    </row>
    <row r="176" spans="1:76">
      <c r="A176" s="2" t="s">
        <v>1</v>
      </c>
      <c r="B176" s="2">
        <v>176</v>
      </c>
      <c r="C176" s="2" t="s">
        <v>521</v>
      </c>
      <c r="D176" s="2">
        <v>16.079999999999998</v>
      </c>
      <c r="E176" s="2" t="s">
        <v>521</v>
      </c>
      <c r="F176" s="2">
        <v>28.39</v>
      </c>
      <c r="G176" s="2" t="s">
        <v>521</v>
      </c>
      <c r="H176" s="2">
        <v>44.77</v>
      </c>
      <c r="I176" s="2" t="s">
        <v>521</v>
      </c>
      <c r="J176" s="2">
        <v>9.65</v>
      </c>
      <c r="K176" s="2" t="s">
        <v>521</v>
      </c>
      <c r="L176" s="2">
        <v>19.07</v>
      </c>
      <c r="M176" s="2" t="s">
        <v>521</v>
      </c>
      <c r="N176" s="2">
        <v>10.83</v>
      </c>
      <c r="O176" s="2" t="s">
        <v>521</v>
      </c>
      <c r="P176" s="2" t="s">
        <v>60</v>
      </c>
      <c r="Q176" s="2" t="s">
        <v>521</v>
      </c>
      <c r="R176" s="2">
        <v>23.65</v>
      </c>
      <c r="S176" s="2" t="s">
        <v>521</v>
      </c>
      <c r="T176" s="2">
        <v>15.35</v>
      </c>
      <c r="U176" s="2" t="s">
        <v>521</v>
      </c>
      <c r="V176" s="2">
        <v>6.25</v>
      </c>
      <c r="W176" s="2" t="s">
        <v>521</v>
      </c>
      <c r="X176" s="2">
        <v>102.9</v>
      </c>
      <c r="Y176" s="2" t="s">
        <v>521</v>
      </c>
      <c r="Z176" s="2">
        <v>28.76</v>
      </c>
      <c r="AA176" s="2" t="s">
        <v>522</v>
      </c>
      <c r="AB176" s="2">
        <v>21.59</v>
      </c>
      <c r="AC176" s="2" t="s">
        <v>521</v>
      </c>
      <c r="AD176" s="2">
        <v>17.75</v>
      </c>
      <c r="AE176" s="2" t="s">
        <v>521</v>
      </c>
      <c r="AF176" s="2">
        <v>23.12</v>
      </c>
      <c r="AG176" s="2" t="s">
        <v>521</v>
      </c>
      <c r="AH176" s="2">
        <v>37.83</v>
      </c>
      <c r="AI176" s="2" t="s">
        <v>521</v>
      </c>
      <c r="AJ176" s="2">
        <v>47.64</v>
      </c>
      <c r="AK176" s="2" t="s">
        <v>521</v>
      </c>
      <c r="AL176" s="2">
        <v>6.29</v>
      </c>
      <c r="AM176" s="2" t="s">
        <v>521</v>
      </c>
      <c r="AN176" s="2" t="s">
        <v>115</v>
      </c>
      <c r="AO176" s="2" t="s">
        <v>521</v>
      </c>
      <c r="AP176" s="2">
        <v>108.2</v>
      </c>
      <c r="AQ176" s="2" t="s">
        <v>521</v>
      </c>
      <c r="AR176" s="2">
        <v>10.85</v>
      </c>
      <c r="AS176" s="2" t="s">
        <v>521</v>
      </c>
      <c r="AT176" s="2">
        <v>1174.55</v>
      </c>
      <c r="AU176" s="2" t="s">
        <v>521</v>
      </c>
      <c r="AV176" s="2">
        <v>128.5</v>
      </c>
      <c r="AW176" s="2" t="s">
        <v>521</v>
      </c>
      <c r="AX176" s="2">
        <v>119.01</v>
      </c>
      <c r="AY176" s="2" t="s">
        <v>521</v>
      </c>
      <c r="AZ176" s="2">
        <v>3.56</v>
      </c>
      <c r="BA176" s="2" t="s">
        <v>521</v>
      </c>
      <c r="BB176" s="2">
        <v>168.45</v>
      </c>
      <c r="BC176" s="2" t="s">
        <v>521</v>
      </c>
      <c r="BD176" s="2">
        <v>16.55</v>
      </c>
      <c r="BE176" s="2" t="s">
        <v>521</v>
      </c>
      <c r="BF176" s="2">
        <v>17.04</v>
      </c>
      <c r="BG176" s="2" t="s">
        <v>521</v>
      </c>
      <c r="BH176" s="2">
        <v>37.299999999999997</v>
      </c>
      <c r="BI176" s="2" t="s">
        <v>521</v>
      </c>
      <c r="BJ176" s="2">
        <v>163.30000000000001</v>
      </c>
      <c r="BK176" s="2" t="s">
        <v>521</v>
      </c>
      <c r="BL176" s="2">
        <v>39.75</v>
      </c>
      <c r="BM176" s="2" t="s">
        <v>521</v>
      </c>
      <c r="BN176" s="2">
        <v>40.9</v>
      </c>
      <c r="BO176" s="2" t="s">
        <v>521</v>
      </c>
      <c r="BP176" s="2">
        <v>16.05</v>
      </c>
      <c r="BQ176" s="2" t="s">
        <v>521</v>
      </c>
      <c r="BR176" s="2">
        <v>22.49</v>
      </c>
      <c r="BS176" s="2" t="s">
        <v>521</v>
      </c>
      <c r="BT176" s="2">
        <v>16.670000000000002</v>
      </c>
      <c r="BU176" s="2" t="s">
        <v>521</v>
      </c>
      <c r="BV176" s="2">
        <v>86067.199999999997</v>
      </c>
      <c r="BW176" s="2" t="s">
        <v>521</v>
      </c>
      <c r="BX176" s="2" t="s">
        <v>58</v>
      </c>
    </row>
    <row r="177" spans="1:76">
      <c r="A177" s="2" t="s">
        <v>1</v>
      </c>
      <c r="B177" s="2">
        <v>177</v>
      </c>
      <c r="C177" s="2" t="s">
        <v>522</v>
      </c>
      <c r="D177" s="2">
        <v>16.7</v>
      </c>
      <c r="E177" s="2" t="s">
        <v>522</v>
      </c>
      <c r="F177" s="2" t="s">
        <v>77</v>
      </c>
      <c r="G177" s="2" t="s">
        <v>522</v>
      </c>
      <c r="H177" s="2" t="s">
        <v>134</v>
      </c>
      <c r="I177" s="2" t="s">
        <v>522</v>
      </c>
      <c r="J177" s="2">
        <v>10.3</v>
      </c>
      <c r="K177" s="2" t="s">
        <v>522</v>
      </c>
      <c r="L177" s="2">
        <v>19.43</v>
      </c>
      <c r="M177" s="2" t="s">
        <v>522</v>
      </c>
      <c r="N177" s="2">
        <v>11.06</v>
      </c>
      <c r="O177" s="2" t="s">
        <v>522</v>
      </c>
      <c r="P177" s="2">
        <v>26.64</v>
      </c>
      <c r="Q177" s="2" t="s">
        <v>522</v>
      </c>
      <c r="R177" s="2">
        <v>24.41</v>
      </c>
      <c r="S177" s="2" t="s">
        <v>522</v>
      </c>
      <c r="T177" s="2">
        <v>16.579999999999998</v>
      </c>
      <c r="U177" s="2" t="s">
        <v>522</v>
      </c>
      <c r="V177" s="2">
        <v>6.61</v>
      </c>
      <c r="W177" s="2" t="s">
        <v>522</v>
      </c>
      <c r="X177" s="2">
        <v>102.99</v>
      </c>
      <c r="Y177" s="2" t="s">
        <v>522</v>
      </c>
      <c r="Z177" s="2">
        <v>30.29</v>
      </c>
      <c r="AA177" s="2" t="s">
        <v>523</v>
      </c>
      <c r="AB177" s="2">
        <v>20.71</v>
      </c>
      <c r="AC177" s="2" t="s">
        <v>522</v>
      </c>
      <c r="AD177" s="2">
        <v>18.37</v>
      </c>
      <c r="AE177" s="2" t="s">
        <v>522</v>
      </c>
      <c r="AF177" s="2">
        <v>25.8</v>
      </c>
      <c r="AG177" s="2" t="s">
        <v>522</v>
      </c>
      <c r="AH177" s="2">
        <v>44.81</v>
      </c>
      <c r="AI177" s="2" t="s">
        <v>522</v>
      </c>
      <c r="AJ177" s="2">
        <v>53.51</v>
      </c>
      <c r="AK177" s="2" t="s">
        <v>522</v>
      </c>
      <c r="AL177" s="2">
        <v>6.64</v>
      </c>
      <c r="AM177" s="2" t="s">
        <v>522</v>
      </c>
      <c r="AN177" s="2">
        <v>96.3</v>
      </c>
      <c r="AO177" s="2" t="s">
        <v>522</v>
      </c>
      <c r="AP177" s="2">
        <v>110.5</v>
      </c>
      <c r="AQ177" s="2" t="s">
        <v>522</v>
      </c>
      <c r="AR177" s="2">
        <v>11.08</v>
      </c>
      <c r="AS177" s="2" t="s">
        <v>522</v>
      </c>
      <c r="AT177" s="2" t="s">
        <v>158</v>
      </c>
      <c r="AU177" s="2" t="s">
        <v>522</v>
      </c>
      <c r="AV177" s="2">
        <v>132.1</v>
      </c>
      <c r="AW177" s="2" t="s">
        <v>522</v>
      </c>
      <c r="AX177" s="2">
        <v>123.5</v>
      </c>
      <c r="AY177" s="2" t="s">
        <v>522</v>
      </c>
      <c r="AZ177" s="2">
        <v>3.79</v>
      </c>
      <c r="BA177" s="2" t="s">
        <v>522</v>
      </c>
      <c r="BB177" s="2">
        <v>169.92</v>
      </c>
      <c r="BC177" s="2" t="s">
        <v>522</v>
      </c>
      <c r="BD177" s="2">
        <v>18.32</v>
      </c>
      <c r="BE177" s="2" t="s">
        <v>522</v>
      </c>
      <c r="BF177" s="2">
        <v>18.690000000000001</v>
      </c>
      <c r="BG177" s="2" t="s">
        <v>522</v>
      </c>
      <c r="BH177" s="2">
        <v>38.92</v>
      </c>
      <c r="BI177" s="2" t="s">
        <v>522</v>
      </c>
      <c r="BJ177" s="2">
        <v>164.29</v>
      </c>
      <c r="BK177" s="2" t="s">
        <v>522</v>
      </c>
      <c r="BL177" s="2">
        <v>41.91</v>
      </c>
      <c r="BM177" s="2" t="s">
        <v>522</v>
      </c>
      <c r="BN177" s="2" t="s">
        <v>66</v>
      </c>
      <c r="BO177" s="2" t="s">
        <v>522</v>
      </c>
      <c r="BP177" s="2">
        <v>17.559999999999999</v>
      </c>
      <c r="BQ177" s="2" t="s">
        <v>522</v>
      </c>
      <c r="BR177" s="2">
        <v>25.53</v>
      </c>
      <c r="BS177" s="2" t="s">
        <v>522</v>
      </c>
      <c r="BT177" s="2">
        <v>17.399999999999999</v>
      </c>
      <c r="BU177" s="2" t="s">
        <v>522</v>
      </c>
      <c r="BV177" s="2">
        <v>92214.47</v>
      </c>
      <c r="BW177" s="2" t="s">
        <v>522</v>
      </c>
      <c r="BX177" s="2">
        <v>31.83</v>
      </c>
    </row>
    <row r="178" spans="1:76">
      <c r="A178" s="2" t="s">
        <v>1</v>
      </c>
      <c r="B178" s="2">
        <v>178</v>
      </c>
      <c r="C178" s="2" t="s">
        <v>523</v>
      </c>
      <c r="D178" s="2">
        <v>15.74</v>
      </c>
      <c r="E178" s="2" t="s">
        <v>523</v>
      </c>
      <c r="F178" s="2">
        <v>27.78</v>
      </c>
      <c r="G178" s="2" t="s">
        <v>523</v>
      </c>
      <c r="H178" s="2">
        <v>45.27</v>
      </c>
      <c r="I178" s="2" t="s">
        <v>523</v>
      </c>
      <c r="J178" s="2">
        <v>9.6999999999999993</v>
      </c>
      <c r="K178" s="2" t="s">
        <v>523</v>
      </c>
      <c r="L178" s="2">
        <v>18.64</v>
      </c>
      <c r="M178" s="2" t="s">
        <v>523</v>
      </c>
      <c r="N178" s="2">
        <v>10.4</v>
      </c>
      <c r="O178" s="2" t="s">
        <v>523</v>
      </c>
      <c r="P178" s="2">
        <v>25.3</v>
      </c>
      <c r="Q178" s="2" t="s">
        <v>523</v>
      </c>
      <c r="R178" s="2">
        <v>22.5</v>
      </c>
      <c r="S178" s="2" t="s">
        <v>523</v>
      </c>
      <c r="T178" s="2">
        <v>15.78</v>
      </c>
      <c r="U178" s="2" t="s">
        <v>523</v>
      </c>
      <c r="V178" s="2">
        <v>6.3</v>
      </c>
      <c r="W178" s="2" t="s">
        <v>523</v>
      </c>
      <c r="X178" s="2">
        <v>100.5</v>
      </c>
      <c r="Y178" s="2" t="s">
        <v>523</v>
      </c>
      <c r="Z178" s="2">
        <v>29.75</v>
      </c>
      <c r="AA178" s="2" t="s">
        <v>524</v>
      </c>
      <c r="AB178" s="2">
        <v>19.3</v>
      </c>
      <c r="AC178" s="2" t="s">
        <v>523</v>
      </c>
      <c r="AD178" s="2">
        <v>17.13</v>
      </c>
      <c r="AE178" s="2" t="s">
        <v>523</v>
      </c>
      <c r="AF178" s="2" t="s">
        <v>47</v>
      </c>
      <c r="AG178" s="2" t="s">
        <v>523</v>
      </c>
      <c r="AH178" s="2">
        <v>40.74</v>
      </c>
      <c r="AI178" s="2" t="s">
        <v>523</v>
      </c>
      <c r="AJ178" s="2">
        <v>52.5</v>
      </c>
      <c r="AK178" s="2" t="s">
        <v>523</v>
      </c>
      <c r="AL178" s="2">
        <v>6.31</v>
      </c>
      <c r="AM178" s="2" t="s">
        <v>523</v>
      </c>
      <c r="AN178" s="2">
        <v>93.85</v>
      </c>
      <c r="AO178" s="2" t="s">
        <v>523</v>
      </c>
      <c r="AP178" s="2">
        <v>110.6</v>
      </c>
      <c r="AQ178" s="2" t="s">
        <v>523</v>
      </c>
      <c r="AR178" s="2">
        <v>10.95</v>
      </c>
      <c r="AS178" s="2" t="s">
        <v>523</v>
      </c>
      <c r="AT178" s="2" t="s">
        <v>322</v>
      </c>
      <c r="AU178" s="2" t="s">
        <v>523</v>
      </c>
      <c r="AV178" s="2">
        <v>129.29</v>
      </c>
      <c r="AW178" s="2" t="s">
        <v>523</v>
      </c>
      <c r="AX178" s="2">
        <v>120.02</v>
      </c>
      <c r="AY178" s="2" t="s">
        <v>523</v>
      </c>
      <c r="AZ178" s="2">
        <v>3.64</v>
      </c>
      <c r="BA178" s="2" t="s">
        <v>523</v>
      </c>
      <c r="BB178" s="2">
        <v>167.5</v>
      </c>
      <c r="BC178" s="2" t="s">
        <v>523</v>
      </c>
      <c r="BD178" s="2">
        <v>17.2</v>
      </c>
      <c r="BE178" s="2" t="s">
        <v>523</v>
      </c>
      <c r="BF178" s="2">
        <v>17.5</v>
      </c>
      <c r="BG178" s="2" t="s">
        <v>523</v>
      </c>
      <c r="BH178" s="2">
        <v>37.35</v>
      </c>
      <c r="BI178" s="2" t="s">
        <v>523</v>
      </c>
      <c r="BJ178" s="2" t="s">
        <v>71</v>
      </c>
      <c r="BK178" s="2" t="s">
        <v>523</v>
      </c>
      <c r="BL178" s="2">
        <v>39.200000000000003</v>
      </c>
      <c r="BM178" s="2" t="s">
        <v>523</v>
      </c>
      <c r="BN178" s="2">
        <v>42.55</v>
      </c>
      <c r="BO178" s="2" t="s">
        <v>523</v>
      </c>
      <c r="BP178" s="2">
        <v>15.85</v>
      </c>
      <c r="BQ178" s="2" t="s">
        <v>523</v>
      </c>
      <c r="BR178" s="2">
        <v>23.31</v>
      </c>
      <c r="BS178" s="2" t="s">
        <v>523</v>
      </c>
      <c r="BT178" s="2">
        <v>16.8</v>
      </c>
      <c r="BU178" s="2" t="s">
        <v>523</v>
      </c>
      <c r="BV178" s="2">
        <v>85171.13</v>
      </c>
      <c r="BW178" s="2" t="s">
        <v>523</v>
      </c>
      <c r="BX178" s="2">
        <v>29.1</v>
      </c>
    </row>
    <row r="179" spans="1:76">
      <c r="A179" s="2" t="s">
        <v>1</v>
      </c>
      <c r="B179" s="2">
        <v>179</v>
      </c>
      <c r="C179" s="2" t="s">
        <v>524</v>
      </c>
      <c r="D179" s="2">
        <v>13.95</v>
      </c>
      <c r="E179" s="2" t="s">
        <v>524</v>
      </c>
      <c r="F179" s="2">
        <v>25.21</v>
      </c>
      <c r="G179" s="2" t="s">
        <v>524</v>
      </c>
      <c r="H179" s="2">
        <v>43.84</v>
      </c>
      <c r="I179" s="2" t="s">
        <v>524</v>
      </c>
      <c r="J179" s="2">
        <v>8.0500000000000007</v>
      </c>
      <c r="K179" s="2" t="s">
        <v>524</v>
      </c>
      <c r="L179" s="2">
        <v>16.260000000000002</v>
      </c>
      <c r="M179" s="2" t="s">
        <v>524</v>
      </c>
      <c r="N179" s="2">
        <v>9.27</v>
      </c>
      <c r="O179" s="2" t="s">
        <v>524</v>
      </c>
      <c r="P179" s="2">
        <v>22.75</v>
      </c>
      <c r="Q179" s="2" t="s">
        <v>524</v>
      </c>
      <c r="R179" s="2">
        <v>20.07</v>
      </c>
      <c r="S179" s="2" t="s">
        <v>524</v>
      </c>
      <c r="T179" s="2">
        <v>12.6</v>
      </c>
      <c r="U179" s="2" t="s">
        <v>524</v>
      </c>
      <c r="V179" s="2">
        <v>5.59</v>
      </c>
      <c r="W179" s="2" t="s">
        <v>524</v>
      </c>
      <c r="X179" s="2" t="s">
        <v>116</v>
      </c>
      <c r="Y179" s="2" t="s">
        <v>524</v>
      </c>
      <c r="Z179" s="2">
        <v>27.97</v>
      </c>
      <c r="AA179" s="2" t="s">
        <v>525</v>
      </c>
      <c r="AB179" s="2">
        <v>20.260000000000002</v>
      </c>
      <c r="AC179" s="2" t="s">
        <v>524</v>
      </c>
      <c r="AD179" s="2">
        <v>14.57</v>
      </c>
      <c r="AE179" s="2" t="s">
        <v>524</v>
      </c>
      <c r="AF179" s="2">
        <v>20.100000000000001</v>
      </c>
      <c r="AG179" s="2" t="s">
        <v>524</v>
      </c>
      <c r="AH179" s="2">
        <v>35.35</v>
      </c>
      <c r="AI179" s="2" t="s">
        <v>524</v>
      </c>
      <c r="AJ179" s="2">
        <v>48.9</v>
      </c>
      <c r="AK179" s="2" t="s">
        <v>524</v>
      </c>
      <c r="AL179" s="2">
        <v>5.16</v>
      </c>
      <c r="AM179" s="2" t="s">
        <v>524</v>
      </c>
      <c r="AN179" s="2">
        <v>87.65</v>
      </c>
      <c r="AO179" s="2" t="s">
        <v>524</v>
      </c>
      <c r="AP179" s="2" t="s">
        <v>480</v>
      </c>
      <c r="AQ179" s="2" t="s">
        <v>524</v>
      </c>
      <c r="AR179" s="2" t="s">
        <v>41</v>
      </c>
      <c r="AS179" s="2" t="s">
        <v>524</v>
      </c>
      <c r="AT179" s="2">
        <v>1070.47</v>
      </c>
      <c r="AU179" s="2" t="s">
        <v>524</v>
      </c>
      <c r="AV179" s="2" t="s">
        <v>102</v>
      </c>
      <c r="AW179" s="2" t="s">
        <v>524</v>
      </c>
      <c r="AX179" s="2">
        <v>113.5</v>
      </c>
      <c r="AY179" s="2" t="s">
        <v>524</v>
      </c>
      <c r="AZ179" s="2" t="s">
        <v>132</v>
      </c>
      <c r="BA179" s="2" t="s">
        <v>524</v>
      </c>
      <c r="BB179" s="2">
        <v>154.1</v>
      </c>
      <c r="BC179" s="2" t="s">
        <v>524</v>
      </c>
      <c r="BD179" s="2" t="s">
        <v>64</v>
      </c>
      <c r="BE179" s="2" t="s">
        <v>524</v>
      </c>
      <c r="BF179" s="2">
        <v>15.27</v>
      </c>
      <c r="BG179" s="2" t="s">
        <v>524</v>
      </c>
      <c r="BH179" s="2">
        <v>30.16</v>
      </c>
      <c r="BI179" s="2" t="s">
        <v>524</v>
      </c>
      <c r="BJ179" s="2">
        <v>150.1</v>
      </c>
      <c r="BK179" s="2" t="s">
        <v>524</v>
      </c>
      <c r="BL179" s="2" t="s">
        <v>101</v>
      </c>
      <c r="BM179" s="2" t="s">
        <v>524</v>
      </c>
      <c r="BN179" s="2">
        <v>36.89</v>
      </c>
      <c r="BO179" s="2" t="s">
        <v>524</v>
      </c>
      <c r="BP179" s="2">
        <v>12.6</v>
      </c>
      <c r="BQ179" s="2" t="s">
        <v>524</v>
      </c>
      <c r="BR179" s="2">
        <v>15.69</v>
      </c>
      <c r="BS179" s="2" t="s">
        <v>524</v>
      </c>
      <c r="BT179" s="2">
        <v>14.9</v>
      </c>
      <c r="BU179" s="2" t="s">
        <v>524</v>
      </c>
      <c r="BV179" s="2">
        <v>72582.53</v>
      </c>
      <c r="BW179" s="2" t="s">
        <v>524</v>
      </c>
      <c r="BX179" s="2">
        <v>26.55</v>
      </c>
    </row>
    <row r="180" spans="1:76">
      <c r="A180" s="2" t="s">
        <v>1</v>
      </c>
      <c r="B180" s="2">
        <v>180</v>
      </c>
      <c r="C180" s="2" t="s">
        <v>525</v>
      </c>
      <c r="D180" s="2">
        <v>15.3</v>
      </c>
      <c r="E180" s="2" t="s">
        <v>525</v>
      </c>
      <c r="F180" s="2">
        <v>26.61</v>
      </c>
      <c r="G180" s="2" t="s">
        <v>525</v>
      </c>
      <c r="H180" s="2">
        <v>48.19</v>
      </c>
      <c r="I180" s="2" t="s">
        <v>525</v>
      </c>
      <c r="J180" s="2">
        <v>9.16</v>
      </c>
      <c r="K180" s="2" t="s">
        <v>525</v>
      </c>
      <c r="L180" s="2">
        <v>18.010000000000002</v>
      </c>
      <c r="M180" s="2" t="s">
        <v>525</v>
      </c>
      <c r="N180" s="2">
        <v>10.199999999999999</v>
      </c>
      <c r="O180" s="2" t="s">
        <v>525</v>
      </c>
      <c r="P180" s="2">
        <v>25.26</v>
      </c>
      <c r="Q180" s="2" t="s">
        <v>525</v>
      </c>
      <c r="R180" s="2">
        <v>22.17</v>
      </c>
      <c r="S180" s="2" t="s">
        <v>525</v>
      </c>
      <c r="T180" s="2">
        <v>13.97</v>
      </c>
      <c r="U180" s="2" t="s">
        <v>525</v>
      </c>
      <c r="V180" s="2">
        <v>6.03</v>
      </c>
      <c r="W180" s="2" t="s">
        <v>525</v>
      </c>
      <c r="X180" s="2">
        <v>95.8</v>
      </c>
      <c r="Y180" s="2" t="s">
        <v>525</v>
      </c>
      <c r="Z180" s="2">
        <v>28.59</v>
      </c>
      <c r="AA180" s="2" t="s">
        <v>526</v>
      </c>
      <c r="AB180" s="2">
        <v>19.149999999999999</v>
      </c>
      <c r="AC180" s="2" t="s">
        <v>525</v>
      </c>
      <c r="AD180" s="2">
        <v>15.78</v>
      </c>
      <c r="AE180" s="2" t="s">
        <v>525</v>
      </c>
      <c r="AF180" s="2" t="s">
        <v>87</v>
      </c>
      <c r="AG180" s="2" t="s">
        <v>525</v>
      </c>
      <c r="AH180" s="2">
        <v>42.9</v>
      </c>
      <c r="AI180" s="2" t="s">
        <v>525</v>
      </c>
      <c r="AJ180" s="2">
        <v>52.01</v>
      </c>
      <c r="AK180" s="2" t="s">
        <v>525</v>
      </c>
      <c r="AL180" s="2">
        <v>5.36</v>
      </c>
      <c r="AM180" s="2" t="s">
        <v>525</v>
      </c>
      <c r="AN180" s="2">
        <v>89.7</v>
      </c>
      <c r="AO180" s="2" t="s">
        <v>525</v>
      </c>
      <c r="AP180" s="2">
        <v>103.2</v>
      </c>
      <c r="AQ180" s="2" t="s">
        <v>525</v>
      </c>
      <c r="AR180" s="2">
        <v>10.38</v>
      </c>
      <c r="AS180" s="2" t="s">
        <v>525</v>
      </c>
      <c r="AT180" s="2" t="s">
        <v>527</v>
      </c>
      <c r="AU180" s="2" t="s">
        <v>525</v>
      </c>
      <c r="AV180" s="2">
        <v>121.8</v>
      </c>
      <c r="AW180" s="2" t="s">
        <v>525</v>
      </c>
      <c r="AX180" s="2">
        <v>114.02</v>
      </c>
      <c r="AY180" s="2" t="s">
        <v>525</v>
      </c>
      <c r="AZ180" s="2">
        <v>3.42</v>
      </c>
      <c r="BA180" s="2" t="s">
        <v>525</v>
      </c>
      <c r="BB180" s="2">
        <v>155.77000000000001</v>
      </c>
      <c r="BC180" s="2" t="s">
        <v>525</v>
      </c>
      <c r="BD180" s="2">
        <v>14.5</v>
      </c>
      <c r="BE180" s="2" t="s">
        <v>525</v>
      </c>
      <c r="BF180" s="2">
        <v>16.3</v>
      </c>
      <c r="BG180" s="2" t="s">
        <v>525</v>
      </c>
      <c r="BH180" s="2" t="s">
        <v>324</v>
      </c>
      <c r="BI180" s="2" t="s">
        <v>525</v>
      </c>
      <c r="BJ180" s="2">
        <v>154.27000000000001</v>
      </c>
      <c r="BK180" s="2" t="s">
        <v>525</v>
      </c>
      <c r="BL180" s="2">
        <v>34.53</v>
      </c>
      <c r="BM180" s="2" t="s">
        <v>525</v>
      </c>
      <c r="BN180" s="2">
        <v>40.880000000000003</v>
      </c>
      <c r="BO180" s="2" t="s">
        <v>525</v>
      </c>
      <c r="BP180" s="2">
        <v>15.4</v>
      </c>
      <c r="BQ180" s="2" t="s">
        <v>525</v>
      </c>
      <c r="BR180" s="2">
        <v>18.670000000000002</v>
      </c>
      <c r="BS180" s="2" t="s">
        <v>525</v>
      </c>
      <c r="BT180" s="2">
        <v>16.7</v>
      </c>
      <c r="BU180" s="2" t="s">
        <v>525</v>
      </c>
      <c r="BV180" s="2">
        <v>82677.91</v>
      </c>
      <c r="BW180" s="2" t="s">
        <v>525</v>
      </c>
      <c r="BX180" s="2">
        <v>30.49</v>
      </c>
    </row>
    <row r="181" spans="1:76">
      <c r="A181" s="2" t="s">
        <v>1</v>
      </c>
      <c r="B181" s="2">
        <v>181</v>
      </c>
      <c r="C181" s="2" t="s">
        <v>526</v>
      </c>
      <c r="D181" s="2">
        <v>13.01</v>
      </c>
      <c r="E181" s="2" t="s">
        <v>526</v>
      </c>
      <c r="F181" s="2">
        <v>24.08</v>
      </c>
      <c r="G181" s="2" t="s">
        <v>526</v>
      </c>
      <c r="H181" s="2">
        <v>43.55</v>
      </c>
      <c r="I181" s="2" t="s">
        <v>526</v>
      </c>
      <c r="J181" s="2">
        <v>9.49</v>
      </c>
      <c r="K181" s="2" t="s">
        <v>526</v>
      </c>
      <c r="L181" s="2">
        <v>16.149999999999999</v>
      </c>
      <c r="M181" s="2" t="s">
        <v>526</v>
      </c>
      <c r="N181" s="2">
        <v>9.1</v>
      </c>
      <c r="O181" s="2" t="s">
        <v>526</v>
      </c>
      <c r="P181" s="2">
        <v>22.75</v>
      </c>
      <c r="Q181" s="2" t="s">
        <v>526</v>
      </c>
      <c r="R181" s="2">
        <v>19.66</v>
      </c>
      <c r="S181" s="2" t="s">
        <v>526</v>
      </c>
      <c r="T181" s="2">
        <v>12.73</v>
      </c>
      <c r="U181" s="2" t="s">
        <v>526</v>
      </c>
      <c r="V181" s="2">
        <v>5.46</v>
      </c>
      <c r="W181" s="2" t="s">
        <v>526</v>
      </c>
      <c r="X181" s="2" t="s">
        <v>88</v>
      </c>
      <c r="Y181" s="2" t="s">
        <v>526</v>
      </c>
      <c r="Z181" s="2">
        <v>26.34</v>
      </c>
      <c r="AA181" s="2" t="s">
        <v>528</v>
      </c>
      <c r="AB181" s="2">
        <v>19.48</v>
      </c>
      <c r="AC181" s="2" t="s">
        <v>526</v>
      </c>
      <c r="AD181" s="2">
        <v>14.45</v>
      </c>
      <c r="AE181" s="2" t="s">
        <v>526</v>
      </c>
      <c r="AF181" s="2">
        <v>17.25</v>
      </c>
      <c r="AG181" s="2" t="s">
        <v>526</v>
      </c>
      <c r="AH181" s="2">
        <v>39.04</v>
      </c>
      <c r="AI181" s="2" t="s">
        <v>526</v>
      </c>
      <c r="AJ181" s="2">
        <v>48.73</v>
      </c>
      <c r="AK181" s="2" t="s">
        <v>526</v>
      </c>
      <c r="AL181" s="2">
        <v>4.72</v>
      </c>
      <c r="AM181" s="2" t="s">
        <v>526</v>
      </c>
      <c r="AN181" s="2">
        <v>86.5</v>
      </c>
      <c r="AO181" s="2" t="s">
        <v>526</v>
      </c>
      <c r="AP181" s="2">
        <v>99.35</v>
      </c>
      <c r="AQ181" s="2" t="s">
        <v>526</v>
      </c>
      <c r="AR181" s="2">
        <v>9.9499999999999993</v>
      </c>
      <c r="AS181" s="2" t="s">
        <v>526</v>
      </c>
      <c r="AT181" s="2" t="s">
        <v>125</v>
      </c>
      <c r="AU181" s="2" t="s">
        <v>526</v>
      </c>
      <c r="AV181" s="2">
        <v>115.21</v>
      </c>
      <c r="AW181" s="2" t="s">
        <v>526</v>
      </c>
      <c r="AX181" s="2">
        <v>109.15</v>
      </c>
      <c r="AY181" s="2" t="s">
        <v>526</v>
      </c>
      <c r="AZ181" s="2">
        <v>3.2</v>
      </c>
      <c r="BA181" s="2" t="s">
        <v>526</v>
      </c>
      <c r="BB181" s="2" t="s">
        <v>127</v>
      </c>
      <c r="BC181" s="2" t="s">
        <v>526</v>
      </c>
      <c r="BD181" s="2">
        <v>11.69</v>
      </c>
      <c r="BE181" s="2" t="s">
        <v>526</v>
      </c>
      <c r="BF181" s="2">
        <v>14.15</v>
      </c>
      <c r="BG181" s="2" t="s">
        <v>526</v>
      </c>
      <c r="BH181" s="2">
        <v>30.58</v>
      </c>
      <c r="BI181" s="2" t="s">
        <v>526</v>
      </c>
      <c r="BJ181" s="2">
        <v>150.19</v>
      </c>
      <c r="BK181" s="2" t="s">
        <v>526</v>
      </c>
      <c r="BL181" s="2">
        <v>27.41</v>
      </c>
      <c r="BM181" s="2" t="s">
        <v>526</v>
      </c>
      <c r="BN181" s="2">
        <v>34.29</v>
      </c>
      <c r="BO181" s="2" t="s">
        <v>526</v>
      </c>
      <c r="BP181" s="2">
        <v>13.09</v>
      </c>
      <c r="BQ181" s="2" t="s">
        <v>526</v>
      </c>
      <c r="BR181" s="2">
        <v>15.5</v>
      </c>
      <c r="BS181" s="2" t="s">
        <v>526</v>
      </c>
      <c r="BT181" s="2">
        <v>14.98</v>
      </c>
      <c r="BU181" s="2" t="s">
        <v>526</v>
      </c>
      <c r="BV181" s="2">
        <v>71168.05</v>
      </c>
      <c r="BW181" s="2" t="s">
        <v>526</v>
      </c>
      <c r="BX181" s="2">
        <v>25.81</v>
      </c>
    </row>
    <row r="182" spans="1:76">
      <c r="A182" s="2" t="s">
        <v>1</v>
      </c>
      <c r="B182" s="2">
        <v>182</v>
      </c>
      <c r="C182" s="2" t="s">
        <v>528</v>
      </c>
      <c r="D182" s="2">
        <v>13.49</v>
      </c>
      <c r="E182" s="2" t="s">
        <v>528</v>
      </c>
      <c r="F182" s="2">
        <v>26.67</v>
      </c>
      <c r="G182" s="2" t="s">
        <v>528</v>
      </c>
      <c r="H182" s="2">
        <v>46.82</v>
      </c>
      <c r="I182" s="2" t="s">
        <v>528</v>
      </c>
      <c r="J182" s="2">
        <v>8.7100000000000009</v>
      </c>
      <c r="K182" s="2" t="s">
        <v>528</v>
      </c>
      <c r="L182" s="2">
        <v>16.899999999999999</v>
      </c>
      <c r="M182" s="2" t="s">
        <v>528</v>
      </c>
      <c r="N182" s="2">
        <v>9.5399999999999991</v>
      </c>
      <c r="O182" s="2" t="s">
        <v>528</v>
      </c>
      <c r="P182" s="2">
        <v>23.79</v>
      </c>
      <c r="Q182" s="2" t="s">
        <v>528</v>
      </c>
      <c r="R182" s="2">
        <v>20.149999999999999</v>
      </c>
      <c r="S182" s="2" t="s">
        <v>528</v>
      </c>
      <c r="T182" s="2">
        <v>12.86</v>
      </c>
      <c r="U182" s="2" t="s">
        <v>528</v>
      </c>
      <c r="V182" s="2">
        <v>5.6</v>
      </c>
      <c r="W182" s="2" t="s">
        <v>528</v>
      </c>
      <c r="X182" s="2">
        <v>90.15</v>
      </c>
      <c r="Y182" s="2" t="s">
        <v>528</v>
      </c>
      <c r="Z182" s="2">
        <v>27.37</v>
      </c>
      <c r="AA182" s="2" t="s">
        <v>529</v>
      </c>
      <c r="AB182" s="2">
        <v>17.68</v>
      </c>
      <c r="AC182" s="2" t="s">
        <v>528</v>
      </c>
      <c r="AD182" s="2">
        <v>13.47</v>
      </c>
      <c r="AE182" s="2" t="s">
        <v>528</v>
      </c>
      <c r="AF182" s="2">
        <v>18.39</v>
      </c>
      <c r="AG182" s="2" t="s">
        <v>528</v>
      </c>
      <c r="AH182" s="2">
        <v>41.51</v>
      </c>
      <c r="AI182" s="2" t="s">
        <v>528</v>
      </c>
      <c r="AJ182" s="2">
        <v>53.68</v>
      </c>
      <c r="AK182" s="2" t="s">
        <v>528</v>
      </c>
      <c r="AL182" s="2">
        <v>4.63</v>
      </c>
      <c r="AM182" s="2" t="s">
        <v>528</v>
      </c>
      <c r="AN182" s="2">
        <v>85.71</v>
      </c>
      <c r="AO182" s="2" t="s">
        <v>528</v>
      </c>
      <c r="AP182" s="2" t="s">
        <v>520</v>
      </c>
      <c r="AQ182" s="2" t="s">
        <v>528</v>
      </c>
      <c r="AR182" s="2">
        <v>9.92</v>
      </c>
      <c r="AS182" s="2" t="s">
        <v>528</v>
      </c>
      <c r="AT182" s="2" t="s">
        <v>56</v>
      </c>
      <c r="AU182" s="2" t="s">
        <v>528</v>
      </c>
      <c r="AV182" s="2">
        <v>113.6</v>
      </c>
      <c r="AW182" s="2" t="s">
        <v>528</v>
      </c>
      <c r="AX182" s="2" t="s">
        <v>73</v>
      </c>
      <c r="AY182" s="2" t="s">
        <v>528</v>
      </c>
      <c r="AZ182" s="2">
        <v>3.19</v>
      </c>
      <c r="BA182" s="2" t="s">
        <v>528</v>
      </c>
      <c r="BB182" s="2" t="s">
        <v>54</v>
      </c>
      <c r="BC182" s="2" t="s">
        <v>528</v>
      </c>
      <c r="BD182" s="2">
        <v>11.1</v>
      </c>
      <c r="BE182" s="2" t="s">
        <v>528</v>
      </c>
      <c r="BF182" s="2">
        <v>14.2</v>
      </c>
      <c r="BG182" s="2" t="s">
        <v>528</v>
      </c>
      <c r="BH182" s="2">
        <v>29.89</v>
      </c>
      <c r="BI182" s="2" t="s">
        <v>528</v>
      </c>
      <c r="BJ182" s="2">
        <v>148.5</v>
      </c>
      <c r="BK182" s="2" t="s">
        <v>528</v>
      </c>
      <c r="BL182" s="2">
        <v>28.68</v>
      </c>
      <c r="BM182" s="2" t="s">
        <v>528</v>
      </c>
      <c r="BN182" s="2">
        <v>35.54</v>
      </c>
      <c r="BO182" s="2" t="s">
        <v>528</v>
      </c>
      <c r="BP182" s="2" t="s">
        <v>64</v>
      </c>
      <c r="BQ182" s="2" t="s">
        <v>528</v>
      </c>
      <c r="BR182" s="2">
        <v>14.69</v>
      </c>
      <c r="BS182" s="2" t="s">
        <v>528</v>
      </c>
      <c r="BT182" s="2">
        <v>14.2</v>
      </c>
      <c r="BU182" s="2" t="s">
        <v>528</v>
      </c>
      <c r="BV182" s="2">
        <v>74617.240000000005</v>
      </c>
      <c r="BW182" s="2" t="s">
        <v>528</v>
      </c>
      <c r="BX182" s="2">
        <v>26.35</v>
      </c>
    </row>
    <row r="183" spans="1:76">
      <c r="A183" s="2" t="s">
        <v>1</v>
      </c>
      <c r="B183" s="2">
        <v>183</v>
      </c>
      <c r="C183" s="2" t="s">
        <v>529</v>
      </c>
      <c r="D183" s="2">
        <v>11.65</v>
      </c>
      <c r="E183" s="2" t="s">
        <v>529</v>
      </c>
      <c r="F183" s="2">
        <v>26.85</v>
      </c>
      <c r="G183" s="2" t="s">
        <v>529</v>
      </c>
      <c r="H183" s="2">
        <v>43.89</v>
      </c>
      <c r="I183" s="2" t="s">
        <v>529</v>
      </c>
      <c r="J183" s="2">
        <v>6.44</v>
      </c>
      <c r="K183" s="2" t="s">
        <v>529</v>
      </c>
      <c r="L183" s="2">
        <v>15.36</v>
      </c>
      <c r="M183" s="2" t="s">
        <v>529</v>
      </c>
      <c r="N183" s="2">
        <v>9.07</v>
      </c>
      <c r="O183" s="2" t="s">
        <v>529</v>
      </c>
      <c r="P183" s="2">
        <v>21.76</v>
      </c>
      <c r="Q183" s="2" t="s">
        <v>529</v>
      </c>
      <c r="R183" s="2">
        <v>19.41</v>
      </c>
      <c r="S183" s="2" t="s">
        <v>529</v>
      </c>
      <c r="T183" s="2">
        <v>10.28</v>
      </c>
      <c r="U183" s="2" t="s">
        <v>529</v>
      </c>
      <c r="V183" s="2">
        <v>4.83</v>
      </c>
      <c r="W183" s="2" t="s">
        <v>529</v>
      </c>
      <c r="X183" s="2">
        <v>71.38</v>
      </c>
      <c r="Y183" s="2" t="s">
        <v>529</v>
      </c>
      <c r="Z183" s="2">
        <v>26.29</v>
      </c>
      <c r="AA183" s="2" t="s">
        <v>530</v>
      </c>
      <c r="AB183" s="2">
        <v>18.12</v>
      </c>
      <c r="AC183" s="2" t="s">
        <v>529</v>
      </c>
      <c r="AD183" s="2">
        <v>11.97</v>
      </c>
      <c r="AE183" s="2" t="s">
        <v>529</v>
      </c>
      <c r="AF183" s="2">
        <v>15.55</v>
      </c>
      <c r="AG183" s="2" t="s">
        <v>529</v>
      </c>
      <c r="AH183" s="2">
        <v>38.65</v>
      </c>
      <c r="AI183" s="2" t="s">
        <v>529</v>
      </c>
      <c r="AJ183" s="2">
        <v>52.99</v>
      </c>
      <c r="AK183" s="2" t="s">
        <v>529</v>
      </c>
      <c r="AL183" s="2">
        <v>4.22</v>
      </c>
      <c r="AM183" s="2" t="s">
        <v>529</v>
      </c>
      <c r="AN183" s="2">
        <v>69.5</v>
      </c>
      <c r="AO183" s="2" t="s">
        <v>529</v>
      </c>
      <c r="AP183" s="2" t="s">
        <v>90</v>
      </c>
      <c r="AQ183" s="2" t="s">
        <v>529</v>
      </c>
      <c r="AR183" s="2">
        <v>9.4</v>
      </c>
      <c r="AS183" s="2" t="s">
        <v>529</v>
      </c>
      <c r="AT183" s="2">
        <v>950.11</v>
      </c>
      <c r="AU183" s="2" t="s">
        <v>529</v>
      </c>
      <c r="AV183" s="2">
        <v>96.7</v>
      </c>
      <c r="AW183" s="2" t="s">
        <v>529</v>
      </c>
      <c r="AX183" s="2" t="s">
        <v>531</v>
      </c>
      <c r="AY183" s="2" t="s">
        <v>529</v>
      </c>
      <c r="AZ183" s="2">
        <v>2.8</v>
      </c>
      <c r="BA183" s="2" t="s">
        <v>529</v>
      </c>
      <c r="BB183" s="2">
        <v>117.05</v>
      </c>
      <c r="BC183" s="2" t="s">
        <v>529</v>
      </c>
      <c r="BD183" s="2">
        <v>8.2799999999999994</v>
      </c>
      <c r="BE183" s="2" t="s">
        <v>529</v>
      </c>
      <c r="BF183" s="2">
        <v>12.21</v>
      </c>
      <c r="BG183" s="2" t="s">
        <v>529</v>
      </c>
      <c r="BH183" s="2">
        <v>26.78</v>
      </c>
      <c r="BI183" s="2" t="s">
        <v>529</v>
      </c>
      <c r="BJ183" s="2">
        <v>132.33000000000001</v>
      </c>
      <c r="BK183" s="2" t="s">
        <v>529</v>
      </c>
      <c r="BL183" s="2">
        <v>26.47</v>
      </c>
      <c r="BM183" s="2" t="s">
        <v>529</v>
      </c>
      <c r="BN183" s="2">
        <v>32.799999999999997</v>
      </c>
      <c r="BO183" s="2" t="s">
        <v>529</v>
      </c>
      <c r="BP183" s="2">
        <v>11.29</v>
      </c>
      <c r="BQ183" s="2" t="s">
        <v>529</v>
      </c>
      <c r="BR183" s="2">
        <v>10.35</v>
      </c>
      <c r="BS183" s="2" t="s">
        <v>529</v>
      </c>
      <c r="BT183" s="2">
        <v>12.33</v>
      </c>
      <c r="BU183" s="2" t="s">
        <v>529</v>
      </c>
      <c r="BV183" s="2">
        <v>66894.95</v>
      </c>
      <c r="BW183" s="2" t="s">
        <v>529</v>
      </c>
      <c r="BX183" s="2">
        <v>25.07</v>
      </c>
    </row>
    <row r="184" spans="1:76">
      <c r="A184" s="2" t="s">
        <v>1</v>
      </c>
      <c r="B184" s="2">
        <v>184</v>
      </c>
      <c r="C184" s="2" t="s">
        <v>530</v>
      </c>
      <c r="D184" s="2">
        <v>12.05</v>
      </c>
      <c r="E184" s="2" t="s">
        <v>530</v>
      </c>
      <c r="F184" s="2">
        <v>24.47</v>
      </c>
      <c r="G184" s="2" t="s">
        <v>530</v>
      </c>
      <c r="H184" s="2">
        <v>41.68</v>
      </c>
      <c r="I184" s="2" t="s">
        <v>530</v>
      </c>
      <c r="J184" s="2">
        <v>7.5</v>
      </c>
      <c r="K184" s="2" t="s">
        <v>530</v>
      </c>
      <c r="L184" s="2">
        <v>14.78</v>
      </c>
      <c r="M184" s="2" t="s">
        <v>530</v>
      </c>
      <c r="N184" s="2">
        <v>8.76</v>
      </c>
      <c r="O184" s="2" t="s">
        <v>530</v>
      </c>
      <c r="P184" s="2">
        <v>22.2</v>
      </c>
      <c r="Q184" s="2" t="s">
        <v>530</v>
      </c>
      <c r="R184" s="2">
        <v>17.8</v>
      </c>
      <c r="S184" s="2" t="s">
        <v>530</v>
      </c>
      <c r="T184" s="2">
        <v>10.71</v>
      </c>
      <c r="U184" s="2" t="s">
        <v>530</v>
      </c>
      <c r="V184" s="2">
        <v>5.08</v>
      </c>
      <c r="W184" s="2" t="s">
        <v>530</v>
      </c>
      <c r="X184" s="2" t="s">
        <v>532</v>
      </c>
      <c r="Y184" s="2" t="s">
        <v>530</v>
      </c>
      <c r="Z184" s="2">
        <v>25.75</v>
      </c>
      <c r="AA184" s="2" t="s">
        <v>533</v>
      </c>
      <c r="AB184" s="2">
        <v>18.010000000000002</v>
      </c>
      <c r="AC184" s="2" t="s">
        <v>530</v>
      </c>
      <c r="AD184" s="2">
        <v>11.57</v>
      </c>
      <c r="AE184" s="2" t="s">
        <v>530</v>
      </c>
      <c r="AF184" s="2">
        <v>17.18</v>
      </c>
      <c r="AG184" s="2" t="s">
        <v>530</v>
      </c>
      <c r="AH184" s="2">
        <v>36.4</v>
      </c>
      <c r="AI184" s="2" t="s">
        <v>530</v>
      </c>
      <c r="AJ184" s="2">
        <v>56.74</v>
      </c>
      <c r="AK184" s="2" t="s">
        <v>530</v>
      </c>
      <c r="AL184" s="2">
        <v>4.79</v>
      </c>
      <c r="AM184" s="2" t="s">
        <v>530</v>
      </c>
      <c r="AN184" s="2">
        <v>67.709999999999994</v>
      </c>
      <c r="AO184" s="2" t="s">
        <v>530</v>
      </c>
      <c r="AP184" s="2">
        <v>87.5</v>
      </c>
      <c r="AQ184" s="2" t="s">
        <v>530</v>
      </c>
      <c r="AR184" s="2">
        <v>8.9499999999999993</v>
      </c>
      <c r="AS184" s="2" t="s">
        <v>530</v>
      </c>
      <c r="AT184" s="2">
        <v>929.9</v>
      </c>
      <c r="AU184" s="2" t="s">
        <v>530</v>
      </c>
      <c r="AV184" s="2" t="s">
        <v>115</v>
      </c>
      <c r="AW184" s="2" t="s">
        <v>530</v>
      </c>
      <c r="AX184" s="2" t="s">
        <v>90</v>
      </c>
      <c r="AY184" s="2" t="s">
        <v>530</v>
      </c>
      <c r="AZ184" s="2">
        <v>2.82</v>
      </c>
      <c r="BA184" s="2" t="s">
        <v>530</v>
      </c>
      <c r="BB184" s="2">
        <v>129.61000000000001</v>
      </c>
      <c r="BC184" s="2" t="s">
        <v>530</v>
      </c>
      <c r="BD184" s="2">
        <v>9.25</v>
      </c>
      <c r="BE184" s="2" t="s">
        <v>530</v>
      </c>
      <c r="BF184" s="2">
        <v>12.94</v>
      </c>
      <c r="BG184" s="2" t="s">
        <v>530</v>
      </c>
      <c r="BH184" s="2" t="s">
        <v>45</v>
      </c>
      <c r="BI184" s="2" t="s">
        <v>530</v>
      </c>
      <c r="BJ184" s="2">
        <v>139.05000000000001</v>
      </c>
      <c r="BK184" s="2" t="s">
        <v>530</v>
      </c>
      <c r="BL184" s="2">
        <v>28.73</v>
      </c>
      <c r="BM184" s="2" t="s">
        <v>530</v>
      </c>
      <c r="BN184" s="2">
        <v>32.51</v>
      </c>
      <c r="BO184" s="2" t="s">
        <v>530</v>
      </c>
      <c r="BP184" s="2">
        <v>12.21</v>
      </c>
      <c r="BQ184" s="2" t="s">
        <v>530</v>
      </c>
      <c r="BR184" s="2">
        <v>11.83</v>
      </c>
      <c r="BS184" s="2" t="s">
        <v>530</v>
      </c>
      <c r="BT184" s="2">
        <v>12.2</v>
      </c>
      <c r="BU184" s="2" t="s">
        <v>530</v>
      </c>
      <c r="BV184" s="2">
        <v>70064.160000000003</v>
      </c>
      <c r="BW184" s="2" t="s">
        <v>530</v>
      </c>
      <c r="BX184" s="2" t="s">
        <v>52</v>
      </c>
    </row>
    <row r="185" spans="1:76">
      <c r="A185" s="2" t="s">
        <v>1</v>
      </c>
      <c r="B185" s="2">
        <v>185</v>
      </c>
      <c r="C185" s="2" t="s">
        <v>533</v>
      </c>
      <c r="D185" s="2">
        <v>11.75</v>
      </c>
      <c r="E185" s="2" t="s">
        <v>533</v>
      </c>
      <c r="F185" s="2">
        <v>24.49</v>
      </c>
      <c r="G185" s="2" t="s">
        <v>533</v>
      </c>
      <c r="H185" s="2">
        <v>40.15</v>
      </c>
      <c r="I185" s="2" t="s">
        <v>533</v>
      </c>
      <c r="J185" s="2">
        <v>7.8</v>
      </c>
      <c r="K185" s="2" t="s">
        <v>533</v>
      </c>
      <c r="L185" s="2">
        <v>14.33</v>
      </c>
      <c r="M185" s="2" t="s">
        <v>533</v>
      </c>
      <c r="N185" s="2">
        <v>8.31</v>
      </c>
      <c r="O185" s="2" t="s">
        <v>533</v>
      </c>
      <c r="P185" s="2">
        <v>21.1</v>
      </c>
      <c r="Q185" s="2" t="s">
        <v>533</v>
      </c>
      <c r="R185" s="2">
        <v>17.190000000000001</v>
      </c>
      <c r="S185" s="2" t="s">
        <v>533</v>
      </c>
      <c r="T185" s="2">
        <v>11.56</v>
      </c>
      <c r="U185" s="2" t="s">
        <v>533</v>
      </c>
      <c r="V185" s="2">
        <v>4.76</v>
      </c>
      <c r="W185" s="2" t="s">
        <v>533</v>
      </c>
      <c r="X185" s="2">
        <v>78.5</v>
      </c>
      <c r="Y185" s="2" t="s">
        <v>533</v>
      </c>
      <c r="Z185" s="2">
        <v>26.07</v>
      </c>
      <c r="AA185" s="2" t="s">
        <v>534</v>
      </c>
      <c r="AB185" s="2">
        <v>17.41</v>
      </c>
      <c r="AC185" s="2" t="s">
        <v>533</v>
      </c>
      <c r="AD185" s="2">
        <v>10.49</v>
      </c>
      <c r="AE185" s="2" t="s">
        <v>533</v>
      </c>
      <c r="AF185" s="2">
        <v>17.87</v>
      </c>
      <c r="AG185" s="2" t="s">
        <v>533</v>
      </c>
      <c r="AH185" s="2">
        <v>35.19</v>
      </c>
      <c r="AI185" s="2" t="s">
        <v>533</v>
      </c>
      <c r="AJ185" s="2">
        <v>50.52</v>
      </c>
      <c r="AK185" s="2" t="s">
        <v>533</v>
      </c>
      <c r="AL185" s="2">
        <v>4.3899999999999997</v>
      </c>
      <c r="AM185" s="2" t="s">
        <v>533</v>
      </c>
      <c r="AN185" s="2">
        <v>68.010000000000005</v>
      </c>
      <c r="AO185" s="2" t="s">
        <v>533</v>
      </c>
      <c r="AP185" s="2">
        <v>90.7</v>
      </c>
      <c r="AQ185" s="2" t="s">
        <v>533</v>
      </c>
      <c r="AR185" s="2">
        <v>9.07</v>
      </c>
      <c r="AS185" s="2" t="s">
        <v>533</v>
      </c>
      <c r="AT185" s="2" t="s">
        <v>535</v>
      </c>
      <c r="AU185" s="2" t="s">
        <v>533</v>
      </c>
      <c r="AV185" s="2">
        <v>99.99</v>
      </c>
      <c r="AW185" s="2" t="s">
        <v>533</v>
      </c>
      <c r="AX185" s="2">
        <v>96.45</v>
      </c>
      <c r="AY185" s="2" t="s">
        <v>533</v>
      </c>
      <c r="AZ185" s="2">
        <v>2.97</v>
      </c>
      <c r="BA185" s="2" t="s">
        <v>533</v>
      </c>
      <c r="BB185" s="2" t="s">
        <v>117</v>
      </c>
      <c r="BC185" s="2" t="s">
        <v>533</v>
      </c>
      <c r="BD185" s="2">
        <v>10.199999999999999</v>
      </c>
      <c r="BE185" s="2" t="s">
        <v>533</v>
      </c>
      <c r="BF185" s="2">
        <v>11.95</v>
      </c>
      <c r="BG185" s="2" t="s">
        <v>533</v>
      </c>
      <c r="BH185" s="2">
        <v>30.5</v>
      </c>
      <c r="BI185" s="2" t="s">
        <v>533</v>
      </c>
      <c r="BJ185" s="2">
        <v>143.11000000000001</v>
      </c>
      <c r="BK185" s="2" t="s">
        <v>533</v>
      </c>
      <c r="BL185" s="2">
        <v>32.369999999999997</v>
      </c>
      <c r="BM185" s="2" t="s">
        <v>533</v>
      </c>
      <c r="BN185" s="2">
        <v>32.44</v>
      </c>
      <c r="BO185" s="2" t="s">
        <v>533</v>
      </c>
      <c r="BP185" s="2" t="s">
        <v>70</v>
      </c>
      <c r="BQ185" s="2" t="s">
        <v>533</v>
      </c>
      <c r="BR185" s="2">
        <v>12.4</v>
      </c>
      <c r="BS185" s="2" t="s">
        <v>533</v>
      </c>
      <c r="BT185" s="2">
        <v>12.15</v>
      </c>
      <c r="BU185" s="2" t="s">
        <v>533</v>
      </c>
      <c r="BV185" s="2">
        <v>66954.720000000001</v>
      </c>
      <c r="BW185" s="2" t="s">
        <v>533</v>
      </c>
      <c r="BX185" s="2">
        <v>24.6</v>
      </c>
    </row>
    <row r="186" spans="1:76">
      <c r="A186" s="2" t="s">
        <v>1</v>
      </c>
      <c r="B186" s="2">
        <v>186</v>
      </c>
      <c r="C186" s="2" t="s">
        <v>534</v>
      </c>
      <c r="D186" s="2">
        <v>11.03</v>
      </c>
      <c r="E186" s="2" t="s">
        <v>534</v>
      </c>
      <c r="F186" s="2">
        <v>22.4</v>
      </c>
      <c r="G186" s="2" t="s">
        <v>534</v>
      </c>
      <c r="H186" s="2">
        <v>37.979999999999997</v>
      </c>
      <c r="I186" s="2" t="s">
        <v>534</v>
      </c>
      <c r="J186" s="2">
        <v>8.1</v>
      </c>
      <c r="K186" s="2" t="s">
        <v>534</v>
      </c>
      <c r="L186" s="2">
        <v>13.79</v>
      </c>
      <c r="M186" s="2" t="s">
        <v>534</v>
      </c>
      <c r="N186" s="2">
        <v>7.53</v>
      </c>
      <c r="O186" s="2" t="s">
        <v>534</v>
      </c>
      <c r="P186" s="2">
        <v>19.7</v>
      </c>
      <c r="Q186" s="2" t="s">
        <v>534</v>
      </c>
      <c r="R186" s="2">
        <v>15.92</v>
      </c>
      <c r="S186" s="2" t="s">
        <v>534</v>
      </c>
      <c r="T186" s="2">
        <v>10.36</v>
      </c>
      <c r="U186" s="2" t="s">
        <v>534</v>
      </c>
      <c r="V186" s="2">
        <v>3.98</v>
      </c>
      <c r="W186" s="2" t="s">
        <v>534</v>
      </c>
      <c r="X186" s="2" t="s">
        <v>536</v>
      </c>
      <c r="Y186" s="2" t="s">
        <v>534</v>
      </c>
      <c r="Z186" s="2">
        <v>24.54</v>
      </c>
      <c r="AA186" s="2" t="s">
        <v>537</v>
      </c>
      <c r="AB186" s="2">
        <v>18.059999999999999</v>
      </c>
      <c r="AC186" s="2" t="s">
        <v>534</v>
      </c>
      <c r="AD186" s="2">
        <v>10.94</v>
      </c>
      <c r="AE186" s="2" t="s">
        <v>534</v>
      </c>
      <c r="AF186" s="2" t="s">
        <v>44</v>
      </c>
      <c r="AG186" s="2" t="s">
        <v>534</v>
      </c>
      <c r="AH186" s="2">
        <v>34.1</v>
      </c>
      <c r="AI186" s="2" t="s">
        <v>534</v>
      </c>
      <c r="AJ186" s="2">
        <v>46.58</v>
      </c>
      <c r="AK186" s="2" t="s">
        <v>534</v>
      </c>
      <c r="AL186" s="2">
        <v>3.8</v>
      </c>
      <c r="AM186" s="2" t="s">
        <v>534</v>
      </c>
      <c r="AN186" s="2">
        <v>64.150000000000006</v>
      </c>
      <c r="AO186" s="2" t="s">
        <v>534</v>
      </c>
      <c r="AP186" s="2">
        <v>87.8</v>
      </c>
      <c r="AQ186" s="2" t="s">
        <v>534</v>
      </c>
      <c r="AR186" s="2">
        <v>8.5299999999999994</v>
      </c>
      <c r="AS186" s="2" t="s">
        <v>534</v>
      </c>
      <c r="AT186" s="2" t="s">
        <v>538</v>
      </c>
      <c r="AU186" s="2" t="s">
        <v>534</v>
      </c>
      <c r="AV186" s="2" t="s">
        <v>505</v>
      </c>
      <c r="AW186" s="2" t="s">
        <v>534</v>
      </c>
      <c r="AX186" s="2" t="s">
        <v>85</v>
      </c>
      <c r="AY186" s="2" t="s">
        <v>534</v>
      </c>
      <c r="AZ186" s="2">
        <v>2.8</v>
      </c>
      <c r="BA186" s="2" t="s">
        <v>534</v>
      </c>
      <c r="BB186" s="2">
        <v>133.38999999999999</v>
      </c>
      <c r="BC186" s="2" t="s">
        <v>534</v>
      </c>
      <c r="BD186" s="2">
        <v>8.84</v>
      </c>
      <c r="BE186" s="2" t="s">
        <v>534</v>
      </c>
      <c r="BF186" s="2" t="s">
        <v>70</v>
      </c>
      <c r="BG186" s="2" t="s">
        <v>534</v>
      </c>
      <c r="BH186" s="2">
        <v>31.13</v>
      </c>
      <c r="BI186" s="2" t="s">
        <v>534</v>
      </c>
      <c r="BJ186" s="2">
        <v>132.5</v>
      </c>
      <c r="BK186" s="2" t="s">
        <v>534</v>
      </c>
      <c r="BL186" s="2">
        <v>35.200000000000003</v>
      </c>
      <c r="BM186" s="2" t="s">
        <v>534</v>
      </c>
      <c r="BN186" s="2">
        <v>30.45</v>
      </c>
      <c r="BO186" s="2" t="s">
        <v>534</v>
      </c>
      <c r="BP186" s="2">
        <v>11.5</v>
      </c>
      <c r="BQ186" s="2" t="s">
        <v>534</v>
      </c>
      <c r="BR186" s="2">
        <v>11.88</v>
      </c>
      <c r="BS186" s="2" t="s">
        <v>534</v>
      </c>
      <c r="BT186" s="2">
        <v>11.48</v>
      </c>
      <c r="BU186" s="2" t="s">
        <v>534</v>
      </c>
      <c r="BV186" s="2">
        <v>63569.62</v>
      </c>
      <c r="BW186" s="2" t="s">
        <v>534</v>
      </c>
      <c r="BX186" s="2">
        <v>23.83</v>
      </c>
    </row>
    <row r="187" spans="1:76">
      <c r="A187" s="2" t="s">
        <v>1</v>
      </c>
      <c r="B187" s="2">
        <v>187</v>
      </c>
      <c r="C187" s="2" t="s">
        <v>537</v>
      </c>
      <c r="D187" s="2">
        <v>11.53</v>
      </c>
      <c r="E187" s="2" t="s">
        <v>537</v>
      </c>
      <c r="F187" s="2">
        <v>24.71</v>
      </c>
      <c r="G187" s="2" t="s">
        <v>537</v>
      </c>
      <c r="H187" s="2">
        <v>37.770000000000003</v>
      </c>
      <c r="I187" s="2" t="s">
        <v>537</v>
      </c>
      <c r="J187" s="2">
        <v>8.1199999999999992</v>
      </c>
      <c r="K187" s="2" t="s">
        <v>537</v>
      </c>
      <c r="L187" s="2">
        <v>14.08</v>
      </c>
      <c r="M187" s="2" t="s">
        <v>537</v>
      </c>
      <c r="N187" s="2">
        <v>8.07</v>
      </c>
      <c r="O187" s="2" t="s">
        <v>537</v>
      </c>
      <c r="P187" s="2">
        <v>20.53</v>
      </c>
      <c r="Q187" s="2" t="s">
        <v>537</v>
      </c>
      <c r="R187" s="2">
        <v>16.579999999999998</v>
      </c>
      <c r="S187" s="2" t="s">
        <v>537</v>
      </c>
      <c r="T187" s="2">
        <v>12.03</v>
      </c>
      <c r="U187" s="2" t="s">
        <v>537</v>
      </c>
      <c r="V187" s="2">
        <v>4.03</v>
      </c>
      <c r="W187" s="2" t="s">
        <v>537</v>
      </c>
      <c r="X187" s="2" t="s">
        <v>539</v>
      </c>
      <c r="Y187" s="2" t="s">
        <v>537</v>
      </c>
      <c r="Z187" s="2">
        <v>24.72</v>
      </c>
      <c r="AA187" s="2" t="s">
        <v>540</v>
      </c>
      <c r="AB187" s="2">
        <v>19.09</v>
      </c>
      <c r="AC187" s="2" t="s">
        <v>537</v>
      </c>
      <c r="AD187" s="2">
        <v>11.24</v>
      </c>
      <c r="AE187" s="2" t="s">
        <v>537</v>
      </c>
      <c r="AF187" s="2">
        <v>18.12</v>
      </c>
      <c r="AG187" s="2" t="s">
        <v>537</v>
      </c>
      <c r="AH187" s="2">
        <v>37.64</v>
      </c>
      <c r="AI187" s="2" t="s">
        <v>537</v>
      </c>
      <c r="AJ187" s="2">
        <v>46.61</v>
      </c>
      <c r="AK187" s="2" t="s">
        <v>537</v>
      </c>
      <c r="AL187" s="2">
        <v>3.75</v>
      </c>
      <c r="AM187" s="2" t="s">
        <v>537</v>
      </c>
      <c r="AN187" s="2">
        <v>67.2</v>
      </c>
      <c r="AO187" s="2" t="s">
        <v>537</v>
      </c>
      <c r="AP187" s="2">
        <v>90.02</v>
      </c>
      <c r="AQ187" s="2" t="s">
        <v>537</v>
      </c>
      <c r="AR187" s="2">
        <v>8.9600000000000009</v>
      </c>
      <c r="AS187" s="2" t="s">
        <v>537</v>
      </c>
      <c r="AT187" s="2" t="s">
        <v>541</v>
      </c>
      <c r="AU187" s="2" t="s">
        <v>537</v>
      </c>
      <c r="AV187" s="2" t="s">
        <v>520</v>
      </c>
      <c r="AW187" s="2" t="s">
        <v>537</v>
      </c>
      <c r="AX187" s="2">
        <v>89.75</v>
      </c>
      <c r="AY187" s="2" t="s">
        <v>537</v>
      </c>
      <c r="AZ187" s="2" t="s">
        <v>132</v>
      </c>
      <c r="BA187" s="2" t="s">
        <v>537</v>
      </c>
      <c r="BB187" s="2" t="s">
        <v>91</v>
      </c>
      <c r="BC187" s="2" t="s">
        <v>537</v>
      </c>
      <c r="BD187" s="2">
        <v>9.36</v>
      </c>
      <c r="BE187" s="2" t="s">
        <v>537</v>
      </c>
      <c r="BF187" s="2">
        <v>12.9</v>
      </c>
      <c r="BG187" s="2" t="s">
        <v>537</v>
      </c>
      <c r="BH187" s="2">
        <v>32.700000000000003</v>
      </c>
      <c r="BI187" s="2" t="s">
        <v>537</v>
      </c>
      <c r="BJ187" s="2" t="s">
        <v>542</v>
      </c>
      <c r="BK187" s="2" t="s">
        <v>537</v>
      </c>
      <c r="BL187" s="2">
        <v>36.06</v>
      </c>
      <c r="BM187" s="2" t="s">
        <v>537</v>
      </c>
      <c r="BN187" s="2">
        <v>36.31</v>
      </c>
      <c r="BO187" s="2" t="s">
        <v>537</v>
      </c>
      <c r="BP187" s="2">
        <v>13.25</v>
      </c>
      <c r="BQ187" s="2" t="s">
        <v>537</v>
      </c>
      <c r="BR187" s="2">
        <v>13.07</v>
      </c>
      <c r="BS187" s="2" t="s">
        <v>537</v>
      </c>
      <c r="BT187" s="2">
        <v>11.96</v>
      </c>
      <c r="BU187" s="2" t="s">
        <v>537</v>
      </c>
      <c r="BV187" s="2">
        <v>69729.3</v>
      </c>
      <c r="BW187" s="2" t="s">
        <v>537</v>
      </c>
      <c r="BX187" s="2" t="s">
        <v>52</v>
      </c>
    </row>
    <row r="188" spans="1:76">
      <c r="A188" s="2" t="s">
        <v>1</v>
      </c>
      <c r="B188" s="2">
        <v>188</v>
      </c>
      <c r="C188" s="2" t="s">
        <v>540</v>
      </c>
      <c r="D188" s="2">
        <v>13.5</v>
      </c>
      <c r="E188" s="2" t="s">
        <v>540</v>
      </c>
      <c r="F188" s="2">
        <v>26.54</v>
      </c>
      <c r="G188" s="2" t="s">
        <v>540</v>
      </c>
      <c r="H188" s="2">
        <v>38.229999999999997</v>
      </c>
      <c r="I188" s="2" t="s">
        <v>540</v>
      </c>
      <c r="J188" s="2">
        <v>8.8800000000000008</v>
      </c>
      <c r="K188" s="2" t="s">
        <v>540</v>
      </c>
      <c r="L188" s="2">
        <v>14.61</v>
      </c>
      <c r="M188" s="2" t="s">
        <v>540</v>
      </c>
      <c r="N188" s="2">
        <v>8.61</v>
      </c>
      <c r="O188" s="2" t="s">
        <v>540</v>
      </c>
      <c r="P188" s="2">
        <v>21.65</v>
      </c>
      <c r="Q188" s="2" t="s">
        <v>540</v>
      </c>
      <c r="R188" s="2">
        <v>18.04</v>
      </c>
      <c r="S188" s="2" t="s">
        <v>540</v>
      </c>
      <c r="T188" s="2">
        <v>13.1</v>
      </c>
      <c r="U188" s="2" t="s">
        <v>540</v>
      </c>
      <c r="V188" s="2">
        <v>4.2699999999999996</v>
      </c>
      <c r="W188" s="2" t="s">
        <v>540</v>
      </c>
      <c r="X188" s="2">
        <v>84.5</v>
      </c>
      <c r="Y188" s="2" t="s">
        <v>540</v>
      </c>
      <c r="Z188" s="2">
        <v>24.82</v>
      </c>
      <c r="AA188" s="2" t="s">
        <v>543</v>
      </c>
      <c r="AB188" s="2">
        <v>20.350000000000001</v>
      </c>
      <c r="AC188" s="2" t="s">
        <v>540</v>
      </c>
      <c r="AD188" s="2">
        <v>11.91</v>
      </c>
      <c r="AE188" s="2" t="s">
        <v>540</v>
      </c>
      <c r="AF188" s="2">
        <v>21.5</v>
      </c>
      <c r="AG188" s="2" t="s">
        <v>540</v>
      </c>
      <c r="AH188" s="2">
        <v>40.85</v>
      </c>
      <c r="AI188" s="2" t="s">
        <v>540</v>
      </c>
      <c r="AJ188" s="2">
        <v>47.09</v>
      </c>
      <c r="AK188" s="2" t="s">
        <v>540</v>
      </c>
      <c r="AL188" s="2">
        <v>4.1500000000000004</v>
      </c>
      <c r="AM188" s="2" t="s">
        <v>540</v>
      </c>
      <c r="AN188" s="2">
        <v>73.61</v>
      </c>
      <c r="AO188" s="2" t="s">
        <v>540</v>
      </c>
      <c r="AP188" s="2">
        <v>92.13</v>
      </c>
      <c r="AQ188" s="2" t="s">
        <v>540</v>
      </c>
      <c r="AR188" s="2">
        <v>9.2200000000000006</v>
      </c>
      <c r="AS188" s="2" t="s">
        <v>540</v>
      </c>
      <c r="AT188" s="2" t="s">
        <v>125</v>
      </c>
      <c r="AU188" s="2" t="s">
        <v>540</v>
      </c>
      <c r="AV188" s="2">
        <v>105.12</v>
      </c>
      <c r="AW188" s="2" t="s">
        <v>540</v>
      </c>
      <c r="AX188" s="2">
        <v>96.51</v>
      </c>
      <c r="AY188" s="2" t="s">
        <v>540</v>
      </c>
      <c r="AZ188" s="2">
        <v>3.04</v>
      </c>
      <c r="BA188" s="2" t="s">
        <v>540</v>
      </c>
      <c r="BB188" s="2">
        <v>152.51</v>
      </c>
      <c r="BC188" s="2" t="s">
        <v>540</v>
      </c>
      <c r="BD188" s="2">
        <v>11.95</v>
      </c>
      <c r="BE188" s="2" t="s">
        <v>540</v>
      </c>
      <c r="BF188" s="2">
        <v>15.9</v>
      </c>
      <c r="BG188" s="2" t="s">
        <v>540</v>
      </c>
      <c r="BH188" s="2">
        <v>31.75</v>
      </c>
      <c r="BI188" s="2" t="s">
        <v>540</v>
      </c>
      <c r="BJ188" s="2">
        <v>148.9</v>
      </c>
      <c r="BK188" s="2" t="s">
        <v>540</v>
      </c>
      <c r="BL188" s="2">
        <v>37.36</v>
      </c>
      <c r="BM188" s="2" t="s">
        <v>540</v>
      </c>
      <c r="BN188" s="2">
        <v>38.79</v>
      </c>
      <c r="BO188" s="2" t="s">
        <v>540</v>
      </c>
      <c r="BP188" s="2">
        <v>14.32</v>
      </c>
      <c r="BQ188" s="2" t="s">
        <v>540</v>
      </c>
      <c r="BR188" s="2">
        <v>17.29</v>
      </c>
      <c r="BS188" s="2" t="s">
        <v>540</v>
      </c>
      <c r="BT188" s="2">
        <v>12.57</v>
      </c>
      <c r="BU188" s="2" t="s">
        <v>540</v>
      </c>
      <c r="BV188" s="2">
        <v>74955.570000000007</v>
      </c>
      <c r="BW188" s="2" t="s">
        <v>540</v>
      </c>
      <c r="BX188" s="2">
        <v>24.98</v>
      </c>
    </row>
    <row r="189" spans="1:76">
      <c r="A189" s="2" t="s">
        <v>1</v>
      </c>
      <c r="B189" s="2">
        <v>189</v>
      </c>
      <c r="C189" s="2" t="s">
        <v>543</v>
      </c>
      <c r="D189" s="2">
        <v>14.16</v>
      </c>
      <c r="E189" s="2" t="s">
        <v>543</v>
      </c>
      <c r="F189" s="2">
        <v>26.55</v>
      </c>
      <c r="G189" s="2" t="s">
        <v>543</v>
      </c>
      <c r="H189" s="2">
        <v>41.25</v>
      </c>
      <c r="I189" s="2" t="s">
        <v>543</v>
      </c>
      <c r="J189" s="2">
        <v>9.01</v>
      </c>
      <c r="K189" s="2" t="s">
        <v>543</v>
      </c>
      <c r="L189" s="2">
        <v>16.100000000000001</v>
      </c>
      <c r="M189" s="2" t="s">
        <v>543</v>
      </c>
      <c r="N189" s="2">
        <v>8.98</v>
      </c>
      <c r="O189" s="2" t="s">
        <v>543</v>
      </c>
      <c r="P189" s="2">
        <v>23.03</v>
      </c>
      <c r="Q189" s="2" t="s">
        <v>543</v>
      </c>
      <c r="R189" s="2">
        <v>19.739999999999998</v>
      </c>
      <c r="S189" s="2" t="s">
        <v>543</v>
      </c>
      <c r="T189" s="2">
        <v>14.24</v>
      </c>
      <c r="U189" s="2" t="s">
        <v>543</v>
      </c>
      <c r="V189" s="2">
        <v>4.93</v>
      </c>
      <c r="W189" s="2" t="s">
        <v>543</v>
      </c>
      <c r="X189" s="2">
        <v>91.97</v>
      </c>
      <c r="Y189" s="2" t="s">
        <v>543</v>
      </c>
      <c r="Z189" s="2" t="s">
        <v>60</v>
      </c>
      <c r="AA189" s="2" t="s">
        <v>544</v>
      </c>
      <c r="AB189" s="2">
        <v>19.739999999999998</v>
      </c>
      <c r="AC189" s="2" t="s">
        <v>543</v>
      </c>
      <c r="AD189" s="2">
        <v>12.9</v>
      </c>
      <c r="AE189" s="2" t="s">
        <v>543</v>
      </c>
      <c r="AF189" s="2">
        <v>23.44</v>
      </c>
      <c r="AG189" s="2" t="s">
        <v>543</v>
      </c>
      <c r="AH189" s="2" t="s">
        <v>65</v>
      </c>
      <c r="AI189" s="2" t="s">
        <v>543</v>
      </c>
      <c r="AJ189" s="2">
        <v>48.97</v>
      </c>
      <c r="AK189" s="2" t="s">
        <v>543</v>
      </c>
      <c r="AL189" s="2">
        <v>4.4000000000000004</v>
      </c>
      <c r="AM189" s="2" t="s">
        <v>543</v>
      </c>
      <c r="AN189" s="2" t="s">
        <v>545</v>
      </c>
      <c r="AO189" s="2" t="s">
        <v>543</v>
      </c>
      <c r="AP189" s="2">
        <v>94.2</v>
      </c>
      <c r="AQ189" s="2" t="s">
        <v>543</v>
      </c>
      <c r="AR189" s="2">
        <v>9.6999999999999993</v>
      </c>
      <c r="AS189" s="2" t="s">
        <v>543</v>
      </c>
      <c r="AT189" s="2">
        <v>1019.49</v>
      </c>
      <c r="AU189" s="2" t="s">
        <v>543</v>
      </c>
      <c r="AV189" s="2" t="s">
        <v>121</v>
      </c>
      <c r="AW189" s="2" t="s">
        <v>543</v>
      </c>
      <c r="AX189" s="2">
        <v>99.2</v>
      </c>
      <c r="AY189" s="2" t="s">
        <v>543</v>
      </c>
      <c r="AZ189" s="2">
        <v>3.08</v>
      </c>
      <c r="BA189" s="2" t="s">
        <v>543</v>
      </c>
      <c r="BB189" s="2">
        <v>158.88999999999999</v>
      </c>
      <c r="BC189" s="2" t="s">
        <v>543</v>
      </c>
      <c r="BD189" s="2">
        <v>13.12</v>
      </c>
      <c r="BE189" s="2" t="s">
        <v>543</v>
      </c>
      <c r="BF189" s="2">
        <v>15.85</v>
      </c>
      <c r="BG189" s="2" t="s">
        <v>543</v>
      </c>
      <c r="BH189" s="2">
        <v>33.200000000000003</v>
      </c>
      <c r="BI189" s="2" t="s">
        <v>543</v>
      </c>
      <c r="BJ189" s="2">
        <v>151.84</v>
      </c>
      <c r="BK189" s="2" t="s">
        <v>543</v>
      </c>
      <c r="BL189" s="2">
        <v>37.950000000000003</v>
      </c>
      <c r="BM189" s="2" t="s">
        <v>543</v>
      </c>
      <c r="BN189" s="2">
        <v>38.64</v>
      </c>
      <c r="BO189" s="2" t="s">
        <v>543</v>
      </c>
      <c r="BP189" s="2">
        <v>14.39</v>
      </c>
      <c r="BQ189" s="2" t="s">
        <v>543</v>
      </c>
      <c r="BR189" s="2">
        <v>18.93</v>
      </c>
      <c r="BS189" s="2" t="s">
        <v>543</v>
      </c>
      <c r="BT189" s="2">
        <v>13.58</v>
      </c>
      <c r="BU189" s="2" t="s">
        <v>543</v>
      </c>
      <c r="BV189" s="2">
        <v>77709.66</v>
      </c>
      <c r="BW189" s="2" t="s">
        <v>543</v>
      </c>
      <c r="BX189" s="2">
        <v>27.37</v>
      </c>
    </row>
    <row r="190" spans="1:76">
      <c r="A190" s="2" t="s">
        <v>1</v>
      </c>
      <c r="B190" s="2">
        <v>190</v>
      </c>
      <c r="C190" s="2" t="s">
        <v>544</v>
      </c>
      <c r="D190" s="2">
        <v>13.84</v>
      </c>
      <c r="E190" s="2" t="s">
        <v>544</v>
      </c>
      <c r="F190" s="2">
        <v>24.5</v>
      </c>
      <c r="G190" s="2" t="s">
        <v>544</v>
      </c>
      <c r="H190" s="2">
        <v>39.090000000000003</v>
      </c>
      <c r="I190" s="2" t="s">
        <v>544</v>
      </c>
      <c r="J190" s="2">
        <v>9.0500000000000007</v>
      </c>
      <c r="K190" s="2" t="s">
        <v>544</v>
      </c>
      <c r="L190" s="2">
        <v>15.5</v>
      </c>
      <c r="M190" s="2" t="s">
        <v>544</v>
      </c>
      <c r="N190" s="2">
        <v>8.5</v>
      </c>
      <c r="O190" s="2" t="s">
        <v>544</v>
      </c>
      <c r="P190" s="2">
        <v>22.17</v>
      </c>
      <c r="Q190" s="2" t="s">
        <v>544</v>
      </c>
      <c r="R190" s="2">
        <v>19.489999999999998</v>
      </c>
      <c r="S190" s="2" t="s">
        <v>544</v>
      </c>
      <c r="T190" s="2">
        <v>13.6</v>
      </c>
      <c r="U190" s="2" t="s">
        <v>544</v>
      </c>
      <c r="V190" s="2">
        <v>4.7699999999999996</v>
      </c>
      <c r="W190" s="2" t="s">
        <v>544</v>
      </c>
      <c r="X190" s="2">
        <v>99.69</v>
      </c>
      <c r="Y190" s="2" t="s">
        <v>544</v>
      </c>
      <c r="Z190" s="2">
        <v>25.47</v>
      </c>
      <c r="AA190" s="2" t="s">
        <v>546</v>
      </c>
      <c r="AB190" s="2">
        <v>19.37</v>
      </c>
      <c r="AC190" s="2" t="s">
        <v>544</v>
      </c>
      <c r="AD190" s="2">
        <v>13.09</v>
      </c>
      <c r="AE190" s="2" t="s">
        <v>544</v>
      </c>
      <c r="AF190" s="2">
        <v>23.3</v>
      </c>
      <c r="AG190" s="2" t="s">
        <v>544</v>
      </c>
      <c r="AH190" s="2">
        <v>40.1</v>
      </c>
      <c r="AI190" s="2" t="s">
        <v>544</v>
      </c>
      <c r="AJ190" s="2">
        <v>48.08</v>
      </c>
      <c r="AK190" s="2" t="s">
        <v>544</v>
      </c>
      <c r="AL190" s="2">
        <v>4.0999999999999996</v>
      </c>
      <c r="AM190" s="2" t="s">
        <v>544</v>
      </c>
      <c r="AN190" s="2">
        <v>78.81</v>
      </c>
      <c r="AO190" s="2" t="s">
        <v>544</v>
      </c>
      <c r="AP190" s="2">
        <v>93.6</v>
      </c>
      <c r="AQ190" s="2" t="s">
        <v>544</v>
      </c>
      <c r="AR190" s="2">
        <v>9.93</v>
      </c>
      <c r="AS190" s="2" t="s">
        <v>544</v>
      </c>
      <c r="AT190" s="2">
        <v>1047.99</v>
      </c>
      <c r="AU190" s="2" t="s">
        <v>544</v>
      </c>
      <c r="AV190" s="2">
        <v>112.6</v>
      </c>
      <c r="AW190" s="2" t="s">
        <v>544</v>
      </c>
      <c r="AX190" s="2" t="s">
        <v>86</v>
      </c>
      <c r="AY190" s="2" t="s">
        <v>544</v>
      </c>
      <c r="AZ190" s="2">
        <v>3.01</v>
      </c>
      <c r="BA190" s="2" t="s">
        <v>544</v>
      </c>
      <c r="BB190" s="2">
        <v>160.88999999999999</v>
      </c>
      <c r="BC190" s="2" t="s">
        <v>544</v>
      </c>
      <c r="BD190" s="2">
        <v>12.49</v>
      </c>
      <c r="BE190" s="2" t="s">
        <v>544</v>
      </c>
      <c r="BF190" s="2">
        <v>15.89</v>
      </c>
      <c r="BG190" s="2" t="s">
        <v>544</v>
      </c>
      <c r="BH190" s="2">
        <v>31.41</v>
      </c>
      <c r="BI190" s="2" t="s">
        <v>544</v>
      </c>
      <c r="BJ190" s="2">
        <v>150.6</v>
      </c>
      <c r="BK190" s="2" t="s">
        <v>544</v>
      </c>
      <c r="BL190" s="2">
        <v>35.36</v>
      </c>
      <c r="BM190" s="2" t="s">
        <v>544</v>
      </c>
      <c r="BN190" s="2">
        <v>36.909999999999997</v>
      </c>
      <c r="BO190" s="2" t="s">
        <v>544</v>
      </c>
      <c r="BP190" s="2">
        <v>13.3</v>
      </c>
      <c r="BQ190" s="2" t="s">
        <v>544</v>
      </c>
      <c r="BR190" s="2">
        <v>18.100000000000001</v>
      </c>
      <c r="BS190" s="2" t="s">
        <v>544</v>
      </c>
      <c r="BT190" s="2">
        <v>13.25</v>
      </c>
      <c r="BU190" s="2" t="s">
        <v>544</v>
      </c>
      <c r="BV190" s="2">
        <v>73428.78</v>
      </c>
      <c r="BW190" s="2" t="s">
        <v>544</v>
      </c>
      <c r="BX190" s="2">
        <v>26.52</v>
      </c>
    </row>
    <row r="191" spans="1:76">
      <c r="A191" s="2" t="s">
        <v>1</v>
      </c>
      <c r="B191" s="2">
        <v>191</v>
      </c>
      <c r="C191" s="2" t="s">
        <v>546</v>
      </c>
      <c r="D191" s="2">
        <v>13.63</v>
      </c>
      <c r="E191" s="2" t="s">
        <v>546</v>
      </c>
      <c r="F191" s="2">
        <v>24.79</v>
      </c>
      <c r="G191" s="2" t="s">
        <v>546</v>
      </c>
      <c r="H191" s="2">
        <v>39.799999999999997</v>
      </c>
      <c r="I191" s="2" t="s">
        <v>546</v>
      </c>
      <c r="J191" s="2">
        <v>8.82</v>
      </c>
      <c r="K191" s="2" t="s">
        <v>546</v>
      </c>
      <c r="L191" s="2">
        <v>16.29</v>
      </c>
      <c r="M191" s="2" t="s">
        <v>546</v>
      </c>
      <c r="N191" s="2">
        <v>8.82</v>
      </c>
      <c r="O191" s="2" t="s">
        <v>546</v>
      </c>
      <c r="P191" s="2">
        <v>22.83</v>
      </c>
      <c r="Q191" s="2" t="s">
        <v>546</v>
      </c>
      <c r="R191" s="2">
        <v>18.440000000000001</v>
      </c>
      <c r="S191" s="2" t="s">
        <v>546</v>
      </c>
      <c r="T191" s="2">
        <v>13.04</v>
      </c>
      <c r="U191" s="2" t="s">
        <v>546</v>
      </c>
      <c r="V191" s="2">
        <v>4.9400000000000004</v>
      </c>
      <c r="W191" s="2" t="s">
        <v>546</v>
      </c>
      <c r="X191" s="2">
        <v>98.49</v>
      </c>
      <c r="Y191" s="2" t="s">
        <v>546</v>
      </c>
      <c r="Z191" s="2">
        <v>25.27</v>
      </c>
      <c r="AA191" s="2" t="s">
        <v>547</v>
      </c>
      <c r="AB191" s="2">
        <v>18.97</v>
      </c>
      <c r="AC191" s="2" t="s">
        <v>546</v>
      </c>
      <c r="AD191" s="2">
        <v>13.29</v>
      </c>
      <c r="AE191" s="2" t="s">
        <v>546</v>
      </c>
      <c r="AF191" s="2">
        <v>24.25</v>
      </c>
      <c r="AG191" s="2" t="s">
        <v>546</v>
      </c>
      <c r="AH191" s="2">
        <v>41.77</v>
      </c>
      <c r="AI191" s="2" t="s">
        <v>546</v>
      </c>
      <c r="AJ191" s="2" t="s">
        <v>131</v>
      </c>
      <c r="AK191" s="2" t="s">
        <v>546</v>
      </c>
      <c r="AL191" s="2">
        <v>4.13</v>
      </c>
      <c r="AM191" s="2" t="s">
        <v>546</v>
      </c>
      <c r="AN191" s="2">
        <v>78.5</v>
      </c>
      <c r="AO191" s="2" t="s">
        <v>546</v>
      </c>
      <c r="AP191" s="2" t="s">
        <v>548</v>
      </c>
      <c r="AQ191" s="2" t="s">
        <v>546</v>
      </c>
      <c r="AR191" s="2">
        <v>10.19</v>
      </c>
      <c r="AS191" s="2" t="s">
        <v>546</v>
      </c>
      <c r="AT191" s="2" t="s">
        <v>549</v>
      </c>
      <c r="AU191" s="2" t="s">
        <v>546</v>
      </c>
      <c r="AV191" s="2">
        <v>116.95</v>
      </c>
      <c r="AW191" s="2" t="s">
        <v>546</v>
      </c>
      <c r="AX191" s="2">
        <v>102.95</v>
      </c>
      <c r="AY191" s="2" t="s">
        <v>546</v>
      </c>
      <c r="AZ191" s="2" t="s">
        <v>132</v>
      </c>
      <c r="BA191" s="2" t="s">
        <v>546</v>
      </c>
      <c r="BB191" s="2" t="s">
        <v>142</v>
      </c>
      <c r="BC191" s="2" t="s">
        <v>546</v>
      </c>
      <c r="BD191" s="2">
        <v>11.63</v>
      </c>
      <c r="BE191" s="2" t="s">
        <v>546</v>
      </c>
      <c r="BF191" s="2">
        <v>15.6</v>
      </c>
      <c r="BG191" s="2" t="s">
        <v>546</v>
      </c>
      <c r="BH191" s="2">
        <v>31.34</v>
      </c>
      <c r="BI191" s="2" t="s">
        <v>546</v>
      </c>
      <c r="BJ191" s="2">
        <v>153.05000000000001</v>
      </c>
      <c r="BK191" s="2" t="s">
        <v>546</v>
      </c>
      <c r="BL191" s="2">
        <v>34.020000000000003</v>
      </c>
      <c r="BM191" s="2" t="s">
        <v>546</v>
      </c>
      <c r="BN191" s="2" t="s">
        <v>114</v>
      </c>
      <c r="BO191" s="2" t="s">
        <v>546</v>
      </c>
      <c r="BP191" s="2">
        <v>13.38</v>
      </c>
      <c r="BQ191" s="2" t="s">
        <v>546</v>
      </c>
      <c r="BR191" s="2" t="s">
        <v>44</v>
      </c>
      <c r="BS191" s="2" t="s">
        <v>546</v>
      </c>
      <c r="BT191" s="2">
        <v>13.47</v>
      </c>
      <c r="BU191" s="2" t="s">
        <v>546</v>
      </c>
      <c r="BV191" s="2">
        <v>74639.48</v>
      </c>
      <c r="BW191" s="2" t="s">
        <v>546</v>
      </c>
      <c r="BX191" s="2">
        <v>26.79</v>
      </c>
    </row>
    <row r="192" spans="1:76">
      <c r="A192" s="2" t="s">
        <v>1</v>
      </c>
      <c r="B192" s="2">
        <v>192</v>
      </c>
      <c r="C192" s="2" t="s">
        <v>547</v>
      </c>
      <c r="D192" s="2">
        <v>13.24</v>
      </c>
      <c r="E192" s="2" t="s">
        <v>547</v>
      </c>
      <c r="F192" s="2">
        <v>24.85</v>
      </c>
      <c r="G192" s="2" t="s">
        <v>547</v>
      </c>
      <c r="H192" s="2">
        <v>38.92</v>
      </c>
      <c r="I192" s="2" t="s">
        <v>547</v>
      </c>
      <c r="J192" s="2">
        <v>9.15</v>
      </c>
      <c r="K192" s="2" t="s">
        <v>547</v>
      </c>
      <c r="L192" s="2">
        <v>16.28</v>
      </c>
      <c r="M192" s="2" t="s">
        <v>547</v>
      </c>
      <c r="N192" s="2">
        <v>8.77</v>
      </c>
      <c r="O192" s="2" t="s">
        <v>547</v>
      </c>
      <c r="P192" s="2">
        <v>22.08</v>
      </c>
      <c r="Q192" s="2" t="s">
        <v>547</v>
      </c>
      <c r="R192" s="2">
        <v>17.54</v>
      </c>
      <c r="S192" s="2" t="s">
        <v>547</v>
      </c>
      <c r="T192" s="2">
        <v>12.24</v>
      </c>
      <c r="U192" s="2" t="s">
        <v>547</v>
      </c>
      <c r="V192" s="2">
        <v>4.8099999999999996</v>
      </c>
      <c r="W192" s="2" t="s">
        <v>547</v>
      </c>
      <c r="X192" s="2">
        <v>99.9</v>
      </c>
      <c r="Y192" s="2" t="s">
        <v>547</v>
      </c>
      <c r="Z192" s="2">
        <v>25.83</v>
      </c>
      <c r="AA192" s="2" t="s">
        <v>550</v>
      </c>
      <c r="AB192" s="2">
        <v>18.239999999999998</v>
      </c>
      <c r="AC192" s="2" t="s">
        <v>547</v>
      </c>
      <c r="AD192" s="2">
        <v>13.12</v>
      </c>
      <c r="AE192" s="2" t="s">
        <v>547</v>
      </c>
      <c r="AF192" s="2" t="s">
        <v>47</v>
      </c>
      <c r="AG192" s="2" t="s">
        <v>547</v>
      </c>
      <c r="AH192" s="2">
        <v>43.22</v>
      </c>
      <c r="AI192" s="2" t="s">
        <v>547</v>
      </c>
      <c r="AJ192" s="2">
        <v>50.6</v>
      </c>
      <c r="AK192" s="2" t="s">
        <v>547</v>
      </c>
      <c r="AL192" s="2">
        <v>4.07</v>
      </c>
      <c r="AM192" s="2" t="s">
        <v>547</v>
      </c>
      <c r="AN192" s="2">
        <v>78.02</v>
      </c>
      <c r="AO192" s="2" t="s">
        <v>547</v>
      </c>
      <c r="AP192" s="2" t="s">
        <v>505</v>
      </c>
      <c r="AQ192" s="2" t="s">
        <v>547</v>
      </c>
      <c r="AR192" s="2">
        <v>10.16</v>
      </c>
      <c r="AS192" s="2" t="s">
        <v>547</v>
      </c>
      <c r="AT192" s="2">
        <v>1033.01</v>
      </c>
      <c r="AU192" s="2" t="s">
        <v>547</v>
      </c>
      <c r="AV192" s="2">
        <v>118.92</v>
      </c>
      <c r="AW192" s="2" t="s">
        <v>547</v>
      </c>
      <c r="AX192" s="2" t="s">
        <v>74</v>
      </c>
      <c r="AY192" s="2" t="s">
        <v>547</v>
      </c>
      <c r="AZ192" s="2" t="s">
        <v>132</v>
      </c>
      <c r="BA192" s="2" t="s">
        <v>547</v>
      </c>
      <c r="BB192" s="2">
        <v>158.05000000000001</v>
      </c>
      <c r="BC192" s="2" t="s">
        <v>547</v>
      </c>
      <c r="BD192" s="2">
        <v>10.49</v>
      </c>
      <c r="BE192" s="2" t="s">
        <v>547</v>
      </c>
      <c r="BF192" s="2">
        <v>15.72</v>
      </c>
      <c r="BG192" s="2" t="s">
        <v>547</v>
      </c>
      <c r="BH192" s="2">
        <v>29.1</v>
      </c>
      <c r="BI192" s="2" t="s">
        <v>547</v>
      </c>
      <c r="BJ192" s="2">
        <v>154.02000000000001</v>
      </c>
      <c r="BK192" s="2" t="s">
        <v>547</v>
      </c>
      <c r="BL192" s="2">
        <v>33.57</v>
      </c>
      <c r="BM192" s="2" t="s">
        <v>547</v>
      </c>
      <c r="BN192" s="2">
        <v>35.9</v>
      </c>
      <c r="BO192" s="2" t="s">
        <v>547</v>
      </c>
      <c r="BP192" s="2">
        <v>13.99</v>
      </c>
      <c r="BQ192" s="2" t="s">
        <v>547</v>
      </c>
      <c r="BR192" s="2">
        <v>16.7</v>
      </c>
      <c r="BS192" s="2" t="s">
        <v>547</v>
      </c>
      <c r="BT192" s="2">
        <v>13.12</v>
      </c>
      <c r="BU192" s="2" t="s">
        <v>547</v>
      </c>
      <c r="BV192" s="2">
        <v>73019.759999999995</v>
      </c>
      <c r="BW192" s="2" t="s">
        <v>547</v>
      </c>
      <c r="BX192" s="2">
        <v>26.88</v>
      </c>
    </row>
    <row r="193" spans="1:76">
      <c r="A193" s="2" t="s">
        <v>1</v>
      </c>
      <c r="B193" s="2">
        <v>193</v>
      </c>
      <c r="C193" s="2" t="s">
        <v>550</v>
      </c>
      <c r="D193" s="2">
        <v>12.75</v>
      </c>
      <c r="E193" s="2" t="s">
        <v>550</v>
      </c>
      <c r="F193" s="2">
        <v>24.06</v>
      </c>
      <c r="G193" s="2" t="s">
        <v>550</v>
      </c>
      <c r="H193" s="2">
        <v>38.200000000000003</v>
      </c>
      <c r="I193" s="2" t="s">
        <v>550</v>
      </c>
      <c r="J193" s="2">
        <v>8.42</v>
      </c>
      <c r="K193" s="2" t="s">
        <v>550</v>
      </c>
      <c r="L193" s="2">
        <v>15.5</v>
      </c>
      <c r="M193" s="2" t="s">
        <v>550</v>
      </c>
      <c r="N193" s="2">
        <v>8.26</v>
      </c>
      <c r="O193" s="2" t="s">
        <v>550</v>
      </c>
      <c r="P193" s="2">
        <v>20.76</v>
      </c>
      <c r="Q193" s="2" t="s">
        <v>550</v>
      </c>
      <c r="R193" s="2">
        <v>17.2</v>
      </c>
      <c r="S193" s="2" t="s">
        <v>550</v>
      </c>
      <c r="T193" s="2" t="s">
        <v>129</v>
      </c>
      <c r="U193" s="2" t="s">
        <v>550</v>
      </c>
      <c r="V193" s="2">
        <v>4.6500000000000004</v>
      </c>
      <c r="W193" s="2" t="s">
        <v>550</v>
      </c>
      <c r="X193" s="2">
        <v>95.59</v>
      </c>
      <c r="Y193" s="2" t="s">
        <v>550</v>
      </c>
      <c r="Z193" s="2">
        <v>25.41</v>
      </c>
      <c r="AA193" s="2" t="s">
        <v>551</v>
      </c>
      <c r="AB193" s="2">
        <v>19.05</v>
      </c>
      <c r="AC193" s="2" t="s">
        <v>550</v>
      </c>
      <c r="AD193" s="2">
        <v>12.85</v>
      </c>
      <c r="AE193" s="2" t="s">
        <v>550</v>
      </c>
      <c r="AF193" s="2">
        <v>23.5</v>
      </c>
      <c r="AG193" s="2" t="s">
        <v>550</v>
      </c>
      <c r="AH193" s="2">
        <v>43.37</v>
      </c>
      <c r="AI193" s="2" t="s">
        <v>550</v>
      </c>
      <c r="AJ193" s="2">
        <v>50.1</v>
      </c>
      <c r="AK193" s="2" t="s">
        <v>550</v>
      </c>
      <c r="AL193" s="2">
        <v>3.97</v>
      </c>
      <c r="AM193" s="2" t="s">
        <v>550</v>
      </c>
      <c r="AN193" s="2" t="s">
        <v>552</v>
      </c>
      <c r="AO193" s="2" t="s">
        <v>550</v>
      </c>
      <c r="AP193" s="2">
        <v>96.99</v>
      </c>
      <c r="AQ193" s="2" t="s">
        <v>550</v>
      </c>
      <c r="AR193" s="2">
        <v>10.1</v>
      </c>
      <c r="AS193" s="2" t="s">
        <v>550</v>
      </c>
      <c r="AT193" s="2">
        <v>1047.78</v>
      </c>
      <c r="AU193" s="2" t="s">
        <v>550</v>
      </c>
      <c r="AV193" s="2">
        <v>117.4</v>
      </c>
      <c r="AW193" s="2" t="s">
        <v>550</v>
      </c>
      <c r="AX193" s="2" t="s">
        <v>480</v>
      </c>
      <c r="AY193" s="2" t="s">
        <v>550</v>
      </c>
      <c r="AZ193" s="2">
        <v>2.92</v>
      </c>
      <c r="BA193" s="2" t="s">
        <v>550</v>
      </c>
      <c r="BB193" s="2" t="s">
        <v>100</v>
      </c>
      <c r="BC193" s="2" t="s">
        <v>550</v>
      </c>
      <c r="BD193" s="2">
        <v>9.81</v>
      </c>
      <c r="BE193" s="2" t="s">
        <v>550</v>
      </c>
      <c r="BF193" s="2">
        <v>14.75</v>
      </c>
      <c r="BG193" s="2" t="s">
        <v>550</v>
      </c>
      <c r="BH193" s="2">
        <v>27.52</v>
      </c>
      <c r="BI193" s="2" t="s">
        <v>550</v>
      </c>
      <c r="BJ193" s="2">
        <v>150.9</v>
      </c>
      <c r="BK193" s="2" t="s">
        <v>550</v>
      </c>
      <c r="BL193" s="2">
        <v>32.43</v>
      </c>
      <c r="BM193" s="2" t="s">
        <v>550</v>
      </c>
      <c r="BN193" s="2">
        <v>34.65</v>
      </c>
      <c r="BO193" s="2" t="s">
        <v>550</v>
      </c>
      <c r="BP193" s="2">
        <v>14.3</v>
      </c>
      <c r="BQ193" s="2" t="s">
        <v>550</v>
      </c>
      <c r="BR193" s="2">
        <v>16.48</v>
      </c>
      <c r="BS193" s="2" t="s">
        <v>550</v>
      </c>
      <c r="BT193" s="2">
        <v>13.21</v>
      </c>
      <c r="BU193" s="2" t="s">
        <v>550</v>
      </c>
      <c r="BV193" s="2">
        <v>70966.7</v>
      </c>
      <c r="BW193" s="2" t="s">
        <v>550</v>
      </c>
      <c r="BX193" s="2">
        <v>25.9</v>
      </c>
    </row>
    <row r="194" spans="1:76">
      <c r="A194" s="2" t="s">
        <v>1</v>
      </c>
      <c r="B194" s="2">
        <v>194</v>
      </c>
      <c r="C194" s="2" t="s">
        <v>551</v>
      </c>
      <c r="D194" s="2">
        <v>12.41</v>
      </c>
      <c r="E194" s="2" t="s">
        <v>551</v>
      </c>
      <c r="F194" s="2">
        <v>23.48</v>
      </c>
      <c r="G194" s="2" t="s">
        <v>551</v>
      </c>
      <c r="H194" s="2">
        <v>38.11</v>
      </c>
      <c r="I194" s="2" t="s">
        <v>551</v>
      </c>
      <c r="J194" s="2">
        <v>8.9</v>
      </c>
      <c r="K194" s="2" t="s">
        <v>551</v>
      </c>
      <c r="L194" s="2">
        <v>15.22</v>
      </c>
      <c r="M194" s="2" t="s">
        <v>551</v>
      </c>
      <c r="N194" s="2">
        <v>8.3699999999999992</v>
      </c>
      <c r="O194" s="2" t="s">
        <v>551</v>
      </c>
      <c r="P194" s="2">
        <v>20.94</v>
      </c>
      <c r="Q194" s="2" t="s">
        <v>551</v>
      </c>
      <c r="R194" s="2">
        <v>16.53</v>
      </c>
      <c r="S194" s="2" t="s">
        <v>551</v>
      </c>
      <c r="T194" s="2">
        <v>11.4</v>
      </c>
      <c r="U194" s="2" t="s">
        <v>551</v>
      </c>
      <c r="V194" s="2">
        <v>4.46</v>
      </c>
      <c r="W194" s="2" t="s">
        <v>551</v>
      </c>
      <c r="X194" s="2">
        <v>96.47</v>
      </c>
      <c r="Y194" s="2" t="s">
        <v>551</v>
      </c>
      <c r="Z194" s="2">
        <v>26.35</v>
      </c>
      <c r="AA194" s="2" t="s">
        <v>553</v>
      </c>
      <c r="AB194" s="2">
        <v>19.45</v>
      </c>
      <c r="AC194" s="2" t="s">
        <v>551</v>
      </c>
      <c r="AD194" s="2">
        <v>12.24</v>
      </c>
      <c r="AE194" s="2" t="s">
        <v>551</v>
      </c>
      <c r="AF194" s="2">
        <v>23.89</v>
      </c>
      <c r="AG194" s="2" t="s">
        <v>551</v>
      </c>
      <c r="AH194" s="2">
        <v>42.78</v>
      </c>
      <c r="AI194" s="2" t="s">
        <v>551</v>
      </c>
      <c r="AJ194" s="2">
        <v>50.6</v>
      </c>
      <c r="AK194" s="2" t="s">
        <v>551</v>
      </c>
      <c r="AL194" s="2">
        <v>3.8</v>
      </c>
      <c r="AM194" s="2" t="s">
        <v>551</v>
      </c>
      <c r="AN194" s="2" t="s">
        <v>552</v>
      </c>
      <c r="AO194" s="2" t="s">
        <v>551</v>
      </c>
      <c r="AP194" s="2">
        <v>96.45</v>
      </c>
      <c r="AQ194" s="2" t="s">
        <v>551</v>
      </c>
      <c r="AR194" s="2">
        <v>9.73</v>
      </c>
      <c r="AS194" s="2" t="s">
        <v>551</v>
      </c>
      <c r="AT194" s="2" t="s">
        <v>554</v>
      </c>
      <c r="AU194" s="2" t="s">
        <v>551</v>
      </c>
      <c r="AV194" s="2">
        <v>117.5</v>
      </c>
      <c r="AW194" s="2" t="s">
        <v>551</v>
      </c>
      <c r="AX194" s="2">
        <v>102.5</v>
      </c>
      <c r="AY194" s="2" t="s">
        <v>551</v>
      </c>
      <c r="AZ194" s="2">
        <v>2.9</v>
      </c>
      <c r="BA194" s="2" t="s">
        <v>551</v>
      </c>
      <c r="BB194" s="2" t="s">
        <v>136</v>
      </c>
      <c r="BC194" s="2" t="s">
        <v>551</v>
      </c>
      <c r="BD194" s="2">
        <v>9.9700000000000006</v>
      </c>
      <c r="BE194" s="2" t="s">
        <v>551</v>
      </c>
      <c r="BF194" s="2">
        <v>15.5</v>
      </c>
      <c r="BG194" s="2" t="s">
        <v>551</v>
      </c>
      <c r="BH194" s="2">
        <v>28.72</v>
      </c>
      <c r="BI194" s="2" t="s">
        <v>551</v>
      </c>
      <c r="BJ194" s="2" t="s">
        <v>161</v>
      </c>
      <c r="BK194" s="2" t="s">
        <v>551</v>
      </c>
      <c r="BL194" s="2">
        <v>34.1</v>
      </c>
      <c r="BM194" s="2" t="s">
        <v>551</v>
      </c>
      <c r="BN194" s="2">
        <v>36.799999999999997</v>
      </c>
      <c r="BO194" s="2" t="s">
        <v>551</v>
      </c>
      <c r="BP194" s="2">
        <v>15.51</v>
      </c>
      <c r="BQ194" s="2" t="s">
        <v>551</v>
      </c>
      <c r="BR194" s="2">
        <v>19.5</v>
      </c>
      <c r="BS194" s="2" t="s">
        <v>551</v>
      </c>
      <c r="BT194" s="2">
        <v>13.54</v>
      </c>
      <c r="BU194" s="2" t="s">
        <v>551</v>
      </c>
      <c r="BV194" s="2">
        <v>72253.460000000006</v>
      </c>
      <c r="BW194" s="2" t="s">
        <v>551</v>
      </c>
      <c r="BX194" s="2">
        <v>25.41</v>
      </c>
    </row>
    <row r="195" spans="1:76">
      <c r="A195" s="2" t="s">
        <v>1</v>
      </c>
      <c r="B195" s="2">
        <v>195</v>
      </c>
      <c r="C195" s="2" t="s">
        <v>553</v>
      </c>
      <c r="D195" s="2">
        <v>11.8</v>
      </c>
      <c r="E195" s="2" t="s">
        <v>553</v>
      </c>
      <c r="F195" s="2">
        <v>23.29</v>
      </c>
      <c r="G195" s="2" t="s">
        <v>553</v>
      </c>
      <c r="H195" s="2">
        <v>37.56</v>
      </c>
      <c r="I195" s="2" t="s">
        <v>553</v>
      </c>
      <c r="J195" s="2">
        <v>8.8000000000000007</v>
      </c>
      <c r="K195" s="2" t="s">
        <v>553</v>
      </c>
      <c r="L195" s="2">
        <v>14.61</v>
      </c>
      <c r="M195" s="2" t="s">
        <v>553</v>
      </c>
      <c r="N195" s="2">
        <v>8.11</v>
      </c>
      <c r="O195" s="2" t="s">
        <v>553</v>
      </c>
      <c r="P195" s="2">
        <v>19.989999999999998</v>
      </c>
      <c r="Q195" s="2" t="s">
        <v>553</v>
      </c>
      <c r="R195" s="2">
        <v>15.1</v>
      </c>
      <c r="S195" s="2" t="s">
        <v>553</v>
      </c>
      <c r="T195" s="2">
        <v>11.23</v>
      </c>
      <c r="U195" s="2" t="s">
        <v>553</v>
      </c>
      <c r="V195" s="2">
        <v>4.1500000000000004</v>
      </c>
      <c r="W195" s="2" t="s">
        <v>553</v>
      </c>
      <c r="X195" s="2" t="s">
        <v>50</v>
      </c>
      <c r="Y195" s="2" t="s">
        <v>553</v>
      </c>
      <c r="Z195" s="2">
        <v>26.5</v>
      </c>
      <c r="AA195" s="2" t="s">
        <v>555</v>
      </c>
      <c r="AB195" s="2">
        <v>19.8</v>
      </c>
      <c r="AC195" s="2" t="s">
        <v>553</v>
      </c>
      <c r="AD195" s="2">
        <v>11.4</v>
      </c>
      <c r="AE195" s="2" t="s">
        <v>553</v>
      </c>
      <c r="AF195" s="2">
        <v>22.85</v>
      </c>
      <c r="AG195" s="2" t="s">
        <v>553</v>
      </c>
      <c r="AH195" s="2">
        <v>40.5</v>
      </c>
      <c r="AI195" s="2" t="s">
        <v>553</v>
      </c>
      <c r="AJ195" s="2">
        <v>49.91</v>
      </c>
      <c r="AK195" s="2" t="s">
        <v>553</v>
      </c>
      <c r="AL195" s="2">
        <v>3.63</v>
      </c>
      <c r="AM195" s="2" t="s">
        <v>553</v>
      </c>
      <c r="AN195" s="2">
        <v>76.319999999999993</v>
      </c>
      <c r="AO195" s="2" t="s">
        <v>553</v>
      </c>
      <c r="AP195" s="2">
        <v>93.8</v>
      </c>
      <c r="AQ195" s="2" t="s">
        <v>553</v>
      </c>
      <c r="AR195" s="2">
        <v>9.2200000000000006</v>
      </c>
      <c r="AS195" s="2" t="s">
        <v>553</v>
      </c>
      <c r="AT195" s="2" t="s">
        <v>535</v>
      </c>
      <c r="AU195" s="2" t="s">
        <v>553</v>
      </c>
      <c r="AV195" s="2">
        <v>116.14</v>
      </c>
      <c r="AW195" s="2" t="s">
        <v>553</v>
      </c>
      <c r="AX195" s="2">
        <v>99.99</v>
      </c>
      <c r="AY195" s="2" t="s">
        <v>553</v>
      </c>
      <c r="AZ195" s="2">
        <v>2.85</v>
      </c>
      <c r="BA195" s="2" t="s">
        <v>553</v>
      </c>
      <c r="BB195" s="2" t="s">
        <v>119</v>
      </c>
      <c r="BC195" s="2" t="s">
        <v>553</v>
      </c>
      <c r="BD195" s="2">
        <v>9.5</v>
      </c>
      <c r="BE195" s="2" t="s">
        <v>553</v>
      </c>
      <c r="BF195" s="2" t="s">
        <v>61</v>
      </c>
      <c r="BG195" s="2" t="s">
        <v>553</v>
      </c>
      <c r="BH195" s="2">
        <v>27.8</v>
      </c>
      <c r="BI195" s="2" t="s">
        <v>553</v>
      </c>
      <c r="BJ195" s="2">
        <v>147.01</v>
      </c>
      <c r="BK195" s="2" t="s">
        <v>553</v>
      </c>
      <c r="BL195" s="2">
        <v>32.89</v>
      </c>
      <c r="BM195" s="2" t="s">
        <v>553</v>
      </c>
      <c r="BN195" s="2">
        <v>35.85</v>
      </c>
      <c r="BO195" s="2" t="s">
        <v>553</v>
      </c>
      <c r="BP195" s="2">
        <v>15.34</v>
      </c>
      <c r="BQ195" s="2" t="s">
        <v>553</v>
      </c>
      <c r="BR195" s="2">
        <v>20.83</v>
      </c>
      <c r="BS195" s="2" t="s">
        <v>553</v>
      </c>
      <c r="BT195" s="2">
        <v>13.15</v>
      </c>
      <c r="BU195" s="2" t="s">
        <v>553</v>
      </c>
      <c r="BV195" s="2">
        <v>69537.56</v>
      </c>
      <c r="BW195" s="2" t="s">
        <v>553</v>
      </c>
      <c r="BX195" s="2">
        <v>23.3</v>
      </c>
    </row>
    <row r="196" spans="1:76">
      <c r="A196" s="2" t="s">
        <v>1</v>
      </c>
      <c r="B196" s="2">
        <v>196</v>
      </c>
      <c r="C196" s="2" t="s">
        <v>555</v>
      </c>
      <c r="D196" s="2">
        <v>12.66</v>
      </c>
      <c r="E196" s="2" t="s">
        <v>555</v>
      </c>
      <c r="F196" s="2">
        <v>23.63</v>
      </c>
      <c r="G196" s="2" t="s">
        <v>555</v>
      </c>
      <c r="H196" s="2">
        <v>38.85</v>
      </c>
      <c r="I196" s="2" t="s">
        <v>555</v>
      </c>
      <c r="J196" s="2">
        <v>8.8800000000000008</v>
      </c>
      <c r="K196" s="2" t="s">
        <v>555</v>
      </c>
      <c r="L196" s="2">
        <v>15.71</v>
      </c>
      <c r="M196" s="2" t="s">
        <v>555</v>
      </c>
      <c r="N196" s="2">
        <v>8.7100000000000009</v>
      </c>
      <c r="O196" s="2" t="s">
        <v>555</v>
      </c>
      <c r="P196" s="2">
        <v>21.01</v>
      </c>
      <c r="Q196" s="2" t="s">
        <v>555</v>
      </c>
      <c r="R196" s="2">
        <v>16.52</v>
      </c>
      <c r="S196" s="2" t="s">
        <v>555</v>
      </c>
      <c r="T196" s="2">
        <v>11.97</v>
      </c>
      <c r="U196" s="2" t="s">
        <v>555</v>
      </c>
      <c r="V196" s="2">
        <v>4.41</v>
      </c>
      <c r="W196" s="2" t="s">
        <v>555</v>
      </c>
      <c r="X196" s="2">
        <v>95.05</v>
      </c>
      <c r="Y196" s="2" t="s">
        <v>555</v>
      </c>
      <c r="Z196" s="2">
        <v>27.1</v>
      </c>
      <c r="AA196" s="2" t="s">
        <v>556</v>
      </c>
      <c r="AB196" s="2">
        <v>19.350000000000001</v>
      </c>
      <c r="AC196" s="2" t="s">
        <v>555</v>
      </c>
      <c r="AD196" s="2">
        <v>11.84</v>
      </c>
      <c r="AE196" s="2" t="s">
        <v>555</v>
      </c>
      <c r="AF196" s="2">
        <v>21.87</v>
      </c>
      <c r="AG196" s="2" t="s">
        <v>555</v>
      </c>
      <c r="AH196" s="2">
        <v>43.13</v>
      </c>
      <c r="AI196" s="2" t="s">
        <v>555</v>
      </c>
      <c r="AJ196" s="2">
        <v>52.14</v>
      </c>
      <c r="AK196" s="2" t="s">
        <v>555</v>
      </c>
      <c r="AL196" s="2">
        <v>3.84</v>
      </c>
      <c r="AM196" s="2" t="s">
        <v>555</v>
      </c>
      <c r="AN196" s="2">
        <v>76.900000000000006</v>
      </c>
      <c r="AO196" s="2" t="s">
        <v>555</v>
      </c>
      <c r="AP196" s="2" t="s">
        <v>97</v>
      </c>
      <c r="AQ196" s="2" t="s">
        <v>555</v>
      </c>
      <c r="AR196" s="2">
        <v>9.24</v>
      </c>
      <c r="AS196" s="2" t="s">
        <v>555</v>
      </c>
      <c r="AT196" s="2" t="s">
        <v>549</v>
      </c>
      <c r="AU196" s="2" t="s">
        <v>555</v>
      </c>
      <c r="AV196" s="2" t="s">
        <v>107</v>
      </c>
      <c r="AW196" s="2" t="s">
        <v>555</v>
      </c>
      <c r="AX196" s="2">
        <v>100.99</v>
      </c>
      <c r="AY196" s="2" t="s">
        <v>555</v>
      </c>
      <c r="AZ196" s="2">
        <v>2.89</v>
      </c>
      <c r="BA196" s="2" t="s">
        <v>555</v>
      </c>
      <c r="BB196" s="2">
        <v>155.57</v>
      </c>
      <c r="BC196" s="2" t="s">
        <v>555</v>
      </c>
      <c r="BD196" s="2">
        <v>10.5</v>
      </c>
      <c r="BE196" s="2" t="s">
        <v>555</v>
      </c>
      <c r="BF196" s="2" t="s">
        <v>82</v>
      </c>
      <c r="BG196" s="2" t="s">
        <v>555</v>
      </c>
      <c r="BH196" s="2">
        <v>28.74</v>
      </c>
      <c r="BI196" s="2" t="s">
        <v>555</v>
      </c>
      <c r="BJ196" s="2">
        <v>147.80000000000001</v>
      </c>
      <c r="BK196" s="2" t="s">
        <v>555</v>
      </c>
      <c r="BL196" s="2">
        <v>33.28</v>
      </c>
      <c r="BM196" s="2" t="s">
        <v>555</v>
      </c>
      <c r="BN196" s="2">
        <v>37.21</v>
      </c>
      <c r="BO196" s="2" t="s">
        <v>555</v>
      </c>
      <c r="BP196" s="2">
        <v>15.77</v>
      </c>
      <c r="BQ196" s="2" t="s">
        <v>555</v>
      </c>
      <c r="BR196" s="2">
        <v>25.72</v>
      </c>
      <c r="BS196" s="2" t="s">
        <v>555</v>
      </c>
      <c r="BT196" s="2">
        <v>13.24</v>
      </c>
      <c r="BU196" s="2" t="s">
        <v>555</v>
      </c>
      <c r="BV196" s="2">
        <v>74072.98</v>
      </c>
      <c r="BW196" s="2" t="s">
        <v>555</v>
      </c>
      <c r="BX196" s="2">
        <v>24.51</v>
      </c>
    </row>
    <row r="197" spans="1:76">
      <c r="A197" s="2" t="s">
        <v>1</v>
      </c>
      <c r="B197" s="2">
        <v>197</v>
      </c>
      <c r="C197" s="2" t="s">
        <v>556</v>
      </c>
      <c r="D197" s="2">
        <v>13.27</v>
      </c>
      <c r="E197" s="2" t="s">
        <v>556</v>
      </c>
      <c r="F197" s="2">
        <v>24.98</v>
      </c>
      <c r="G197" s="2" t="s">
        <v>556</v>
      </c>
      <c r="H197" s="2">
        <v>38.44</v>
      </c>
      <c r="I197" s="2" t="s">
        <v>556</v>
      </c>
      <c r="J197" s="2">
        <v>9.91</v>
      </c>
      <c r="K197" s="2" t="s">
        <v>556</v>
      </c>
      <c r="L197" s="2">
        <v>15.88</v>
      </c>
      <c r="M197" s="2" t="s">
        <v>556</v>
      </c>
      <c r="N197" s="2">
        <v>8.9700000000000006</v>
      </c>
      <c r="O197" s="2" t="s">
        <v>556</v>
      </c>
      <c r="P197" s="2">
        <v>22.2</v>
      </c>
      <c r="Q197" s="2" t="s">
        <v>556</v>
      </c>
      <c r="R197" s="2">
        <v>17.41</v>
      </c>
      <c r="S197" s="2" t="s">
        <v>556</v>
      </c>
      <c r="T197" s="2">
        <v>12.37</v>
      </c>
      <c r="U197" s="2" t="s">
        <v>556</v>
      </c>
      <c r="V197" s="2">
        <v>4.6900000000000004</v>
      </c>
      <c r="W197" s="2" t="s">
        <v>556</v>
      </c>
      <c r="X197" s="2">
        <v>95.28</v>
      </c>
      <c r="Y197" s="2" t="s">
        <v>556</v>
      </c>
      <c r="Z197" s="2" t="s">
        <v>45</v>
      </c>
      <c r="AA197" s="2" t="s">
        <v>557</v>
      </c>
      <c r="AB197" s="2">
        <v>19.05</v>
      </c>
      <c r="AC197" s="2" t="s">
        <v>556</v>
      </c>
      <c r="AD197" s="2">
        <v>12.7</v>
      </c>
      <c r="AE197" s="2" t="s">
        <v>556</v>
      </c>
      <c r="AF197" s="2">
        <v>22.75</v>
      </c>
      <c r="AG197" s="2" t="s">
        <v>556</v>
      </c>
      <c r="AH197" s="2">
        <v>43.78</v>
      </c>
      <c r="AI197" s="2" t="s">
        <v>556</v>
      </c>
      <c r="AJ197" s="2">
        <v>51.8</v>
      </c>
      <c r="AK197" s="2" t="s">
        <v>556</v>
      </c>
      <c r="AL197" s="2">
        <v>4.08</v>
      </c>
      <c r="AM197" s="2" t="s">
        <v>556</v>
      </c>
      <c r="AN197" s="2">
        <v>78.989999999999995</v>
      </c>
      <c r="AO197" s="2" t="s">
        <v>556</v>
      </c>
      <c r="AP197" s="2">
        <v>93.74</v>
      </c>
      <c r="AQ197" s="2" t="s">
        <v>556</v>
      </c>
      <c r="AR197" s="2">
        <v>9.44</v>
      </c>
      <c r="AS197" s="2" t="s">
        <v>556</v>
      </c>
      <c r="AT197" s="2">
        <v>1032.02</v>
      </c>
      <c r="AU197" s="2" t="s">
        <v>556</v>
      </c>
      <c r="AV197" s="2" t="s">
        <v>141</v>
      </c>
      <c r="AW197" s="2" t="s">
        <v>556</v>
      </c>
      <c r="AX197" s="2">
        <v>101.01</v>
      </c>
      <c r="AY197" s="2" t="s">
        <v>556</v>
      </c>
      <c r="AZ197" s="2">
        <v>2.93</v>
      </c>
      <c r="BA197" s="2" t="s">
        <v>556</v>
      </c>
      <c r="BB197" s="2">
        <v>162.5</v>
      </c>
      <c r="BC197" s="2" t="s">
        <v>556</v>
      </c>
      <c r="BD197" s="2">
        <v>11.22</v>
      </c>
      <c r="BE197" s="2" t="s">
        <v>556</v>
      </c>
      <c r="BF197" s="2" t="s">
        <v>82</v>
      </c>
      <c r="BG197" s="2" t="s">
        <v>556</v>
      </c>
      <c r="BH197" s="2">
        <v>30.37</v>
      </c>
      <c r="BI197" s="2" t="s">
        <v>556</v>
      </c>
      <c r="BJ197" s="2">
        <v>151.55000000000001</v>
      </c>
      <c r="BK197" s="2" t="s">
        <v>556</v>
      </c>
      <c r="BL197" s="2">
        <v>37.299999999999997</v>
      </c>
      <c r="BM197" s="2" t="s">
        <v>556</v>
      </c>
      <c r="BN197" s="2">
        <v>38.5</v>
      </c>
      <c r="BO197" s="2" t="s">
        <v>556</v>
      </c>
      <c r="BP197" s="2">
        <v>16.399999999999999</v>
      </c>
      <c r="BQ197" s="2" t="s">
        <v>556</v>
      </c>
      <c r="BR197" s="2">
        <v>27.5</v>
      </c>
      <c r="BS197" s="2" t="s">
        <v>556</v>
      </c>
      <c r="BT197" s="2">
        <v>13.43</v>
      </c>
      <c r="BU197" s="2" t="s">
        <v>556</v>
      </c>
      <c r="BV197" s="2">
        <v>76358.09</v>
      </c>
      <c r="BW197" s="2" t="s">
        <v>556</v>
      </c>
      <c r="BX197" s="2">
        <v>25.19</v>
      </c>
    </row>
    <row r="198" spans="1:76">
      <c r="A198" s="2" t="s">
        <v>1</v>
      </c>
      <c r="B198" s="2">
        <v>198</v>
      </c>
      <c r="C198" s="2" t="s">
        <v>557</v>
      </c>
      <c r="D198" s="2">
        <v>13.05</v>
      </c>
      <c r="E198" s="2" t="s">
        <v>557</v>
      </c>
      <c r="F198" s="2">
        <v>25.51</v>
      </c>
      <c r="G198" s="2" t="s">
        <v>557</v>
      </c>
      <c r="H198" s="2">
        <v>38.96</v>
      </c>
      <c r="I198" s="2" t="s">
        <v>557</v>
      </c>
      <c r="J198" s="2">
        <v>10.4</v>
      </c>
      <c r="K198" s="2" t="s">
        <v>557</v>
      </c>
      <c r="L198" s="2">
        <v>15.94</v>
      </c>
      <c r="M198" s="2" t="s">
        <v>557</v>
      </c>
      <c r="N198" s="2">
        <v>9.32</v>
      </c>
      <c r="O198" s="2" t="s">
        <v>557</v>
      </c>
      <c r="P198" s="2">
        <v>22.96</v>
      </c>
      <c r="Q198" s="2" t="s">
        <v>557</v>
      </c>
      <c r="R198" s="2">
        <v>17.34</v>
      </c>
      <c r="S198" s="2" t="s">
        <v>557</v>
      </c>
      <c r="T198" s="2">
        <v>12.91</v>
      </c>
      <c r="U198" s="2" t="s">
        <v>557</v>
      </c>
      <c r="V198" s="2">
        <v>4.88</v>
      </c>
      <c r="W198" s="2" t="s">
        <v>557</v>
      </c>
      <c r="X198" s="2" t="s">
        <v>548</v>
      </c>
      <c r="Y198" s="2" t="s">
        <v>557</v>
      </c>
      <c r="Z198" s="2">
        <v>27.04</v>
      </c>
      <c r="AA198" s="2" t="s">
        <v>558</v>
      </c>
      <c r="AB198" s="2">
        <v>19.18</v>
      </c>
      <c r="AC198" s="2" t="s">
        <v>557</v>
      </c>
      <c r="AD198" s="2">
        <v>12.82</v>
      </c>
      <c r="AE198" s="2" t="s">
        <v>557</v>
      </c>
      <c r="AF198" s="2">
        <v>22.86</v>
      </c>
      <c r="AG198" s="2" t="s">
        <v>557</v>
      </c>
      <c r="AH198" s="2">
        <v>43.51</v>
      </c>
      <c r="AI198" s="2" t="s">
        <v>557</v>
      </c>
      <c r="AJ198" s="2">
        <v>51.9</v>
      </c>
      <c r="AK198" s="2" t="s">
        <v>557</v>
      </c>
      <c r="AL198" s="2">
        <v>4.16</v>
      </c>
      <c r="AM198" s="2" t="s">
        <v>557</v>
      </c>
      <c r="AN198" s="2">
        <v>82.68</v>
      </c>
      <c r="AO198" s="2" t="s">
        <v>557</v>
      </c>
      <c r="AP198" s="2">
        <v>95.44</v>
      </c>
      <c r="AQ198" s="2" t="s">
        <v>557</v>
      </c>
      <c r="AR198" s="2">
        <v>9.5</v>
      </c>
      <c r="AS198" s="2" t="s">
        <v>557</v>
      </c>
      <c r="AT198" s="2" t="s">
        <v>559</v>
      </c>
      <c r="AU198" s="2" t="s">
        <v>557</v>
      </c>
      <c r="AV198" s="2">
        <v>118.5</v>
      </c>
      <c r="AW198" s="2" t="s">
        <v>557</v>
      </c>
      <c r="AX198" s="2" t="s">
        <v>480</v>
      </c>
      <c r="AY198" s="2" t="s">
        <v>557</v>
      </c>
      <c r="AZ198" s="2">
        <v>2.94</v>
      </c>
      <c r="BA198" s="2" t="s">
        <v>557</v>
      </c>
      <c r="BB198" s="2">
        <v>167.8</v>
      </c>
      <c r="BC198" s="2" t="s">
        <v>557</v>
      </c>
      <c r="BD198" s="2">
        <v>12.58</v>
      </c>
      <c r="BE198" s="2" t="s">
        <v>557</v>
      </c>
      <c r="BF198" s="2">
        <v>16.28</v>
      </c>
      <c r="BG198" s="2" t="s">
        <v>557</v>
      </c>
      <c r="BH198" s="2">
        <v>31.28</v>
      </c>
      <c r="BI198" s="2" t="s">
        <v>557</v>
      </c>
      <c r="BJ198" s="2">
        <v>150.99</v>
      </c>
      <c r="BK198" s="2" t="s">
        <v>557</v>
      </c>
      <c r="BL198" s="2">
        <v>39.99</v>
      </c>
      <c r="BM198" s="2" t="s">
        <v>557</v>
      </c>
      <c r="BN198" s="2">
        <v>39.31</v>
      </c>
      <c r="BO198" s="2" t="s">
        <v>557</v>
      </c>
      <c r="BP198" s="2">
        <v>17.32</v>
      </c>
      <c r="BQ198" s="2" t="s">
        <v>557</v>
      </c>
      <c r="BR198" s="2">
        <v>27.99</v>
      </c>
      <c r="BS198" s="2" t="s">
        <v>557</v>
      </c>
      <c r="BT198" s="2">
        <v>14.13</v>
      </c>
      <c r="BU198" s="2" t="s">
        <v>557</v>
      </c>
      <c r="BV198" s="2">
        <v>78624.62</v>
      </c>
      <c r="BW198" s="2" t="s">
        <v>557</v>
      </c>
      <c r="BX198" s="2">
        <v>25.09</v>
      </c>
    </row>
    <row r="199" spans="1:76">
      <c r="A199" s="2" t="s">
        <v>1</v>
      </c>
      <c r="B199" s="2">
        <v>199</v>
      </c>
      <c r="C199" s="2" t="s">
        <v>558</v>
      </c>
      <c r="D199" s="2">
        <v>13.6</v>
      </c>
      <c r="E199" s="2" t="s">
        <v>558</v>
      </c>
      <c r="F199" s="2">
        <v>25.78</v>
      </c>
      <c r="G199" s="2" t="s">
        <v>558</v>
      </c>
      <c r="H199" s="2">
        <v>39.270000000000003</v>
      </c>
      <c r="I199" s="2" t="s">
        <v>558</v>
      </c>
      <c r="J199" s="2">
        <v>9.6199999999999992</v>
      </c>
      <c r="K199" s="2" t="s">
        <v>558</v>
      </c>
      <c r="L199" s="2">
        <v>16.09</v>
      </c>
      <c r="M199" s="2" t="s">
        <v>558</v>
      </c>
      <c r="N199" s="2">
        <v>9.24</v>
      </c>
      <c r="O199" s="2" t="s">
        <v>558</v>
      </c>
      <c r="P199" s="2">
        <v>22.75</v>
      </c>
      <c r="Q199" s="2" t="s">
        <v>558</v>
      </c>
      <c r="R199" s="2" t="s">
        <v>44</v>
      </c>
      <c r="S199" s="2" t="s">
        <v>558</v>
      </c>
      <c r="T199" s="2">
        <v>13.36</v>
      </c>
      <c r="U199" s="2" t="s">
        <v>558</v>
      </c>
      <c r="V199" s="2">
        <v>4.9000000000000004</v>
      </c>
      <c r="W199" s="2" t="s">
        <v>558</v>
      </c>
      <c r="X199" s="2" t="s">
        <v>548</v>
      </c>
      <c r="Y199" s="2" t="s">
        <v>558</v>
      </c>
      <c r="Z199" s="2">
        <v>26.76</v>
      </c>
      <c r="AA199" s="2" t="s">
        <v>560</v>
      </c>
      <c r="AB199" s="2">
        <v>19.16</v>
      </c>
      <c r="AC199" s="2" t="s">
        <v>558</v>
      </c>
      <c r="AD199" s="2">
        <v>12.54</v>
      </c>
      <c r="AE199" s="2" t="s">
        <v>558</v>
      </c>
      <c r="AF199" s="2">
        <v>23.85</v>
      </c>
      <c r="AG199" s="2" t="s">
        <v>558</v>
      </c>
      <c r="AH199" s="2">
        <v>43.28</v>
      </c>
      <c r="AI199" s="2" t="s">
        <v>558</v>
      </c>
      <c r="AJ199" s="2">
        <v>50.86</v>
      </c>
      <c r="AK199" s="2" t="s">
        <v>558</v>
      </c>
      <c r="AL199" s="2">
        <v>4.12</v>
      </c>
      <c r="AM199" s="2" t="s">
        <v>558</v>
      </c>
      <c r="AN199" s="2">
        <v>82.89</v>
      </c>
      <c r="AO199" s="2" t="s">
        <v>558</v>
      </c>
      <c r="AP199" s="2">
        <v>95.74</v>
      </c>
      <c r="AQ199" s="2" t="s">
        <v>558</v>
      </c>
      <c r="AR199" s="2">
        <v>9.6</v>
      </c>
      <c r="AS199" s="2" t="s">
        <v>558</v>
      </c>
      <c r="AT199" s="2" t="s">
        <v>561</v>
      </c>
      <c r="AU199" s="2" t="s">
        <v>558</v>
      </c>
      <c r="AV199" s="2">
        <v>120.32</v>
      </c>
      <c r="AW199" s="2" t="s">
        <v>558</v>
      </c>
      <c r="AX199" s="2">
        <v>103.94</v>
      </c>
      <c r="AY199" s="2" t="s">
        <v>558</v>
      </c>
      <c r="AZ199" s="2">
        <v>2.97</v>
      </c>
      <c r="BA199" s="2" t="s">
        <v>558</v>
      </c>
      <c r="BB199" s="2">
        <v>170.24</v>
      </c>
      <c r="BC199" s="2" t="s">
        <v>558</v>
      </c>
      <c r="BD199" s="2">
        <v>12.33</v>
      </c>
      <c r="BE199" s="2" t="s">
        <v>558</v>
      </c>
      <c r="BF199" s="2">
        <v>17.2</v>
      </c>
      <c r="BG199" s="2" t="s">
        <v>558</v>
      </c>
      <c r="BH199" s="2">
        <v>30.65</v>
      </c>
      <c r="BI199" s="2" t="s">
        <v>558</v>
      </c>
      <c r="BJ199" s="2" t="s">
        <v>136</v>
      </c>
      <c r="BK199" s="2" t="s">
        <v>558</v>
      </c>
      <c r="BL199" s="2">
        <v>38.299999999999997</v>
      </c>
      <c r="BM199" s="2" t="s">
        <v>558</v>
      </c>
      <c r="BN199" s="2">
        <v>39.01</v>
      </c>
      <c r="BO199" s="2" t="s">
        <v>558</v>
      </c>
      <c r="BP199" s="2">
        <v>16.82</v>
      </c>
      <c r="BQ199" s="2" t="s">
        <v>558</v>
      </c>
      <c r="BR199" s="2">
        <v>24.7</v>
      </c>
      <c r="BS199" s="2" t="s">
        <v>558</v>
      </c>
      <c r="BT199" s="2">
        <v>14.4</v>
      </c>
      <c r="BU199" s="2" t="s">
        <v>558</v>
      </c>
      <c r="BV199" s="2">
        <v>77681.94</v>
      </c>
      <c r="BW199" s="2" t="s">
        <v>558</v>
      </c>
      <c r="BX199" s="2">
        <v>25.67</v>
      </c>
    </row>
    <row r="200" spans="1:76">
      <c r="A200" s="2" t="s">
        <v>1</v>
      </c>
      <c r="B200" s="2">
        <v>200</v>
      </c>
      <c r="C200" s="2" t="s">
        <v>560</v>
      </c>
      <c r="D200" s="2">
        <v>13.67</v>
      </c>
      <c r="E200" s="2" t="s">
        <v>560</v>
      </c>
      <c r="F200" s="2">
        <v>26.09</v>
      </c>
      <c r="G200" s="2" t="s">
        <v>560</v>
      </c>
      <c r="H200" s="2">
        <v>39.99</v>
      </c>
      <c r="I200" s="2" t="s">
        <v>560</v>
      </c>
      <c r="J200" s="2">
        <v>10.199999999999999</v>
      </c>
      <c r="K200" s="2" t="s">
        <v>560</v>
      </c>
      <c r="L200" s="2">
        <v>16.39</v>
      </c>
      <c r="M200" s="2" t="s">
        <v>560</v>
      </c>
      <c r="N200" s="2">
        <v>9.49</v>
      </c>
      <c r="O200" s="2" t="s">
        <v>560</v>
      </c>
      <c r="P200" s="2">
        <v>22.8</v>
      </c>
      <c r="Q200" s="2" t="s">
        <v>560</v>
      </c>
      <c r="R200" s="2">
        <v>17.52</v>
      </c>
      <c r="S200" s="2" t="s">
        <v>560</v>
      </c>
      <c r="T200" s="2">
        <v>13.29</v>
      </c>
      <c r="U200" s="2" t="s">
        <v>560</v>
      </c>
      <c r="V200" s="2">
        <v>4.9400000000000004</v>
      </c>
      <c r="W200" s="2" t="s">
        <v>560</v>
      </c>
      <c r="X200" s="2">
        <v>94.99</v>
      </c>
      <c r="Y200" s="2" t="s">
        <v>560</v>
      </c>
      <c r="Z200" s="2" t="s">
        <v>45</v>
      </c>
      <c r="AA200" s="2" t="s">
        <v>562</v>
      </c>
      <c r="AB200" s="2">
        <v>19.989999999999998</v>
      </c>
      <c r="AC200" s="2" t="s">
        <v>560</v>
      </c>
      <c r="AD200" s="2">
        <v>12.95</v>
      </c>
      <c r="AE200" s="2" t="s">
        <v>560</v>
      </c>
      <c r="AF200" s="2">
        <v>23.01</v>
      </c>
      <c r="AG200" s="2" t="s">
        <v>560</v>
      </c>
      <c r="AH200" s="2">
        <v>44.57</v>
      </c>
      <c r="AI200" s="2" t="s">
        <v>560</v>
      </c>
      <c r="AJ200" s="2">
        <v>51.99</v>
      </c>
      <c r="AK200" s="2" t="s">
        <v>560</v>
      </c>
      <c r="AL200" s="2" t="s">
        <v>302</v>
      </c>
      <c r="AM200" s="2" t="s">
        <v>560</v>
      </c>
      <c r="AN200" s="2">
        <v>82.8</v>
      </c>
      <c r="AO200" s="2" t="s">
        <v>560</v>
      </c>
      <c r="AP200" s="2">
        <v>95.75</v>
      </c>
      <c r="AQ200" s="2" t="s">
        <v>560</v>
      </c>
      <c r="AR200" s="2">
        <v>9.74</v>
      </c>
      <c r="AS200" s="2" t="s">
        <v>560</v>
      </c>
      <c r="AT200" s="2">
        <v>1061.99</v>
      </c>
      <c r="AU200" s="2" t="s">
        <v>560</v>
      </c>
      <c r="AV200" s="2">
        <v>123.16</v>
      </c>
      <c r="AW200" s="2" t="s">
        <v>560</v>
      </c>
      <c r="AX200" s="2">
        <v>106.35</v>
      </c>
      <c r="AY200" s="2" t="s">
        <v>560</v>
      </c>
      <c r="AZ200" s="2">
        <v>2.96</v>
      </c>
      <c r="BA200" s="2" t="s">
        <v>560</v>
      </c>
      <c r="BB200" s="2">
        <v>170.78</v>
      </c>
      <c r="BC200" s="2" t="s">
        <v>560</v>
      </c>
      <c r="BD200" s="2">
        <v>12.35</v>
      </c>
      <c r="BE200" s="2" t="s">
        <v>560</v>
      </c>
      <c r="BF200" s="2">
        <v>17.739999999999998</v>
      </c>
      <c r="BG200" s="2" t="s">
        <v>560</v>
      </c>
      <c r="BH200" s="2">
        <v>30.05</v>
      </c>
      <c r="BI200" s="2" t="s">
        <v>560</v>
      </c>
      <c r="BJ200" s="2">
        <v>153.25</v>
      </c>
      <c r="BK200" s="2" t="s">
        <v>560</v>
      </c>
      <c r="BL200" s="2">
        <v>39.26</v>
      </c>
      <c r="BM200" s="2" t="s">
        <v>560</v>
      </c>
      <c r="BN200" s="2">
        <v>39.340000000000003</v>
      </c>
      <c r="BO200" s="2" t="s">
        <v>560</v>
      </c>
      <c r="BP200" s="2">
        <v>16.93</v>
      </c>
      <c r="BQ200" s="2" t="s">
        <v>560</v>
      </c>
      <c r="BR200" s="2">
        <v>23.46</v>
      </c>
      <c r="BS200" s="2" t="s">
        <v>560</v>
      </c>
      <c r="BT200" s="2">
        <v>14.16</v>
      </c>
      <c r="BU200" s="2" t="s">
        <v>560</v>
      </c>
      <c r="BV200" s="2">
        <v>78835.820000000007</v>
      </c>
      <c r="BW200" s="2" t="s">
        <v>560</v>
      </c>
      <c r="BX200" s="2">
        <v>26.12</v>
      </c>
    </row>
    <row r="201" spans="1:76">
      <c r="A201" s="2" t="s">
        <v>1</v>
      </c>
      <c r="B201" s="2">
        <v>201</v>
      </c>
      <c r="C201" s="2" t="s">
        <v>562</v>
      </c>
      <c r="D201" s="2">
        <v>13.94</v>
      </c>
      <c r="E201" s="2" t="s">
        <v>562</v>
      </c>
      <c r="F201" s="2">
        <v>26.14</v>
      </c>
      <c r="G201" s="2" t="s">
        <v>562</v>
      </c>
      <c r="H201" s="2" t="s">
        <v>109</v>
      </c>
      <c r="I201" s="2" t="s">
        <v>562</v>
      </c>
      <c r="J201" s="2">
        <v>10.09</v>
      </c>
      <c r="K201" s="2" t="s">
        <v>562</v>
      </c>
      <c r="L201" s="2">
        <v>16.97</v>
      </c>
      <c r="M201" s="2" t="s">
        <v>562</v>
      </c>
      <c r="N201" s="2">
        <v>9.6</v>
      </c>
      <c r="O201" s="2" t="s">
        <v>562</v>
      </c>
      <c r="P201" s="2">
        <v>22.83</v>
      </c>
      <c r="Q201" s="2" t="s">
        <v>562</v>
      </c>
      <c r="R201" s="2">
        <v>17.88</v>
      </c>
      <c r="S201" s="2" t="s">
        <v>562</v>
      </c>
      <c r="T201" s="2">
        <v>13.39</v>
      </c>
      <c r="U201" s="2" t="s">
        <v>562</v>
      </c>
      <c r="V201" s="2">
        <v>5.07</v>
      </c>
      <c r="W201" s="2" t="s">
        <v>562</v>
      </c>
      <c r="X201" s="2">
        <v>95.98</v>
      </c>
      <c r="Y201" s="2" t="s">
        <v>562</v>
      </c>
      <c r="Z201" s="2">
        <v>27.5</v>
      </c>
      <c r="AA201" s="2" t="s">
        <v>563</v>
      </c>
      <c r="AB201" s="2">
        <v>20.11</v>
      </c>
      <c r="AC201" s="2" t="s">
        <v>562</v>
      </c>
      <c r="AD201" s="2">
        <v>13.24</v>
      </c>
      <c r="AE201" s="2" t="s">
        <v>562</v>
      </c>
      <c r="AF201" s="2">
        <v>25.38</v>
      </c>
      <c r="AG201" s="2" t="s">
        <v>562</v>
      </c>
      <c r="AH201" s="2">
        <v>44.53</v>
      </c>
      <c r="AI201" s="2" t="s">
        <v>562</v>
      </c>
      <c r="AJ201" s="2">
        <v>51.16</v>
      </c>
      <c r="AK201" s="2" t="s">
        <v>562</v>
      </c>
      <c r="AL201" s="2">
        <v>4.17</v>
      </c>
      <c r="AM201" s="2" t="s">
        <v>562</v>
      </c>
      <c r="AN201" s="2">
        <v>84.5</v>
      </c>
      <c r="AO201" s="2" t="s">
        <v>562</v>
      </c>
      <c r="AP201" s="2">
        <v>96.14</v>
      </c>
      <c r="AQ201" s="2" t="s">
        <v>562</v>
      </c>
      <c r="AR201" s="2">
        <v>10.08</v>
      </c>
      <c r="AS201" s="2" t="s">
        <v>562</v>
      </c>
      <c r="AT201" s="2">
        <v>1084.99</v>
      </c>
      <c r="AU201" s="2" t="s">
        <v>562</v>
      </c>
      <c r="AV201" s="2">
        <v>126.26</v>
      </c>
      <c r="AW201" s="2" t="s">
        <v>562</v>
      </c>
      <c r="AX201" s="2" t="s">
        <v>75</v>
      </c>
      <c r="AY201" s="2" t="s">
        <v>562</v>
      </c>
      <c r="AZ201" s="2">
        <v>2.99</v>
      </c>
      <c r="BA201" s="2" t="s">
        <v>562</v>
      </c>
      <c r="BB201" s="2">
        <v>173.85</v>
      </c>
      <c r="BC201" s="2" t="s">
        <v>562</v>
      </c>
      <c r="BD201" s="2">
        <v>13.31</v>
      </c>
      <c r="BE201" s="2" t="s">
        <v>562</v>
      </c>
      <c r="BF201" s="2">
        <v>17.5</v>
      </c>
      <c r="BG201" s="2" t="s">
        <v>562</v>
      </c>
      <c r="BH201" s="2">
        <v>31.7</v>
      </c>
      <c r="BI201" s="2" t="s">
        <v>562</v>
      </c>
      <c r="BJ201" s="2">
        <v>152.75</v>
      </c>
      <c r="BK201" s="2" t="s">
        <v>562</v>
      </c>
      <c r="BL201" s="2">
        <v>38.9</v>
      </c>
      <c r="BM201" s="2" t="s">
        <v>562</v>
      </c>
      <c r="BN201" s="2">
        <v>39.56</v>
      </c>
      <c r="BO201" s="2" t="s">
        <v>562</v>
      </c>
      <c r="BP201" s="2">
        <v>16.73</v>
      </c>
      <c r="BQ201" s="2" t="s">
        <v>562</v>
      </c>
      <c r="BR201" s="2">
        <v>23.69</v>
      </c>
      <c r="BS201" s="2" t="s">
        <v>562</v>
      </c>
      <c r="BT201" s="2">
        <v>15.45</v>
      </c>
      <c r="BU201" s="2" t="s">
        <v>562</v>
      </c>
      <c r="BV201" s="2">
        <v>79918.36</v>
      </c>
      <c r="BW201" s="2" t="s">
        <v>562</v>
      </c>
      <c r="BX201" s="2">
        <v>26.17</v>
      </c>
    </row>
    <row r="202" spans="1:76">
      <c r="A202" s="2" t="s">
        <v>1</v>
      </c>
      <c r="B202" s="2">
        <v>202</v>
      </c>
      <c r="C202" s="2" t="s">
        <v>563</v>
      </c>
      <c r="D202" s="2">
        <v>14.07</v>
      </c>
      <c r="E202" s="2" t="s">
        <v>563</v>
      </c>
      <c r="F202" s="2">
        <v>26.21</v>
      </c>
      <c r="G202" s="2" t="s">
        <v>563</v>
      </c>
      <c r="H202" s="2">
        <v>40.340000000000003</v>
      </c>
      <c r="I202" s="2" t="s">
        <v>563</v>
      </c>
      <c r="J202" s="2" t="s">
        <v>41</v>
      </c>
      <c r="K202" s="2" t="s">
        <v>563</v>
      </c>
      <c r="L202" s="2">
        <v>17.100000000000001</v>
      </c>
      <c r="M202" s="2" t="s">
        <v>563</v>
      </c>
      <c r="N202" s="2">
        <v>9.3000000000000007</v>
      </c>
      <c r="O202" s="2" t="s">
        <v>563</v>
      </c>
      <c r="P202" s="2">
        <v>22.26</v>
      </c>
      <c r="Q202" s="2" t="s">
        <v>563</v>
      </c>
      <c r="R202" s="2">
        <v>17.7</v>
      </c>
      <c r="S202" s="2" t="s">
        <v>563</v>
      </c>
      <c r="T202" s="2">
        <v>13.44</v>
      </c>
      <c r="U202" s="2" t="s">
        <v>563</v>
      </c>
      <c r="V202" s="2">
        <v>4.95</v>
      </c>
      <c r="W202" s="2" t="s">
        <v>563</v>
      </c>
      <c r="X202" s="2" t="s">
        <v>531</v>
      </c>
      <c r="Y202" s="2" t="s">
        <v>563</v>
      </c>
      <c r="Z202" s="2">
        <v>27.42</v>
      </c>
      <c r="AA202" s="2" t="s">
        <v>564</v>
      </c>
      <c r="AB202" s="2">
        <v>19.95</v>
      </c>
      <c r="AC202" s="2" t="s">
        <v>563</v>
      </c>
      <c r="AD202" s="2">
        <v>14.52</v>
      </c>
      <c r="AE202" s="2" t="s">
        <v>563</v>
      </c>
      <c r="AF202" s="2">
        <v>25.81</v>
      </c>
      <c r="AG202" s="2" t="s">
        <v>563</v>
      </c>
      <c r="AH202" s="2">
        <v>43.19</v>
      </c>
      <c r="AI202" s="2" t="s">
        <v>563</v>
      </c>
      <c r="AJ202" s="2">
        <v>51.2</v>
      </c>
      <c r="AK202" s="2" t="s">
        <v>563</v>
      </c>
      <c r="AL202" s="2">
        <v>4.09</v>
      </c>
      <c r="AM202" s="2" t="s">
        <v>563</v>
      </c>
      <c r="AN202" s="2">
        <v>84.11</v>
      </c>
      <c r="AO202" s="2" t="s">
        <v>563</v>
      </c>
      <c r="AP202" s="2">
        <v>95.2</v>
      </c>
      <c r="AQ202" s="2" t="s">
        <v>563</v>
      </c>
      <c r="AR202" s="2" t="s">
        <v>41</v>
      </c>
      <c r="AS202" s="2" t="s">
        <v>563</v>
      </c>
      <c r="AT202" s="2" t="s">
        <v>565</v>
      </c>
      <c r="AU202" s="2" t="s">
        <v>563</v>
      </c>
      <c r="AV202" s="2">
        <v>125.4</v>
      </c>
      <c r="AW202" s="2" t="s">
        <v>563</v>
      </c>
      <c r="AX202" s="2" t="s">
        <v>75</v>
      </c>
      <c r="AY202" s="2" t="s">
        <v>563</v>
      </c>
      <c r="AZ202" s="2">
        <v>3.01</v>
      </c>
      <c r="BA202" s="2" t="s">
        <v>563</v>
      </c>
      <c r="BB202" s="2">
        <v>173.8</v>
      </c>
      <c r="BC202" s="2" t="s">
        <v>563</v>
      </c>
      <c r="BD202" s="2">
        <v>13.07</v>
      </c>
      <c r="BE202" s="2" t="s">
        <v>563</v>
      </c>
      <c r="BF202" s="2">
        <v>17.5</v>
      </c>
      <c r="BG202" s="2" t="s">
        <v>563</v>
      </c>
      <c r="BH202" s="2">
        <v>30.5</v>
      </c>
      <c r="BI202" s="2" t="s">
        <v>563</v>
      </c>
      <c r="BJ202" s="2">
        <v>149.69999999999999</v>
      </c>
      <c r="BK202" s="2" t="s">
        <v>563</v>
      </c>
      <c r="BL202" s="2" t="s">
        <v>367</v>
      </c>
      <c r="BM202" s="2" t="s">
        <v>563</v>
      </c>
      <c r="BN202" s="2">
        <v>39.92</v>
      </c>
      <c r="BO202" s="2" t="s">
        <v>563</v>
      </c>
      <c r="BP202" s="2">
        <v>16.38</v>
      </c>
      <c r="BQ202" s="2" t="s">
        <v>563</v>
      </c>
      <c r="BR202" s="2">
        <v>23.5</v>
      </c>
      <c r="BS202" s="2" t="s">
        <v>563</v>
      </c>
      <c r="BT202" s="2">
        <v>16.100000000000001</v>
      </c>
      <c r="BU202" s="2" t="s">
        <v>563</v>
      </c>
      <c r="BV202" s="2">
        <v>78831.460000000006</v>
      </c>
      <c r="BW202" s="2" t="s">
        <v>563</v>
      </c>
      <c r="BX202" s="2">
        <v>25.92</v>
      </c>
    </row>
    <row r="203" spans="1:76">
      <c r="A203" s="2" t="s">
        <v>1</v>
      </c>
      <c r="B203" s="2">
        <v>203</v>
      </c>
      <c r="C203" s="2" t="s">
        <v>564</v>
      </c>
      <c r="D203" s="2">
        <v>13.92</v>
      </c>
      <c r="E203" s="2" t="s">
        <v>564</v>
      </c>
      <c r="F203" s="2">
        <v>25.8</v>
      </c>
      <c r="G203" s="2" t="s">
        <v>564</v>
      </c>
      <c r="H203" s="2">
        <v>40.5</v>
      </c>
      <c r="I203" s="2" t="s">
        <v>564</v>
      </c>
      <c r="J203" s="2">
        <v>9.92</v>
      </c>
      <c r="K203" s="2" t="s">
        <v>564</v>
      </c>
      <c r="L203" s="2">
        <v>16.93</v>
      </c>
      <c r="M203" s="2" t="s">
        <v>564</v>
      </c>
      <c r="N203" s="2">
        <v>9.02</v>
      </c>
      <c r="O203" s="2" t="s">
        <v>564</v>
      </c>
      <c r="P203" s="2" t="s">
        <v>87</v>
      </c>
      <c r="Q203" s="2" t="s">
        <v>564</v>
      </c>
      <c r="R203" s="2">
        <v>17.8</v>
      </c>
      <c r="S203" s="2" t="s">
        <v>564</v>
      </c>
      <c r="T203" s="2">
        <v>13.35</v>
      </c>
      <c r="U203" s="2" t="s">
        <v>564</v>
      </c>
      <c r="V203" s="2">
        <v>4.8600000000000003</v>
      </c>
      <c r="W203" s="2" t="s">
        <v>564</v>
      </c>
      <c r="X203" s="2">
        <v>95.83</v>
      </c>
      <c r="Y203" s="2" t="s">
        <v>564</v>
      </c>
      <c r="Z203" s="2">
        <v>27.01</v>
      </c>
      <c r="AA203" s="2" t="s">
        <v>643</v>
      </c>
      <c r="AB203" s="2">
        <v>19.11</v>
      </c>
      <c r="AC203" s="2" t="s">
        <v>564</v>
      </c>
      <c r="AD203" s="2">
        <v>14.6</v>
      </c>
      <c r="AE203" s="2" t="s">
        <v>564</v>
      </c>
      <c r="AF203" s="2">
        <v>25.27</v>
      </c>
      <c r="AG203" s="2" t="s">
        <v>564</v>
      </c>
      <c r="AH203" s="2">
        <v>42.76</v>
      </c>
      <c r="AI203" s="2" t="s">
        <v>564</v>
      </c>
      <c r="AJ203" s="2">
        <v>49.4</v>
      </c>
      <c r="AK203" s="2" t="s">
        <v>564</v>
      </c>
      <c r="AL203" s="2">
        <v>4.09</v>
      </c>
      <c r="AM203" s="2" t="s">
        <v>564</v>
      </c>
      <c r="AN203" s="2">
        <v>83.35</v>
      </c>
      <c r="AO203" s="2" t="s">
        <v>564</v>
      </c>
      <c r="AP203" s="2" t="s">
        <v>531</v>
      </c>
      <c r="AQ203" s="2" t="s">
        <v>564</v>
      </c>
      <c r="AR203" s="2">
        <v>9.99</v>
      </c>
      <c r="AS203" s="2" t="s">
        <v>564</v>
      </c>
      <c r="AT203" s="2" t="s">
        <v>566</v>
      </c>
      <c r="AU203" s="2" t="s">
        <v>564</v>
      </c>
      <c r="AV203" s="2" t="s">
        <v>103</v>
      </c>
      <c r="AW203" s="2" t="s">
        <v>564</v>
      </c>
      <c r="AX203" s="2">
        <v>112.4</v>
      </c>
      <c r="AY203" s="2" t="s">
        <v>564</v>
      </c>
      <c r="AZ203" s="2">
        <v>2.97</v>
      </c>
      <c r="BA203" s="2" t="s">
        <v>564</v>
      </c>
      <c r="BB203" s="2">
        <v>176.9</v>
      </c>
      <c r="BC203" s="2" t="s">
        <v>564</v>
      </c>
      <c r="BD203" s="2">
        <v>12.81</v>
      </c>
      <c r="BE203" s="2" t="s">
        <v>564</v>
      </c>
      <c r="BF203" s="2">
        <v>17.38</v>
      </c>
      <c r="BG203" s="2" t="s">
        <v>564</v>
      </c>
      <c r="BH203" s="2">
        <v>31.02</v>
      </c>
      <c r="BI203" s="2" t="s">
        <v>564</v>
      </c>
      <c r="BJ203" s="2" t="s">
        <v>119</v>
      </c>
      <c r="BK203" s="2" t="s">
        <v>564</v>
      </c>
      <c r="BL203" s="2">
        <v>38.01</v>
      </c>
      <c r="BM203" s="2" t="s">
        <v>564</v>
      </c>
      <c r="BN203" s="2">
        <v>39.31</v>
      </c>
      <c r="BO203" s="2" t="s">
        <v>564</v>
      </c>
      <c r="BP203" s="2">
        <v>15.72</v>
      </c>
      <c r="BQ203" s="2" t="s">
        <v>564</v>
      </c>
      <c r="BR203" s="2">
        <v>22.5</v>
      </c>
      <c r="BS203" s="2" t="s">
        <v>564</v>
      </c>
      <c r="BT203" s="2">
        <v>15.11</v>
      </c>
      <c r="BU203" s="2" t="s">
        <v>564</v>
      </c>
      <c r="BV203" s="2">
        <v>77811.850000000006</v>
      </c>
      <c r="BW203" s="2" t="s">
        <v>564</v>
      </c>
      <c r="BX203" s="2">
        <v>26.52</v>
      </c>
    </row>
    <row r="204" spans="1:76">
      <c r="A204" s="2" t="s">
        <v>1</v>
      </c>
      <c r="B204" s="2">
        <v>204</v>
      </c>
      <c r="C204" s="2" t="s">
        <v>643</v>
      </c>
      <c r="D204" s="2">
        <v>14.08</v>
      </c>
      <c r="E204" s="2" t="s">
        <v>643</v>
      </c>
      <c r="F204" s="2">
        <v>25.92</v>
      </c>
      <c r="G204" s="2" t="s">
        <v>643</v>
      </c>
      <c r="H204" s="2">
        <v>40.049999999999997</v>
      </c>
      <c r="I204" s="2" t="s">
        <v>643</v>
      </c>
      <c r="J204" s="2">
        <v>8.98</v>
      </c>
      <c r="K204" s="2" t="s">
        <v>643</v>
      </c>
      <c r="L204" s="2">
        <v>16.8</v>
      </c>
      <c r="M204" s="2" t="s">
        <v>643</v>
      </c>
      <c r="N204" s="2">
        <v>9.14</v>
      </c>
      <c r="O204" s="2" t="s">
        <v>643</v>
      </c>
      <c r="P204" s="2">
        <v>22.13</v>
      </c>
      <c r="Q204" s="2" t="s">
        <v>643</v>
      </c>
      <c r="R204" s="2">
        <v>17.510000000000002</v>
      </c>
      <c r="S204" s="2" t="s">
        <v>643</v>
      </c>
      <c r="T204" s="2">
        <v>13.36</v>
      </c>
      <c r="U204" s="2" t="s">
        <v>643</v>
      </c>
      <c r="V204" s="2">
        <v>4.82</v>
      </c>
      <c r="W204" s="2" t="s">
        <v>643</v>
      </c>
      <c r="X204" s="2">
        <v>97.45</v>
      </c>
      <c r="Y204" s="2" t="s">
        <v>643</v>
      </c>
      <c r="Z204" s="2">
        <v>26.78</v>
      </c>
      <c r="AA204" s="2" t="s">
        <v>644</v>
      </c>
      <c r="AB204" s="2">
        <v>18.95</v>
      </c>
      <c r="AC204" s="2" t="s">
        <v>643</v>
      </c>
      <c r="AD204" s="2">
        <v>14.7</v>
      </c>
      <c r="AE204" s="2" t="s">
        <v>643</v>
      </c>
      <c r="AF204" s="2">
        <v>24.99</v>
      </c>
      <c r="AG204" s="2" t="s">
        <v>643</v>
      </c>
      <c r="AH204" s="2" t="s">
        <v>55</v>
      </c>
      <c r="AI204" s="2" t="s">
        <v>643</v>
      </c>
      <c r="AJ204" s="2">
        <v>48.29</v>
      </c>
      <c r="AK204" s="2" t="s">
        <v>643</v>
      </c>
      <c r="AL204" s="2">
        <v>4.16</v>
      </c>
      <c r="AM204" s="2" t="s">
        <v>643</v>
      </c>
      <c r="AN204" s="2">
        <v>83.7</v>
      </c>
      <c r="AO204" s="2" t="s">
        <v>643</v>
      </c>
      <c r="AP204" s="2">
        <v>99.5</v>
      </c>
      <c r="AQ204" s="2" t="s">
        <v>643</v>
      </c>
      <c r="AR204" s="2">
        <v>10.02</v>
      </c>
      <c r="AS204" s="2" t="s">
        <v>643</v>
      </c>
      <c r="AT204" s="2" t="s">
        <v>645</v>
      </c>
      <c r="AU204" s="2" t="s">
        <v>643</v>
      </c>
      <c r="AV204" s="2">
        <v>121.5</v>
      </c>
      <c r="AW204" s="2" t="s">
        <v>643</v>
      </c>
      <c r="AX204" s="2">
        <v>112.95</v>
      </c>
      <c r="AY204" s="2" t="s">
        <v>643</v>
      </c>
      <c r="AZ204" s="2">
        <v>3.01</v>
      </c>
      <c r="BA204" s="2" t="s">
        <v>643</v>
      </c>
      <c r="BB204" s="2" t="s">
        <v>393</v>
      </c>
      <c r="BC204" s="2" t="s">
        <v>643</v>
      </c>
      <c r="BD204" s="2">
        <v>13.41</v>
      </c>
      <c r="BE204" s="2" t="s">
        <v>643</v>
      </c>
      <c r="BF204" s="2">
        <v>18.03</v>
      </c>
      <c r="BG204" s="2" t="s">
        <v>643</v>
      </c>
      <c r="BH204" s="2" t="s">
        <v>137</v>
      </c>
      <c r="BI204" s="2" t="s">
        <v>643</v>
      </c>
      <c r="BJ204" s="2">
        <v>151.38</v>
      </c>
      <c r="BK204" s="2" t="s">
        <v>643</v>
      </c>
      <c r="BL204" s="2">
        <v>38.46</v>
      </c>
      <c r="BM204" s="2" t="s">
        <v>643</v>
      </c>
      <c r="BN204" s="2">
        <v>39.53</v>
      </c>
      <c r="BO204" s="2" t="s">
        <v>643</v>
      </c>
      <c r="BP204" s="2">
        <v>16.13</v>
      </c>
      <c r="BQ204" s="2" t="s">
        <v>643</v>
      </c>
      <c r="BR204" s="2">
        <v>22.01</v>
      </c>
      <c r="BS204" s="2" t="s">
        <v>643</v>
      </c>
      <c r="BT204" s="2">
        <v>15.06</v>
      </c>
      <c r="BU204" s="2" t="s">
        <v>643</v>
      </c>
      <c r="BV204" s="2">
        <v>78990.289999999994</v>
      </c>
      <c r="BW204" s="2" t="s">
        <v>643</v>
      </c>
      <c r="BX204" s="2">
        <v>26.2</v>
      </c>
    </row>
    <row r="205" spans="1:76">
      <c r="A205" s="2" t="s">
        <v>1</v>
      </c>
      <c r="B205" s="2">
        <v>205</v>
      </c>
      <c r="C205" s="2" t="s">
        <v>644</v>
      </c>
      <c r="D205" s="2">
        <v>13.95</v>
      </c>
      <c r="E205" s="2" t="s">
        <v>644</v>
      </c>
      <c r="F205" s="2">
        <v>26.25</v>
      </c>
      <c r="G205" s="2" t="s">
        <v>644</v>
      </c>
      <c r="H205" s="2">
        <v>40.630000000000003</v>
      </c>
      <c r="I205" s="2" t="s">
        <v>644</v>
      </c>
      <c r="J205" s="2">
        <v>8.5</v>
      </c>
      <c r="K205" s="2" t="s">
        <v>644</v>
      </c>
      <c r="L205" s="2">
        <v>17.190000000000001</v>
      </c>
      <c r="M205" s="2" t="s">
        <v>644</v>
      </c>
      <c r="N205" s="2">
        <v>8.9700000000000006</v>
      </c>
      <c r="O205" s="2" t="s">
        <v>644</v>
      </c>
      <c r="P205" s="2">
        <v>22.03</v>
      </c>
      <c r="Q205" s="2" t="s">
        <v>644</v>
      </c>
      <c r="R205" s="2">
        <v>17.440000000000001</v>
      </c>
      <c r="S205" s="2" t="s">
        <v>644</v>
      </c>
      <c r="T205" s="2">
        <v>13.7</v>
      </c>
      <c r="U205" s="2" t="s">
        <v>644</v>
      </c>
      <c r="V205" s="2">
        <v>4.79</v>
      </c>
      <c r="W205" s="2" t="s">
        <v>644</v>
      </c>
      <c r="X205" s="2">
        <v>96.4</v>
      </c>
      <c r="Y205" s="2" t="s">
        <v>644</v>
      </c>
      <c r="Z205" s="2">
        <v>26.85</v>
      </c>
      <c r="AA205" s="2" t="s">
        <v>646</v>
      </c>
      <c r="AB205" s="2">
        <v>19.579999999999998</v>
      </c>
      <c r="AC205" s="2" t="s">
        <v>644</v>
      </c>
      <c r="AD205" s="2">
        <v>14.01</v>
      </c>
      <c r="AE205" s="2" t="s">
        <v>644</v>
      </c>
      <c r="AF205" s="2">
        <v>24.85</v>
      </c>
      <c r="AG205" s="2" t="s">
        <v>644</v>
      </c>
      <c r="AH205" s="2">
        <v>42.46</v>
      </c>
      <c r="AI205" s="2" t="s">
        <v>644</v>
      </c>
      <c r="AJ205" s="2">
        <v>48.21</v>
      </c>
      <c r="AK205" s="2" t="s">
        <v>644</v>
      </c>
      <c r="AL205" s="2">
        <v>4.25</v>
      </c>
      <c r="AM205" s="2" t="s">
        <v>644</v>
      </c>
      <c r="AN205" s="2">
        <v>83.91</v>
      </c>
      <c r="AO205" s="2" t="s">
        <v>644</v>
      </c>
      <c r="AP205" s="2">
        <v>100.5</v>
      </c>
      <c r="AQ205" s="2" t="s">
        <v>644</v>
      </c>
      <c r="AR205" s="2">
        <v>10.02</v>
      </c>
      <c r="AS205" s="2" t="s">
        <v>644</v>
      </c>
      <c r="AT205" s="2" t="s">
        <v>647</v>
      </c>
      <c r="AU205" s="2" t="s">
        <v>644</v>
      </c>
      <c r="AV205" s="2">
        <v>121.79</v>
      </c>
      <c r="AW205" s="2" t="s">
        <v>644</v>
      </c>
      <c r="AX205" s="2">
        <v>112.62</v>
      </c>
      <c r="AY205" s="2" t="s">
        <v>644</v>
      </c>
      <c r="AZ205" s="2">
        <v>2.98</v>
      </c>
      <c r="BA205" s="2" t="s">
        <v>644</v>
      </c>
      <c r="BB205" s="2" t="s">
        <v>648</v>
      </c>
      <c r="BC205" s="2" t="s">
        <v>644</v>
      </c>
      <c r="BD205" s="2">
        <v>14.06</v>
      </c>
      <c r="BE205" s="2" t="s">
        <v>644</v>
      </c>
      <c r="BF205" s="2">
        <v>19.78</v>
      </c>
      <c r="BG205" s="2" t="s">
        <v>644</v>
      </c>
      <c r="BH205" s="2">
        <v>30.44</v>
      </c>
      <c r="BI205" s="2" t="s">
        <v>644</v>
      </c>
      <c r="BJ205" s="2">
        <v>150.6</v>
      </c>
      <c r="BK205" s="2" t="s">
        <v>644</v>
      </c>
      <c r="BL205" s="2">
        <v>39.1</v>
      </c>
      <c r="BM205" s="2" t="s">
        <v>644</v>
      </c>
      <c r="BN205" s="2">
        <v>40.590000000000003</v>
      </c>
      <c r="BO205" s="2" t="s">
        <v>644</v>
      </c>
      <c r="BP205" s="2">
        <v>15.95</v>
      </c>
      <c r="BQ205" s="2" t="s">
        <v>644</v>
      </c>
      <c r="BR205" s="2">
        <v>20.6</v>
      </c>
      <c r="BS205" s="2" t="s">
        <v>644</v>
      </c>
      <c r="BT205" s="2">
        <v>15.01</v>
      </c>
      <c r="BU205" s="2" t="s">
        <v>644</v>
      </c>
      <c r="BV205" s="2">
        <v>78972.759999999995</v>
      </c>
      <c r="BW205" s="2" t="s">
        <v>644</v>
      </c>
      <c r="BX205" s="2">
        <v>26.5</v>
      </c>
    </row>
    <row r="206" spans="1:76">
      <c r="A206" s="2" t="s">
        <v>1</v>
      </c>
      <c r="B206" s="2">
        <v>206</v>
      </c>
      <c r="C206" s="2" t="s">
        <v>646</v>
      </c>
      <c r="D206" s="2">
        <v>14.55</v>
      </c>
      <c r="E206" s="2" t="s">
        <v>646</v>
      </c>
      <c r="F206" s="2">
        <v>26.95</v>
      </c>
      <c r="G206" s="2" t="s">
        <v>646</v>
      </c>
      <c r="H206" s="2">
        <v>41.03</v>
      </c>
      <c r="I206" s="2" t="s">
        <v>646</v>
      </c>
      <c r="J206" s="2">
        <v>8.84</v>
      </c>
      <c r="K206" s="2" t="s">
        <v>646</v>
      </c>
      <c r="L206" s="2">
        <v>17.55</v>
      </c>
      <c r="M206" s="2" t="s">
        <v>646</v>
      </c>
      <c r="N206" s="2">
        <v>8.9600000000000009</v>
      </c>
      <c r="O206" s="2" t="s">
        <v>646</v>
      </c>
      <c r="P206" s="2">
        <v>21.79</v>
      </c>
      <c r="Q206" s="2" t="s">
        <v>646</v>
      </c>
      <c r="R206" s="2">
        <v>17.899999999999999</v>
      </c>
      <c r="S206" s="2" t="s">
        <v>646</v>
      </c>
      <c r="T206" s="2">
        <v>14.6</v>
      </c>
      <c r="U206" s="2" t="s">
        <v>646</v>
      </c>
      <c r="V206" s="2">
        <v>5.07</v>
      </c>
      <c r="W206" s="2" t="s">
        <v>646</v>
      </c>
      <c r="X206" s="2">
        <v>95.85</v>
      </c>
      <c r="Y206" s="2" t="s">
        <v>646</v>
      </c>
      <c r="Z206" s="2">
        <v>27.69</v>
      </c>
      <c r="AA206" s="2" t="s">
        <v>649</v>
      </c>
      <c r="AB206" s="2">
        <v>19.71</v>
      </c>
      <c r="AC206" s="2" t="s">
        <v>646</v>
      </c>
      <c r="AD206" s="2">
        <v>14.5</v>
      </c>
      <c r="AE206" s="2" t="s">
        <v>646</v>
      </c>
      <c r="AF206" s="2">
        <v>26.26</v>
      </c>
      <c r="AG206" s="2" t="s">
        <v>646</v>
      </c>
      <c r="AH206" s="2">
        <v>42.9</v>
      </c>
      <c r="AI206" s="2" t="s">
        <v>646</v>
      </c>
      <c r="AJ206" s="2">
        <v>49.2</v>
      </c>
      <c r="AK206" s="2" t="s">
        <v>646</v>
      </c>
      <c r="AL206" s="2">
        <v>4.59</v>
      </c>
      <c r="AM206" s="2" t="s">
        <v>646</v>
      </c>
      <c r="AN206" s="2">
        <v>84.69</v>
      </c>
      <c r="AO206" s="2" t="s">
        <v>646</v>
      </c>
      <c r="AP206" s="2">
        <v>100.95</v>
      </c>
      <c r="AQ206" s="2" t="s">
        <v>646</v>
      </c>
      <c r="AR206" s="2" t="s">
        <v>41</v>
      </c>
      <c r="AS206" s="2" t="s">
        <v>646</v>
      </c>
      <c r="AT206" s="2" t="s">
        <v>650</v>
      </c>
      <c r="AU206" s="2" t="s">
        <v>646</v>
      </c>
      <c r="AV206" s="2">
        <v>121.28</v>
      </c>
      <c r="AW206" s="2" t="s">
        <v>646</v>
      </c>
      <c r="AX206" s="2">
        <v>112.46</v>
      </c>
      <c r="AY206" s="2" t="s">
        <v>646</v>
      </c>
      <c r="AZ206" s="2">
        <v>2.99</v>
      </c>
      <c r="BA206" s="2" t="s">
        <v>646</v>
      </c>
      <c r="BB206" s="2">
        <v>179.99</v>
      </c>
      <c r="BC206" s="2" t="s">
        <v>646</v>
      </c>
      <c r="BD206" s="2">
        <v>14.99</v>
      </c>
      <c r="BE206" s="2" t="s">
        <v>646</v>
      </c>
      <c r="BF206" s="2">
        <v>19.75</v>
      </c>
      <c r="BG206" s="2" t="s">
        <v>646</v>
      </c>
      <c r="BH206" s="2">
        <v>31.26</v>
      </c>
      <c r="BI206" s="2" t="s">
        <v>646</v>
      </c>
      <c r="BJ206" s="2">
        <v>150.22</v>
      </c>
      <c r="BK206" s="2" t="s">
        <v>646</v>
      </c>
      <c r="BL206" s="2">
        <v>40.92</v>
      </c>
      <c r="BM206" s="2" t="s">
        <v>646</v>
      </c>
      <c r="BN206" s="2">
        <v>42.01</v>
      </c>
      <c r="BO206" s="2" t="s">
        <v>646</v>
      </c>
      <c r="BP206" s="2">
        <v>16.75</v>
      </c>
      <c r="BQ206" s="2" t="s">
        <v>646</v>
      </c>
      <c r="BR206" s="2">
        <v>19.809999999999999</v>
      </c>
      <c r="BS206" s="2" t="s">
        <v>646</v>
      </c>
      <c r="BT206" s="2">
        <v>14.17</v>
      </c>
      <c r="BU206" s="2" t="s">
        <v>646</v>
      </c>
      <c r="BV206" s="2">
        <v>80687.149999999994</v>
      </c>
      <c r="BW206" s="2" t="s">
        <v>646</v>
      </c>
      <c r="BX206" s="2">
        <v>27.15</v>
      </c>
    </row>
    <row r="207" spans="1:76">
      <c r="A207" s="2" t="s">
        <v>1</v>
      </c>
      <c r="B207" s="2">
        <v>207</v>
      </c>
      <c r="C207" s="2" t="s">
        <v>649</v>
      </c>
      <c r="D207" s="2">
        <v>14.25</v>
      </c>
      <c r="E207" s="2" t="s">
        <v>649</v>
      </c>
      <c r="F207" s="2">
        <v>26.18</v>
      </c>
      <c r="G207" s="2" t="s">
        <v>649</v>
      </c>
      <c r="H207" s="2">
        <v>40.869999999999997</v>
      </c>
      <c r="I207" s="2" t="s">
        <v>649</v>
      </c>
      <c r="J207" s="2">
        <v>9.19</v>
      </c>
      <c r="K207" s="2" t="s">
        <v>649</v>
      </c>
      <c r="L207" s="2">
        <v>16.95</v>
      </c>
      <c r="M207" s="2" t="s">
        <v>649</v>
      </c>
      <c r="N207" s="2">
        <v>8.84</v>
      </c>
      <c r="O207" s="2" t="s">
        <v>649</v>
      </c>
      <c r="P207" s="2">
        <v>21.24</v>
      </c>
      <c r="Q207" s="2" t="s">
        <v>649</v>
      </c>
      <c r="R207" s="2">
        <v>17.8</v>
      </c>
      <c r="S207" s="2" t="s">
        <v>649</v>
      </c>
      <c r="T207" s="2">
        <v>14.18</v>
      </c>
      <c r="U207" s="2" t="s">
        <v>649</v>
      </c>
      <c r="V207" s="2">
        <v>4.97</v>
      </c>
      <c r="W207" s="2" t="s">
        <v>649</v>
      </c>
      <c r="X207" s="2">
        <v>95.98</v>
      </c>
      <c r="Y207" s="2" t="s">
        <v>649</v>
      </c>
      <c r="Z207" s="2">
        <v>27.88</v>
      </c>
      <c r="AA207" s="2" t="s">
        <v>651</v>
      </c>
      <c r="AB207" s="2">
        <v>18.78</v>
      </c>
      <c r="AC207" s="2" t="s">
        <v>649</v>
      </c>
      <c r="AD207" s="2">
        <v>14.23</v>
      </c>
      <c r="AE207" s="2" t="s">
        <v>649</v>
      </c>
      <c r="AF207" s="2">
        <v>25.96</v>
      </c>
      <c r="AG207" s="2" t="s">
        <v>649</v>
      </c>
      <c r="AH207" s="2">
        <v>43.51</v>
      </c>
      <c r="AI207" s="2" t="s">
        <v>649</v>
      </c>
      <c r="AJ207" s="2">
        <v>49.28</v>
      </c>
      <c r="AK207" s="2" t="s">
        <v>649</v>
      </c>
      <c r="AL207" s="2">
        <v>4.47</v>
      </c>
      <c r="AM207" s="2" t="s">
        <v>649</v>
      </c>
      <c r="AN207" s="2" t="s">
        <v>652</v>
      </c>
      <c r="AO207" s="2" t="s">
        <v>649</v>
      </c>
      <c r="AP207" s="2">
        <v>101.15</v>
      </c>
      <c r="AQ207" s="2" t="s">
        <v>649</v>
      </c>
      <c r="AR207" s="2">
        <v>10.01</v>
      </c>
      <c r="AS207" s="2" t="s">
        <v>649</v>
      </c>
      <c r="AT207" s="2">
        <v>1118.93</v>
      </c>
      <c r="AU207" s="2" t="s">
        <v>649</v>
      </c>
      <c r="AV207" s="2" t="s">
        <v>102</v>
      </c>
      <c r="AW207" s="2" t="s">
        <v>649</v>
      </c>
      <c r="AX207" s="2">
        <v>112.89</v>
      </c>
      <c r="AY207" s="2" t="s">
        <v>649</v>
      </c>
      <c r="AZ207" s="2" t="s">
        <v>132</v>
      </c>
      <c r="BA207" s="2" t="s">
        <v>649</v>
      </c>
      <c r="BB207" s="2">
        <v>181.98</v>
      </c>
      <c r="BC207" s="2" t="s">
        <v>649</v>
      </c>
      <c r="BD207" s="2">
        <v>13.83</v>
      </c>
      <c r="BE207" s="2" t="s">
        <v>649</v>
      </c>
      <c r="BF207" s="2">
        <v>19.239999999999998</v>
      </c>
      <c r="BG207" s="2" t="s">
        <v>649</v>
      </c>
      <c r="BH207" s="2">
        <v>31.27</v>
      </c>
      <c r="BI207" s="2" t="s">
        <v>649</v>
      </c>
      <c r="BJ207" s="2">
        <v>152.19999999999999</v>
      </c>
      <c r="BK207" s="2" t="s">
        <v>649</v>
      </c>
      <c r="BL207" s="2">
        <v>39.590000000000003</v>
      </c>
      <c r="BM207" s="2" t="s">
        <v>649</v>
      </c>
      <c r="BN207" s="2">
        <v>41.25</v>
      </c>
      <c r="BO207" s="2" t="s">
        <v>649</v>
      </c>
      <c r="BP207" s="2">
        <v>16.95</v>
      </c>
      <c r="BQ207" s="2" t="s">
        <v>649</v>
      </c>
      <c r="BR207" s="2">
        <v>19.95</v>
      </c>
      <c r="BS207" s="2" t="s">
        <v>649</v>
      </c>
      <c r="BT207" s="2">
        <v>14.3</v>
      </c>
      <c r="BU207" s="2" t="s">
        <v>649</v>
      </c>
      <c r="BV207" s="2">
        <v>79673.3</v>
      </c>
      <c r="BW207" s="2" t="s">
        <v>649</v>
      </c>
      <c r="BX207" s="2" t="s">
        <v>45</v>
      </c>
    </row>
    <row r="208" spans="1:76">
      <c r="A208" s="2" t="s">
        <v>1</v>
      </c>
      <c r="B208" s="2">
        <v>208</v>
      </c>
      <c r="C208" s="2" t="s">
        <v>651</v>
      </c>
      <c r="D208" s="2">
        <v>13.3</v>
      </c>
      <c r="E208" s="2" t="s">
        <v>651</v>
      </c>
      <c r="F208" s="2">
        <v>24.4</v>
      </c>
      <c r="G208" s="2" t="s">
        <v>651</v>
      </c>
      <c r="H208" s="2">
        <v>38.229999999999997</v>
      </c>
      <c r="I208" s="2" t="s">
        <v>651</v>
      </c>
      <c r="J208" s="2">
        <v>8.3699999999999992</v>
      </c>
      <c r="K208" s="2" t="s">
        <v>651</v>
      </c>
      <c r="L208" s="2">
        <v>16.010000000000002</v>
      </c>
      <c r="M208" s="2" t="s">
        <v>651</v>
      </c>
      <c r="N208" s="2">
        <v>8.4</v>
      </c>
      <c r="O208" s="2" t="s">
        <v>651</v>
      </c>
      <c r="P208" s="2">
        <v>20.49</v>
      </c>
      <c r="Q208" s="2" t="s">
        <v>651</v>
      </c>
      <c r="R208" s="2">
        <v>16.86</v>
      </c>
      <c r="S208" s="2" t="s">
        <v>651</v>
      </c>
      <c r="T208" s="2" t="s">
        <v>64</v>
      </c>
      <c r="U208" s="2" t="s">
        <v>651</v>
      </c>
      <c r="V208" s="2">
        <v>4.62</v>
      </c>
      <c r="W208" s="2" t="s">
        <v>651</v>
      </c>
      <c r="X208" s="2">
        <v>94.15</v>
      </c>
      <c r="Y208" s="2" t="s">
        <v>651</v>
      </c>
      <c r="Z208" s="2">
        <v>27.19</v>
      </c>
      <c r="AA208" s="2" t="s">
        <v>653</v>
      </c>
      <c r="AB208" s="2">
        <v>19.16</v>
      </c>
      <c r="AC208" s="2" t="s">
        <v>651</v>
      </c>
      <c r="AD208" s="2">
        <v>14.75</v>
      </c>
      <c r="AE208" s="2" t="s">
        <v>651</v>
      </c>
      <c r="AF208" s="2">
        <v>24.21</v>
      </c>
      <c r="AG208" s="2" t="s">
        <v>651</v>
      </c>
      <c r="AH208" s="2">
        <v>43.76</v>
      </c>
      <c r="AI208" s="2" t="s">
        <v>651</v>
      </c>
      <c r="AJ208" s="2">
        <v>46.39</v>
      </c>
      <c r="AK208" s="2" t="s">
        <v>651</v>
      </c>
      <c r="AL208" s="2">
        <v>4.2699999999999996</v>
      </c>
      <c r="AM208" s="2" t="s">
        <v>651</v>
      </c>
      <c r="AN208" s="2">
        <v>83.24</v>
      </c>
      <c r="AO208" s="2" t="s">
        <v>651</v>
      </c>
      <c r="AP208" s="2" t="s">
        <v>505</v>
      </c>
      <c r="AQ208" s="2" t="s">
        <v>651</v>
      </c>
      <c r="AR208" s="2">
        <v>9.6999999999999993</v>
      </c>
      <c r="AS208" s="2" t="s">
        <v>651</v>
      </c>
      <c r="AT208" s="2">
        <v>1065.07</v>
      </c>
      <c r="AU208" s="2" t="s">
        <v>651</v>
      </c>
      <c r="AV208" s="2">
        <v>117.71</v>
      </c>
      <c r="AW208" s="2" t="s">
        <v>651</v>
      </c>
      <c r="AX208" s="2">
        <v>110.96</v>
      </c>
      <c r="AY208" s="2" t="s">
        <v>651</v>
      </c>
      <c r="AZ208" s="2">
        <v>2.98</v>
      </c>
      <c r="BA208" s="2" t="s">
        <v>651</v>
      </c>
      <c r="BB208" s="2">
        <v>177.1</v>
      </c>
      <c r="BC208" s="2" t="s">
        <v>651</v>
      </c>
      <c r="BD208" s="2">
        <v>12.88</v>
      </c>
      <c r="BE208" s="2" t="s">
        <v>651</v>
      </c>
      <c r="BF208" s="2" t="s">
        <v>69</v>
      </c>
      <c r="BG208" s="2" t="s">
        <v>651</v>
      </c>
      <c r="BH208" s="2">
        <v>30.44</v>
      </c>
      <c r="BI208" s="2" t="s">
        <v>651</v>
      </c>
      <c r="BJ208" s="2">
        <v>151.66999999999999</v>
      </c>
      <c r="BK208" s="2" t="s">
        <v>651</v>
      </c>
      <c r="BL208" s="2">
        <v>38.71</v>
      </c>
      <c r="BM208" s="2" t="s">
        <v>651</v>
      </c>
      <c r="BN208" s="2" t="s">
        <v>114</v>
      </c>
      <c r="BO208" s="2" t="s">
        <v>651</v>
      </c>
      <c r="BP208" s="2">
        <v>15.95</v>
      </c>
      <c r="BQ208" s="2" t="s">
        <v>651</v>
      </c>
      <c r="BR208" s="2">
        <v>18.55</v>
      </c>
      <c r="BS208" s="2" t="s">
        <v>651</v>
      </c>
      <c r="BT208" s="2">
        <v>13.65</v>
      </c>
      <c r="BU208" s="2" t="s">
        <v>651</v>
      </c>
      <c r="BV208" s="2">
        <v>75330.61</v>
      </c>
      <c r="BW208" s="2" t="s">
        <v>651</v>
      </c>
      <c r="BX208" s="2">
        <v>25.24</v>
      </c>
    </row>
    <row r="209" spans="1:76">
      <c r="A209" s="2" t="s">
        <v>1</v>
      </c>
      <c r="B209" s="2">
        <v>209</v>
      </c>
      <c r="C209" s="2" t="s">
        <v>653</v>
      </c>
      <c r="D209" s="2">
        <v>13.47</v>
      </c>
      <c r="E209" s="2" t="s">
        <v>653</v>
      </c>
      <c r="F209" s="2">
        <v>25.3</v>
      </c>
      <c r="G209" s="2" t="s">
        <v>653</v>
      </c>
      <c r="H209" s="2">
        <v>40.090000000000003</v>
      </c>
      <c r="I209" s="2" t="s">
        <v>653</v>
      </c>
      <c r="J209" s="2">
        <v>8.9</v>
      </c>
      <c r="K209" s="2" t="s">
        <v>653</v>
      </c>
      <c r="L209" s="2">
        <v>16.57</v>
      </c>
      <c r="M209" s="2" t="s">
        <v>653</v>
      </c>
      <c r="N209" s="2">
        <v>8.67</v>
      </c>
      <c r="O209" s="2" t="s">
        <v>653</v>
      </c>
      <c r="P209" s="2">
        <v>20.73</v>
      </c>
      <c r="Q209" s="2" t="s">
        <v>653</v>
      </c>
      <c r="R209" s="2">
        <v>17.3</v>
      </c>
      <c r="S209" s="2" t="s">
        <v>653</v>
      </c>
      <c r="T209" s="2">
        <v>13.7</v>
      </c>
      <c r="U209" s="2" t="s">
        <v>653</v>
      </c>
      <c r="V209" s="2">
        <v>4.87</v>
      </c>
      <c r="W209" s="2" t="s">
        <v>653</v>
      </c>
      <c r="X209" s="2">
        <v>94.11</v>
      </c>
      <c r="Y209" s="2" t="s">
        <v>653</v>
      </c>
      <c r="Z209" s="2">
        <v>28.12</v>
      </c>
      <c r="AA209" s="2" t="s">
        <v>654</v>
      </c>
      <c r="AB209" s="2">
        <v>19.47</v>
      </c>
      <c r="AC209" s="2" t="s">
        <v>653</v>
      </c>
      <c r="AD209" s="2">
        <v>15.15</v>
      </c>
      <c r="AE209" s="2" t="s">
        <v>653</v>
      </c>
      <c r="AF209" s="2">
        <v>26.28</v>
      </c>
      <c r="AG209" s="2" t="s">
        <v>653</v>
      </c>
      <c r="AH209" s="2">
        <v>44.55</v>
      </c>
      <c r="AI209" s="2" t="s">
        <v>653</v>
      </c>
      <c r="AJ209" s="2">
        <v>47.49</v>
      </c>
      <c r="AK209" s="2" t="s">
        <v>653</v>
      </c>
      <c r="AL209" s="2">
        <v>4.18</v>
      </c>
      <c r="AM209" s="2" t="s">
        <v>653</v>
      </c>
      <c r="AN209" s="2">
        <v>83.51</v>
      </c>
      <c r="AO209" s="2" t="s">
        <v>653</v>
      </c>
      <c r="AP209" s="2">
        <v>98.1</v>
      </c>
      <c r="AQ209" s="2" t="s">
        <v>653</v>
      </c>
      <c r="AR209" s="2">
        <v>9.9499999999999993</v>
      </c>
      <c r="AS209" s="2" t="s">
        <v>653</v>
      </c>
      <c r="AT209" s="2" t="s">
        <v>527</v>
      </c>
      <c r="AU209" s="2" t="s">
        <v>653</v>
      </c>
      <c r="AV209" s="2" t="s">
        <v>102</v>
      </c>
      <c r="AW209" s="2" t="s">
        <v>653</v>
      </c>
      <c r="AX209" s="2">
        <v>110.13</v>
      </c>
      <c r="AY209" s="2" t="s">
        <v>653</v>
      </c>
      <c r="AZ209" s="2">
        <v>2.99</v>
      </c>
      <c r="BA209" s="2" t="s">
        <v>653</v>
      </c>
      <c r="BB209" s="2">
        <v>176.15</v>
      </c>
      <c r="BC209" s="2" t="s">
        <v>653</v>
      </c>
      <c r="BD209" s="2">
        <v>13.19</v>
      </c>
      <c r="BE209" s="2" t="s">
        <v>653</v>
      </c>
      <c r="BF209" s="2">
        <v>19.399999999999999</v>
      </c>
      <c r="BG209" s="2" t="s">
        <v>653</v>
      </c>
      <c r="BH209" s="2">
        <v>31.58</v>
      </c>
      <c r="BI209" s="2" t="s">
        <v>653</v>
      </c>
      <c r="BJ209" s="2" t="s">
        <v>119</v>
      </c>
      <c r="BK209" s="2" t="s">
        <v>653</v>
      </c>
      <c r="BL209" s="2">
        <v>40.6</v>
      </c>
      <c r="BM209" s="2" t="s">
        <v>653</v>
      </c>
      <c r="BN209" s="2">
        <v>39.229999999999997</v>
      </c>
      <c r="BO209" s="2" t="s">
        <v>653</v>
      </c>
      <c r="BP209" s="2">
        <v>16.45</v>
      </c>
      <c r="BQ209" s="2" t="s">
        <v>653</v>
      </c>
      <c r="BR209" s="2">
        <v>18.75</v>
      </c>
      <c r="BS209" s="2" t="s">
        <v>653</v>
      </c>
      <c r="BT209" s="2">
        <v>14.71</v>
      </c>
      <c r="BU209" s="2" t="s">
        <v>653</v>
      </c>
      <c r="BV209" s="2">
        <v>78238.600000000006</v>
      </c>
      <c r="BW209" s="2" t="s">
        <v>653</v>
      </c>
      <c r="BX209" s="2">
        <v>26.49</v>
      </c>
    </row>
    <row r="210" spans="1:76">
      <c r="A210" s="2" t="s">
        <v>1</v>
      </c>
      <c r="B210" s="2">
        <v>210</v>
      </c>
      <c r="C210" s="2" t="s">
        <v>654</v>
      </c>
      <c r="D210" s="2">
        <v>14.35</v>
      </c>
      <c r="E210" s="2" t="s">
        <v>654</v>
      </c>
      <c r="F210" s="2">
        <v>25.26</v>
      </c>
      <c r="G210" s="2" t="s">
        <v>654</v>
      </c>
      <c r="H210" s="2">
        <v>40.26</v>
      </c>
      <c r="I210" s="2" t="s">
        <v>654</v>
      </c>
      <c r="J210" s="2">
        <v>8.8000000000000007</v>
      </c>
      <c r="K210" s="2" t="s">
        <v>654</v>
      </c>
      <c r="L210" s="2">
        <v>16.87</v>
      </c>
      <c r="M210" s="2" t="s">
        <v>654</v>
      </c>
      <c r="N210" s="2">
        <v>9.2799999999999994</v>
      </c>
      <c r="O210" s="2" t="s">
        <v>654</v>
      </c>
      <c r="P210" s="2">
        <v>22.48</v>
      </c>
      <c r="Q210" s="2" t="s">
        <v>654</v>
      </c>
      <c r="R210" s="2">
        <v>17.829999999999998</v>
      </c>
      <c r="S210" s="2" t="s">
        <v>654</v>
      </c>
      <c r="T210" s="2">
        <v>14.77</v>
      </c>
      <c r="U210" s="2" t="s">
        <v>654</v>
      </c>
      <c r="V210" s="2">
        <v>4.9400000000000004</v>
      </c>
      <c r="W210" s="2" t="s">
        <v>654</v>
      </c>
      <c r="X210" s="2">
        <v>95.48</v>
      </c>
      <c r="Y210" s="2" t="s">
        <v>654</v>
      </c>
      <c r="Z210" s="2">
        <v>28.3</v>
      </c>
      <c r="AA210" s="2" t="s">
        <v>655</v>
      </c>
      <c r="AB210" s="2">
        <v>19.420000000000002</v>
      </c>
      <c r="AC210" s="2" t="s">
        <v>654</v>
      </c>
      <c r="AD210" s="2">
        <v>15.07</v>
      </c>
      <c r="AE210" s="2" t="s">
        <v>654</v>
      </c>
      <c r="AF210" s="2">
        <v>25.65</v>
      </c>
      <c r="AG210" s="2" t="s">
        <v>654</v>
      </c>
      <c r="AH210" s="2">
        <v>44.61</v>
      </c>
      <c r="AI210" s="2" t="s">
        <v>654</v>
      </c>
      <c r="AJ210" s="2" t="s">
        <v>134</v>
      </c>
      <c r="AK210" s="2" t="s">
        <v>654</v>
      </c>
      <c r="AL210" s="2">
        <v>4.2300000000000004</v>
      </c>
      <c r="AM210" s="2" t="s">
        <v>654</v>
      </c>
      <c r="AN210" s="2">
        <v>84.01</v>
      </c>
      <c r="AO210" s="2" t="s">
        <v>654</v>
      </c>
      <c r="AP210" s="2">
        <v>97.1</v>
      </c>
      <c r="AQ210" s="2" t="s">
        <v>654</v>
      </c>
      <c r="AR210" s="2" t="s">
        <v>41</v>
      </c>
      <c r="AS210" s="2" t="s">
        <v>654</v>
      </c>
      <c r="AT210" s="2" t="s">
        <v>656</v>
      </c>
      <c r="AU210" s="2" t="s">
        <v>654</v>
      </c>
      <c r="AV210" s="2" t="s">
        <v>111</v>
      </c>
      <c r="AW210" s="2" t="s">
        <v>654</v>
      </c>
      <c r="AX210" s="2" t="s">
        <v>128</v>
      </c>
      <c r="AY210" s="2" t="s">
        <v>654</v>
      </c>
      <c r="AZ210" s="2">
        <v>2.97</v>
      </c>
      <c r="BA210" s="2" t="s">
        <v>654</v>
      </c>
      <c r="BB210" s="2">
        <v>177.2</v>
      </c>
      <c r="BC210" s="2" t="s">
        <v>654</v>
      </c>
      <c r="BD210" s="2">
        <v>14.13</v>
      </c>
      <c r="BE210" s="2" t="s">
        <v>654</v>
      </c>
      <c r="BF210" s="2">
        <v>19.61</v>
      </c>
      <c r="BG210" s="2" t="s">
        <v>654</v>
      </c>
      <c r="BH210" s="2">
        <v>31.81</v>
      </c>
      <c r="BI210" s="2" t="s">
        <v>654</v>
      </c>
      <c r="BJ210" s="2">
        <v>154.03</v>
      </c>
      <c r="BK210" s="2" t="s">
        <v>654</v>
      </c>
      <c r="BL210" s="2">
        <v>41.58</v>
      </c>
      <c r="BM210" s="2" t="s">
        <v>654</v>
      </c>
      <c r="BN210" s="2">
        <v>39.799999999999997</v>
      </c>
      <c r="BO210" s="2" t="s">
        <v>654</v>
      </c>
      <c r="BP210" s="2">
        <v>17.25</v>
      </c>
      <c r="BQ210" s="2" t="s">
        <v>654</v>
      </c>
      <c r="BR210" s="2">
        <v>21.79</v>
      </c>
      <c r="BS210" s="2" t="s">
        <v>654</v>
      </c>
      <c r="BT210" s="2">
        <v>15.05</v>
      </c>
      <c r="BU210" s="2" t="s">
        <v>654</v>
      </c>
      <c r="BV210" s="2">
        <v>81312.23</v>
      </c>
      <c r="BW210" s="2" t="s">
        <v>654</v>
      </c>
      <c r="BX210" s="2">
        <v>27.65</v>
      </c>
    </row>
    <row r="211" spans="1:76">
      <c r="A211" s="2" t="s">
        <v>1</v>
      </c>
      <c r="B211" s="2">
        <v>211</v>
      </c>
      <c r="C211" s="2" t="s">
        <v>655</v>
      </c>
      <c r="D211" s="2">
        <v>14.53</v>
      </c>
      <c r="E211" s="2" t="s">
        <v>655</v>
      </c>
      <c r="F211" s="2" t="s">
        <v>60</v>
      </c>
      <c r="G211" s="2" t="s">
        <v>655</v>
      </c>
      <c r="H211" s="2">
        <v>40.01</v>
      </c>
      <c r="I211" s="2" t="s">
        <v>655</v>
      </c>
      <c r="J211" s="2">
        <v>9.3800000000000008</v>
      </c>
      <c r="K211" s="2" t="s">
        <v>655</v>
      </c>
      <c r="L211" s="2">
        <v>16.97</v>
      </c>
      <c r="M211" s="2" t="s">
        <v>655</v>
      </c>
      <c r="N211" s="2">
        <v>9.26</v>
      </c>
      <c r="O211" s="2" t="s">
        <v>655</v>
      </c>
      <c r="P211" s="2">
        <v>22.72</v>
      </c>
      <c r="Q211" s="2" t="s">
        <v>655</v>
      </c>
      <c r="R211" s="2">
        <v>18.66</v>
      </c>
      <c r="S211" s="2" t="s">
        <v>655</v>
      </c>
      <c r="T211" s="2">
        <v>15.65</v>
      </c>
      <c r="U211" s="2" t="s">
        <v>655</v>
      </c>
      <c r="V211" s="2">
        <v>5.25</v>
      </c>
      <c r="W211" s="2" t="s">
        <v>655</v>
      </c>
      <c r="X211" s="2">
        <v>93.9</v>
      </c>
      <c r="Y211" s="2" t="s">
        <v>655</v>
      </c>
      <c r="Z211" s="2">
        <v>27.7</v>
      </c>
      <c r="AA211" s="2" t="s">
        <v>657</v>
      </c>
      <c r="AB211" s="2">
        <v>19.43</v>
      </c>
      <c r="AC211" s="2" t="s">
        <v>655</v>
      </c>
      <c r="AD211" s="2">
        <v>15.64</v>
      </c>
      <c r="AE211" s="2" t="s">
        <v>655</v>
      </c>
      <c r="AF211" s="2">
        <v>25.25</v>
      </c>
      <c r="AG211" s="2" t="s">
        <v>655</v>
      </c>
      <c r="AH211" s="2">
        <v>46.73</v>
      </c>
      <c r="AI211" s="2" t="s">
        <v>655</v>
      </c>
      <c r="AJ211" s="2">
        <v>46.73</v>
      </c>
      <c r="AK211" s="2" t="s">
        <v>655</v>
      </c>
      <c r="AL211" s="2">
        <v>4.38</v>
      </c>
      <c r="AM211" s="2" t="s">
        <v>655</v>
      </c>
      <c r="AN211" s="2">
        <v>85.3</v>
      </c>
      <c r="AO211" s="2" t="s">
        <v>655</v>
      </c>
      <c r="AP211" s="2">
        <v>98.49</v>
      </c>
      <c r="AQ211" s="2" t="s">
        <v>655</v>
      </c>
      <c r="AR211" s="2">
        <v>10.06</v>
      </c>
      <c r="AS211" s="2" t="s">
        <v>655</v>
      </c>
      <c r="AT211" s="2">
        <v>1114.5899999999999</v>
      </c>
      <c r="AU211" s="2" t="s">
        <v>655</v>
      </c>
      <c r="AV211" s="2">
        <v>120.91</v>
      </c>
      <c r="AW211" s="2" t="s">
        <v>655</v>
      </c>
      <c r="AX211" s="2" t="s">
        <v>112</v>
      </c>
      <c r="AY211" s="2" t="s">
        <v>655</v>
      </c>
      <c r="AZ211" s="2" t="s">
        <v>132</v>
      </c>
      <c r="BA211" s="2" t="s">
        <v>655</v>
      </c>
      <c r="BB211" s="2">
        <v>176.88</v>
      </c>
      <c r="BC211" s="2" t="s">
        <v>655</v>
      </c>
      <c r="BD211" s="2">
        <v>14.08</v>
      </c>
      <c r="BE211" s="2" t="s">
        <v>655</v>
      </c>
      <c r="BF211" s="2">
        <v>20.29</v>
      </c>
      <c r="BG211" s="2" t="s">
        <v>655</v>
      </c>
      <c r="BH211" s="2">
        <v>33.74</v>
      </c>
      <c r="BI211" s="2" t="s">
        <v>655</v>
      </c>
      <c r="BJ211" s="2" t="s">
        <v>139</v>
      </c>
      <c r="BK211" s="2" t="s">
        <v>655</v>
      </c>
      <c r="BL211" s="2">
        <v>41.4</v>
      </c>
      <c r="BM211" s="2" t="s">
        <v>655</v>
      </c>
      <c r="BN211" s="2">
        <v>39.9</v>
      </c>
      <c r="BO211" s="2" t="s">
        <v>655</v>
      </c>
      <c r="BP211" s="2">
        <v>18.2</v>
      </c>
      <c r="BQ211" s="2" t="s">
        <v>655</v>
      </c>
      <c r="BR211" s="2">
        <v>21.51</v>
      </c>
      <c r="BS211" s="2" t="s">
        <v>655</v>
      </c>
      <c r="BT211" s="2" t="s">
        <v>61</v>
      </c>
      <c r="BU211" s="2" t="s">
        <v>655</v>
      </c>
      <c r="BV211" s="2">
        <v>83170.8</v>
      </c>
      <c r="BW211" s="2" t="s">
        <v>655</v>
      </c>
      <c r="BX211" s="2">
        <v>28.3</v>
      </c>
    </row>
    <row r="212" spans="1:76">
      <c r="A212" s="2" t="s">
        <v>1</v>
      </c>
      <c r="B212" s="2">
        <v>212</v>
      </c>
      <c r="C212" s="2" t="s">
        <v>657</v>
      </c>
      <c r="D212" s="2">
        <v>14.29</v>
      </c>
      <c r="E212" s="2" t="s">
        <v>657</v>
      </c>
      <c r="F212" s="2">
        <v>26.55</v>
      </c>
      <c r="G212" s="2" t="s">
        <v>657</v>
      </c>
      <c r="H212" s="2">
        <v>39.119999999999997</v>
      </c>
      <c r="I212" s="2" t="s">
        <v>657</v>
      </c>
      <c r="J212" s="2">
        <v>9.1300000000000008</v>
      </c>
      <c r="K212" s="2" t="s">
        <v>657</v>
      </c>
      <c r="L212" s="2" t="s">
        <v>44</v>
      </c>
      <c r="M212" s="2" t="s">
        <v>657</v>
      </c>
      <c r="N212" s="2" t="s">
        <v>43</v>
      </c>
      <c r="O212" s="2" t="s">
        <v>657</v>
      </c>
      <c r="P212" s="2" t="s">
        <v>87</v>
      </c>
      <c r="Q212" s="2" t="s">
        <v>657</v>
      </c>
      <c r="R212" s="2">
        <v>17.59</v>
      </c>
      <c r="S212" s="2" t="s">
        <v>657</v>
      </c>
      <c r="T212" s="2">
        <v>15.15</v>
      </c>
      <c r="U212" s="2" t="s">
        <v>657</v>
      </c>
      <c r="V212" s="2">
        <v>4.9800000000000004</v>
      </c>
      <c r="W212" s="2" t="s">
        <v>657</v>
      </c>
      <c r="X212" s="2">
        <v>95.47</v>
      </c>
      <c r="Y212" s="2" t="s">
        <v>657</v>
      </c>
      <c r="Z212" s="2">
        <v>27.5</v>
      </c>
      <c r="AA212" s="2" t="s">
        <v>658</v>
      </c>
      <c r="AB212" s="2" t="s">
        <v>46</v>
      </c>
      <c r="AC212" s="2" t="s">
        <v>657</v>
      </c>
      <c r="AD212" s="2">
        <v>14.8</v>
      </c>
      <c r="AE212" s="2" t="s">
        <v>657</v>
      </c>
      <c r="AF212" s="2">
        <v>23.4</v>
      </c>
      <c r="AG212" s="2" t="s">
        <v>657</v>
      </c>
      <c r="AH212" s="2">
        <v>44.86</v>
      </c>
      <c r="AI212" s="2" t="s">
        <v>657</v>
      </c>
      <c r="AJ212" s="2">
        <v>46.4</v>
      </c>
      <c r="AK212" s="2" t="s">
        <v>657</v>
      </c>
      <c r="AL212" s="2">
        <v>4.22</v>
      </c>
      <c r="AM212" s="2" t="s">
        <v>657</v>
      </c>
      <c r="AN212" s="2">
        <v>85.13</v>
      </c>
      <c r="AO212" s="2" t="s">
        <v>657</v>
      </c>
      <c r="AP212" s="2">
        <v>98.01</v>
      </c>
      <c r="AQ212" s="2" t="s">
        <v>657</v>
      </c>
      <c r="AR212" s="2">
        <v>10.130000000000001</v>
      </c>
      <c r="AS212" s="2" t="s">
        <v>657</v>
      </c>
      <c r="AT212" s="2" t="s">
        <v>659</v>
      </c>
      <c r="AU212" s="2" t="s">
        <v>657</v>
      </c>
      <c r="AV212" s="2" t="s">
        <v>80</v>
      </c>
      <c r="AW212" s="2" t="s">
        <v>657</v>
      </c>
      <c r="AX212" s="2" t="s">
        <v>99</v>
      </c>
      <c r="AY212" s="2" t="s">
        <v>657</v>
      </c>
      <c r="AZ212" s="2" t="s">
        <v>132</v>
      </c>
      <c r="BA212" s="2" t="s">
        <v>657</v>
      </c>
      <c r="BB212" s="2" t="s">
        <v>387</v>
      </c>
      <c r="BC212" s="2" t="s">
        <v>657</v>
      </c>
      <c r="BD212" s="2">
        <v>13.28</v>
      </c>
      <c r="BE212" s="2" t="s">
        <v>657</v>
      </c>
      <c r="BF212" s="2">
        <v>21.77</v>
      </c>
      <c r="BG212" s="2" t="s">
        <v>657</v>
      </c>
      <c r="BH212" s="2" t="s">
        <v>133</v>
      </c>
      <c r="BI212" s="2" t="s">
        <v>657</v>
      </c>
      <c r="BJ212" s="2">
        <v>158.99</v>
      </c>
      <c r="BK212" s="2" t="s">
        <v>657</v>
      </c>
      <c r="BL212" s="2">
        <v>39.94</v>
      </c>
      <c r="BM212" s="2" t="s">
        <v>657</v>
      </c>
      <c r="BN212" s="2">
        <v>38.42</v>
      </c>
      <c r="BO212" s="2" t="s">
        <v>657</v>
      </c>
      <c r="BP212" s="2">
        <v>18.05</v>
      </c>
      <c r="BQ212" s="2" t="s">
        <v>657</v>
      </c>
      <c r="BR212" s="2">
        <v>20.45</v>
      </c>
      <c r="BS212" s="2" t="s">
        <v>657</v>
      </c>
      <c r="BT212" s="2">
        <v>14.5</v>
      </c>
      <c r="BU212" s="2" t="s">
        <v>657</v>
      </c>
      <c r="BV212" s="2">
        <v>80505.89</v>
      </c>
      <c r="BW212" s="2" t="s">
        <v>657</v>
      </c>
      <c r="BX212" s="2">
        <v>28.16</v>
      </c>
    </row>
    <row r="213" spans="1:76">
      <c r="A213" s="2" t="s">
        <v>1</v>
      </c>
      <c r="B213" s="2">
        <v>213</v>
      </c>
      <c r="C213" s="2" t="s">
        <v>658</v>
      </c>
      <c r="D213" s="2">
        <v>13.39</v>
      </c>
      <c r="E213" s="2" t="s">
        <v>658</v>
      </c>
      <c r="F213" s="2">
        <v>25.3</v>
      </c>
      <c r="G213" s="2" t="s">
        <v>658</v>
      </c>
      <c r="H213" s="2">
        <v>38.89</v>
      </c>
      <c r="I213" s="2" t="s">
        <v>658</v>
      </c>
      <c r="J213" s="2">
        <v>8.7200000000000006</v>
      </c>
      <c r="K213" s="2" t="s">
        <v>658</v>
      </c>
      <c r="L213" s="2">
        <v>16.940000000000001</v>
      </c>
      <c r="M213" s="2" t="s">
        <v>658</v>
      </c>
      <c r="N213" s="2">
        <v>8.6999999999999993</v>
      </c>
      <c r="O213" s="2" t="s">
        <v>658</v>
      </c>
      <c r="P213" s="2">
        <v>21.1</v>
      </c>
      <c r="Q213" s="2" t="s">
        <v>658</v>
      </c>
      <c r="R213" s="2">
        <v>17.190000000000001</v>
      </c>
      <c r="S213" s="2" t="s">
        <v>658</v>
      </c>
      <c r="T213" s="2">
        <v>14.84</v>
      </c>
      <c r="U213" s="2" t="s">
        <v>658</v>
      </c>
      <c r="V213" s="2">
        <v>4.95</v>
      </c>
      <c r="W213" s="2" t="s">
        <v>658</v>
      </c>
      <c r="X213" s="2">
        <v>94.78</v>
      </c>
      <c r="Y213" s="2" t="s">
        <v>658</v>
      </c>
      <c r="Z213" s="2">
        <v>27.4</v>
      </c>
      <c r="AA213" s="2" t="s">
        <v>660</v>
      </c>
      <c r="AB213" s="2">
        <v>19.059999999999999</v>
      </c>
      <c r="AC213" s="2" t="s">
        <v>658</v>
      </c>
      <c r="AD213" s="2">
        <v>14.61</v>
      </c>
      <c r="AE213" s="2" t="s">
        <v>658</v>
      </c>
      <c r="AF213" s="2">
        <v>23.18</v>
      </c>
      <c r="AG213" s="2" t="s">
        <v>658</v>
      </c>
      <c r="AH213" s="2">
        <v>43.93</v>
      </c>
      <c r="AI213" s="2" t="s">
        <v>658</v>
      </c>
      <c r="AJ213" s="2">
        <v>48.86</v>
      </c>
      <c r="AK213" s="2" t="s">
        <v>658</v>
      </c>
      <c r="AL213" s="2">
        <v>4.2300000000000004</v>
      </c>
      <c r="AM213" s="2" t="s">
        <v>658</v>
      </c>
      <c r="AN213" s="2">
        <v>84.61</v>
      </c>
      <c r="AO213" s="2" t="s">
        <v>658</v>
      </c>
      <c r="AP213" s="2">
        <v>97.27</v>
      </c>
      <c r="AQ213" s="2" t="s">
        <v>658</v>
      </c>
      <c r="AR213" s="2">
        <v>9.99</v>
      </c>
      <c r="AS213" s="2" t="s">
        <v>658</v>
      </c>
      <c r="AT213" s="2" t="s">
        <v>661</v>
      </c>
      <c r="AU213" s="2" t="s">
        <v>658</v>
      </c>
      <c r="AV213" s="2">
        <v>120.5</v>
      </c>
      <c r="AW213" s="2" t="s">
        <v>658</v>
      </c>
      <c r="AX213" s="2" t="s">
        <v>128</v>
      </c>
      <c r="AY213" s="2" t="s">
        <v>658</v>
      </c>
      <c r="AZ213" s="2">
        <v>3.18</v>
      </c>
      <c r="BA213" s="2" t="s">
        <v>658</v>
      </c>
      <c r="BB213" s="2">
        <v>167.99</v>
      </c>
      <c r="BC213" s="2" t="s">
        <v>658</v>
      </c>
      <c r="BD213" s="2">
        <v>13.52</v>
      </c>
      <c r="BE213" s="2" t="s">
        <v>658</v>
      </c>
      <c r="BF213" s="2">
        <v>21.15</v>
      </c>
      <c r="BG213" s="2" t="s">
        <v>658</v>
      </c>
      <c r="BH213" s="2">
        <v>31.66</v>
      </c>
      <c r="BI213" s="2" t="s">
        <v>658</v>
      </c>
      <c r="BJ213" s="2">
        <v>156.4</v>
      </c>
      <c r="BK213" s="2" t="s">
        <v>658</v>
      </c>
      <c r="BL213" s="2">
        <v>39.840000000000003</v>
      </c>
      <c r="BM213" s="2" t="s">
        <v>658</v>
      </c>
      <c r="BN213" s="2">
        <v>38.380000000000003</v>
      </c>
      <c r="BO213" s="2" t="s">
        <v>658</v>
      </c>
      <c r="BP213" s="2">
        <v>17.38</v>
      </c>
      <c r="BQ213" s="2" t="s">
        <v>658</v>
      </c>
      <c r="BR213" s="2">
        <v>19.73</v>
      </c>
      <c r="BS213" s="2" t="s">
        <v>658</v>
      </c>
      <c r="BT213" s="2">
        <v>14.45</v>
      </c>
      <c r="BU213" s="2" t="s">
        <v>658</v>
      </c>
      <c r="BV213" s="2">
        <v>78876.22</v>
      </c>
      <c r="BW213" s="2" t="s">
        <v>658</v>
      </c>
      <c r="BX213" s="2">
        <v>27.02</v>
      </c>
    </row>
    <row r="214" spans="1:76">
      <c r="A214" s="2" t="s">
        <v>1</v>
      </c>
      <c r="B214" s="2">
        <v>214</v>
      </c>
      <c r="C214" s="2" t="s">
        <v>660</v>
      </c>
      <c r="D214" s="2">
        <v>13.41</v>
      </c>
      <c r="E214" s="2" t="s">
        <v>660</v>
      </c>
      <c r="F214" s="2">
        <v>24.9</v>
      </c>
      <c r="G214" s="2" t="s">
        <v>660</v>
      </c>
      <c r="H214" s="2">
        <v>38.93</v>
      </c>
      <c r="I214" s="2" t="s">
        <v>660</v>
      </c>
      <c r="J214" s="2">
        <v>9.4</v>
      </c>
      <c r="K214" s="2" t="s">
        <v>660</v>
      </c>
      <c r="L214" s="2">
        <v>16.850000000000001</v>
      </c>
      <c r="M214" s="2" t="s">
        <v>660</v>
      </c>
      <c r="N214" s="2">
        <v>8.91</v>
      </c>
      <c r="O214" s="2" t="s">
        <v>660</v>
      </c>
      <c r="P214" s="2">
        <v>21.8</v>
      </c>
      <c r="Q214" s="2" t="s">
        <v>660</v>
      </c>
      <c r="R214" s="2">
        <v>17.37</v>
      </c>
      <c r="S214" s="2" t="s">
        <v>660</v>
      </c>
      <c r="T214" s="2">
        <v>14.66</v>
      </c>
      <c r="U214" s="2" t="s">
        <v>660</v>
      </c>
      <c r="V214" s="2">
        <v>4.92</v>
      </c>
      <c r="W214" s="2" t="s">
        <v>660</v>
      </c>
      <c r="X214" s="2">
        <v>94.05</v>
      </c>
      <c r="Y214" s="2" t="s">
        <v>660</v>
      </c>
      <c r="Z214" s="2">
        <v>27.65</v>
      </c>
      <c r="AA214" s="2" t="s">
        <v>662</v>
      </c>
      <c r="AB214" s="2">
        <v>18.940000000000001</v>
      </c>
      <c r="AC214" s="2" t="s">
        <v>660</v>
      </c>
      <c r="AD214" s="2">
        <v>14.39</v>
      </c>
      <c r="AE214" s="2" t="s">
        <v>660</v>
      </c>
      <c r="AF214" s="2">
        <v>22.57</v>
      </c>
      <c r="AG214" s="2" t="s">
        <v>660</v>
      </c>
      <c r="AH214" s="2">
        <v>43.7</v>
      </c>
      <c r="AI214" s="2" t="s">
        <v>660</v>
      </c>
      <c r="AJ214" s="2">
        <v>49.8</v>
      </c>
      <c r="AK214" s="2" t="s">
        <v>660</v>
      </c>
      <c r="AL214" s="2">
        <v>4.1100000000000003</v>
      </c>
      <c r="AM214" s="2" t="s">
        <v>660</v>
      </c>
      <c r="AN214" s="2">
        <v>85.5</v>
      </c>
      <c r="AO214" s="2" t="s">
        <v>660</v>
      </c>
      <c r="AP214" s="2">
        <v>97.05</v>
      </c>
      <c r="AQ214" s="2" t="s">
        <v>660</v>
      </c>
      <c r="AR214" s="2">
        <v>9.98</v>
      </c>
      <c r="AS214" s="2" t="s">
        <v>660</v>
      </c>
      <c r="AT214" s="2">
        <v>1202.0999999999999</v>
      </c>
      <c r="AU214" s="2" t="s">
        <v>660</v>
      </c>
      <c r="AV214" s="2">
        <v>119.6</v>
      </c>
      <c r="AW214" s="2" t="s">
        <v>660</v>
      </c>
      <c r="AX214" s="2" t="s">
        <v>122</v>
      </c>
      <c r="AY214" s="2" t="s">
        <v>660</v>
      </c>
      <c r="AZ214" s="2">
        <v>3.36</v>
      </c>
      <c r="BA214" s="2" t="s">
        <v>660</v>
      </c>
      <c r="BB214" s="2">
        <v>165.02</v>
      </c>
      <c r="BC214" s="2" t="s">
        <v>660</v>
      </c>
      <c r="BD214" s="2">
        <v>13.55</v>
      </c>
      <c r="BE214" s="2" t="s">
        <v>660</v>
      </c>
      <c r="BF214" s="2">
        <v>20.53</v>
      </c>
      <c r="BG214" s="2" t="s">
        <v>660</v>
      </c>
      <c r="BH214" s="2">
        <v>32.590000000000003</v>
      </c>
      <c r="BI214" s="2" t="s">
        <v>660</v>
      </c>
      <c r="BJ214" s="2" t="s">
        <v>98</v>
      </c>
      <c r="BK214" s="2" t="s">
        <v>660</v>
      </c>
      <c r="BL214" s="2">
        <v>39.01</v>
      </c>
      <c r="BM214" s="2" t="s">
        <v>660</v>
      </c>
      <c r="BN214" s="2">
        <v>38.74</v>
      </c>
      <c r="BO214" s="2" t="s">
        <v>660</v>
      </c>
      <c r="BP214" s="2">
        <v>17.940000000000001</v>
      </c>
      <c r="BQ214" s="2" t="s">
        <v>660</v>
      </c>
      <c r="BR214" s="2">
        <v>21.18</v>
      </c>
      <c r="BS214" s="2" t="s">
        <v>660</v>
      </c>
      <c r="BT214" s="2">
        <v>14.7</v>
      </c>
      <c r="BU214" s="2" t="s">
        <v>660</v>
      </c>
      <c r="BV214" s="2">
        <v>79470.78</v>
      </c>
      <c r="BW214" s="2" t="s">
        <v>660</v>
      </c>
      <c r="BX214" s="2">
        <v>27.48</v>
      </c>
    </row>
    <row r="215" spans="1:76">
      <c r="A215" s="2" t="s">
        <v>1</v>
      </c>
      <c r="B215" s="2">
        <v>215</v>
      </c>
      <c r="C215" s="2" t="s">
        <v>662</v>
      </c>
      <c r="D215" s="2">
        <v>13.04</v>
      </c>
      <c r="E215" s="2" t="s">
        <v>662</v>
      </c>
      <c r="F215" s="2">
        <v>24.52</v>
      </c>
      <c r="G215" s="2" t="s">
        <v>662</v>
      </c>
      <c r="H215" s="2">
        <v>38.79</v>
      </c>
      <c r="I215" s="2" t="s">
        <v>662</v>
      </c>
      <c r="J215" s="2">
        <v>9.3000000000000007</v>
      </c>
      <c r="K215" s="2" t="s">
        <v>662</v>
      </c>
      <c r="L215" s="2">
        <v>16.829999999999998</v>
      </c>
      <c r="M215" s="2" t="s">
        <v>662</v>
      </c>
      <c r="N215" s="2">
        <v>8.6999999999999993</v>
      </c>
      <c r="O215" s="2" t="s">
        <v>662</v>
      </c>
      <c r="P215" s="2">
        <v>21.5</v>
      </c>
      <c r="Q215" s="2" t="s">
        <v>662</v>
      </c>
      <c r="R215" s="2">
        <v>17.29</v>
      </c>
      <c r="S215" s="2" t="s">
        <v>662</v>
      </c>
      <c r="T215" s="2">
        <v>14.5</v>
      </c>
      <c r="U215" s="2" t="s">
        <v>662</v>
      </c>
      <c r="V215" s="2">
        <v>4.93</v>
      </c>
      <c r="W215" s="2" t="s">
        <v>662</v>
      </c>
      <c r="X215" s="2" t="s">
        <v>50</v>
      </c>
      <c r="Y215" s="2" t="s">
        <v>662</v>
      </c>
      <c r="Z215" s="2">
        <v>27.6</v>
      </c>
      <c r="AA215" s="2" t="s">
        <v>663</v>
      </c>
      <c r="AB215" s="2">
        <v>18.850000000000001</v>
      </c>
      <c r="AC215" s="2" t="s">
        <v>662</v>
      </c>
      <c r="AD215" s="2">
        <v>14.79</v>
      </c>
      <c r="AE215" s="2" t="s">
        <v>662</v>
      </c>
      <c r="AF215" s="2">
        <v>23.1</v>
      </c>
      <c r="AG215" s="2" t="s">
        <v>662</v>
      </c>
      <c r="AH215" s="2">
        <v>44.33</v>
      </c>
      <c r="AI215" s="2" t="s">
        <v>662</v>
      </c>
      <c r="AJ215" s="2">
        <v>49.6</v>
      </c>
      <c r="AK215" s="2" t="s">
        <v>662</v>
      </c>
      <c r="AL215" s="2">
        <v>4.1500000000000004</v>
      </c>
      <c r="AM215" s="2" t="s">
        <v>662</v>
      </c>
      <c r="AN215" s="2">
        <v>85.75</v>
      </c>
      <c r="AO215" s="2" t="s">
        <v>662</v>
      </c>
      <c r="AP215" s="2">
        <v>96.6</v>
      </c>
      <c r="AQ215" s="2" t="s">
        <v>662</v>
      </c>
      <c r="AR215" s="2">
        <v>9.9700000000000006</v>
      </c>
      <c r="AS215" s="2" t="s">
        <v>662</v>
      </c>
      <c r="AT215" s="2">
        <v>1232.9000000000001</v>
      </c>
      <c r="AU215" s="2" t="s">
        <v>662</v>
      </c>
      <c r="AV215" s="2">
        <v>120.9</v>
      </c>
      <c r="AW215" s="2" t="s">
        <v>662</v>
      </c>
      <c r="AX215" s="2">
        <v>112.29</v>
      </c>
      <c r="AY215" s="2" t="s">
        <v>662</v>
      </c>
      <c r="AZ215" s="2">
        <v>3.4</v>
      </c>
      <c r="BA215" s="2" t="s">
        <v>662</v>
      </c>
      <c r="BB215" s="2" t="s">
        <v>664</v>
      </c>
      <c r="BC215" s="2" t="s">
        <v>662</v>
      </c>
      <c r="BD215" s="2">
        <v>12.87</v>
      </c>
      <c r="BE215" s="2" t="s">
        <v>662</v>
      </c>
      <c r="BF215" s="2">
        <v>21.5</v>
      </c>
      <c r="BG215" s="2" t="s">
        <v>662</v>
      </c>
      <c r="BH215" s="2">
        <v>32.5</v>
      </c>
      <c r="BI215" s="2" t="s">
        <v>662</v>
      </c>
      <c r="BJ215" s="2">
        <v>160.25</v>
      </c>
      <c r="BK215" s="2" t="s">
        <v>662</v>
      </c>
      <c r="BL215" s="2">
        <v>38.83</v>
      </c>
      <c r="BM215" s="2" t="s">
        <v>662</v>
      </c>
      <c r="BN215" s="2">
        <v>38.44</v>
      </c>
      <c r="BO215" s="2" t="s">
        <v>662</v>
      </c>
      <c r="BP215" s="2">
        <v>17.28</v>
      </c>
      <c r="BQ215" s="2" t="s">
        <v>662</v>
      </c>
      <c r="BR215" s="2">
        <v>20.79</v>
      </c>
      <c r="BS215" s="2" t="s">
        <v>662</v>
      </c>
      <c r="BT215" s="2">
        <v>14.45</v>
      </c>
      <c r="BU215" s="2" t="s">
        <v>662</v>
      </c>
      <c r="BV215" s="2">
        <v>79063.679999999993</v>
      </c>
      <c r="BW215" s="2" t="s">
        <v>662</v>
      </c>
      <c r="BX215" s="2">
        <v>26.81</v>
      </c>
    </row>
    <row r="216" spans="1:76">
      <c r="A216" s="2" t="s">
        <v>1</v>
      </c>
      <c r="B216" s="2">
        <v>216</v>
      </c>
      <c r="C216" s="2" t="s">
        <v>663</v>
      </c>
      <c r="D216" s="2">
        <v>12.68</v>
      </c>
      <c r="E216" s="2" t="s">
        <v>663</v>
      </c>
      <c r="F216" s="2">
        <v>23.49</v>
      </c>
      <c r="G216" s="2" t="s">
        <v>663</v>
      </c>
      <c r="H216" s="2" t="s">
        <v>114</v>
      </c>
      <c r="I216" s="2" t="s">
        <v>663</v>
      </c>
      <c r="J216" s="2" t="s">
        <v>43</v>
      </c>
      <c r="K216" s="2" t="s">
        <v>663</v>
      </c>
      <c r="L216" s="2">
        <v>15.97</v>
      </c>
      <c r="M216" s="2" t="s">
        <v>663</v>
      </c>
      <c r="N216" s="2">
        <v>8.2899999999999991</v>
      </c>
      <c r="O216" s="2" t="s">
        <v>663</v>
      </c>
      <c r="P216" s="2">
        <v>20.8</v>
      </c>
      <c r="Q216" s="2" t="s">
        <v>663</v>
      </c>
      <c r="R216" s="2">
        <v>16.559999999999999</v>
      </c>
      <c r="S216" s="2" t="s">
        <v>663</v>
      </c>
      <c r="T216" s="2">
        <v>13.94</v>
      </c>
      <c r="U216" s="2" t="s">
        <v>663</v>
      </c>
      <c r="V216" s="2">
        <v>4.76</v>
      </c>
      <c r="W216" s="2" t="s">
        <v>663</v>
      </c>
      <c r="X216" s="2">
        <v>93.51</v>
      </c>
      <c r="Y216" s="2" t="s">
        <v>663</v>
      </c>
      <c r="Z216" s="2">
        <v>26.81</v>
      </c>
      <c r="AA216" s="2" t="s">
        <v>665</v>
      </c>
      <c r="AB216" s="2">
        <v>19.21</v>
      </c>
      <c r="AC216" s="2" t="s">
        <v>663</v>
      </c>
      <c r="AD216" s="2">
        <v>14.55</v>
      </c>
      <c r="AE216" s="2" t="s">
        <v>663</v>
      </c>
      <c r="AF216" s="2">
        <v>22.66</v>
      </c>
      <c r="AG216" s="2" t="s">
        <v>663</v>
      </c>
      <c r="AH216" s="2">
        <v>46.05</v>
      </c>
      <c r="AI216" s="2" t="s">
        <v>663</v>
      </c>
      <c r="AJ216" s="2">
        <v>43.47</v>
      </c>
      <c r="AK216" s="2" t="s">
        <v>663</v>
      </c>
      <c r="AL216" s="2">
        <v>3.97</v>
      </c>
      <c r="AM216" s="2" t="s">
        <v>663</v>
      </c>
      <c r="AN216" s="2">
        <v>85.85</v>
      </c>
      <c r="AO216" s="2" t="s">
        <v>663</v>
      </c>
      <c r="AP216" s="2">
        <v>98.5</v>
      </c>
      <c r="AQ216" s="2" t="s">
        <v>663</v>
      </c>
      <c r="AR216" s="2">
        <v>9.9499999999999993</v>
      </c>
      <c r="AS216" s="2" t="s">
        <v>663</v>
      </c>
      <c r="AT216" s="2">
        <v>1215.02</v>
      </c>
      <c r="AU216" s="2" t="s">
        <v>663</v>
      </c>
      <c r="AV216" s="2">
        <v>122.2</v>
      </c>
      <c r="AW216" s="2" t="s">
        <v>663</v>
      </c>
      <c r="AX216" s="2">
        <v>112.97</v>
      </c>
      <c r="AY216" s="2" t="s">
        <v>663</v>
      </c>
      <c r="AZ216" s="2">
        <v>3.4</v>
      </c>
      <c r="BA216" s="2" t="s">
        <v>663</v>
      </c>
      <c r="BB216" s="2">
        <v>165.55</v>
      </c>
      <c r="BC216" s="2" t="s">
        <v>663</v>
      </c>
      <c r="BD216" s="2">
        <v>11.86</v>
      </c>
      <c r="BE216" s="2" t="s">
        <v>663</v>
      </c>
      <c r="BF216" s="2">
        <v>20.36</v>
      </c>
      <c r="BG216" s="2" t="s">
        <v>663</v>
      </c>
      <c r="BH216" s="2">
        <v>31.76</v>
      </c>
      <c r="BI216" s="2" t="s">
        <v>663</v>
      </c>
      <c r="BJ216" s="2" t="s">
        <v>139</v>
      </c>
      <c r="BK216" s="2" t="s">
        <v>663</v>
      </c>
      <c r="BL216" s="2">
        <v>39.090000000000003</v>
      </c>
      <c r="BM216" s="2" t="s">
        <v>663</v>
      </c>
      <c r="BN216" s="2">
        <v>36.85</v>
      </c>
      <c r="BO216" s="2" t="s">
        <v>663</v>
      </c>
      <c r="BP216" s="2">
        <v>17.440000000000001</v>
      </c>
      <c r="BQ216" s="2" t="s">
        <v>663</v>
      </c>
      <c r="BR216" s="2">
        <v>20.78</v>
      </c>
      <c r="BS216" s="2" t="s">
        <v>663</v>
      </c>
      <c r="BT216" s="2">
        <v>14.42</v>
      </c>
      <c r="BU216" s="2" t="s">
        <v>663</v>
      </c>
      <c r="BV216" s="2">
        <v>78118.570000000007</v>
      </c>
      <c r="BW216" s="2" t="s">
        <v>663</v>
      </c>
      <c r="BX216" s="2" t="s">
        <v>60</v>
      </c>
    </row>
    <row r="217" spans="1:76">
      <c r="A217" s="2" t="s">
        <v>1</v>
      </c>
      <c r="B217" s="2">
        <v>217</v>
      </c>
      <c r="C217" s="2" t="s">
        <v>665</v>
      </c>
      <c r="D217" s="2">
        <v>12.9</v>
      </c>
      <c r="E217" s="2" t="s">
        <v>665</v>
      </c>
      <c r="F217" s="2">
        <v>23.27</v>
      </c>
      <c r="G217" s="2" t="s">
        <v>665</v>
      </c>
      <c r="H217" s="2">
        <v>38.229999999999997</v>
      </c>
      <c r="I217" s="2" t="s">
        <v>665</v>
      </c>
      <c r="J217" s="2">
        <v>8.8800000000000008</v>
      </c>
      <c r="K217" s="2" t="s">
        <v>665</v>
      </c>
      <c r="L217" s="2">
        <v>16.079999999999998</v>
      </c>
      <c r="M217" s="2" t="s">
        <v>665</v>
      </c>
      <c r="N217" s="2">
        <v>8.49</v>
      </c>
      <c r="O217" s="2" t="s">
        <v>665</v>
      </c>
      <c r="P217" s="2">
        <v>21.34</v>
      </c>
      <c r="Q217" s="2" t="s">
        <v>665</v>
      </c>
      <c r="R217" s="2">
        <v>16.510000000000002</v>
      </c>
      <c r="S217" s="2" t="s">
        <v>665</v>
      </c>
      <c r="T217" s="2">
        <v>13.83</v>
      </c>
      <c r="U217" s="2" t="s">
        <v>665</v>
      </c>
      <c r="V217" s="2">
        <v>4.82</v>
      </c>
      <c r="W217" s="2" t="s">
        <v>665</v>
      </c>
      <c r="X217" s="2">
        <v>93.1</v>
      </c>
      <c r="Y217" s="2" t="s">
        <v>665</v>
      </c>
      <c r="Z217" s="2">
        <v>27.05</v>
      </c>
      <c r="AA217" s="2" t="s">
        <v>666</v>
      </c>
      <c r="AB217" s="2">
        <v>18.7</v>
      </c>
      <c r="AC217" s="2" t="s">
        <v>665</v>
      </c>
      <c r="AD217" s="2">
        <v>14.61</v>
      </c>
      <c r="AE217" s="2" t="s">
        <v>665</v>
      </c>
      <c r="AF217" s="2">
        <v>22.59</v>
      </c>
      <c r="AG217" s="2" t="s">
        <v>665</v>
      </c>
      <c r="AH217" s="2">
        <v>48.85</v>
      </c>
      <c r="AI217" s="2" t="s">
        <v>665</v>
      </c>
      <c r="AJ217" s="2">
        <v>48.44</v>
      </c>
      <c r="AK217" s="2" t="s">
        <v>665</v>
      </c>
      <c r="AL217" s="2">
        <v>3.99</v>
      </c>
      <c r="AM217" s="2" t="s">
        <v>665</v>
      </c>
      <c r="AN217" s="2">
        <v>85.85</v>
      </c>
      <c r="AO217" s="2" t="s">
        <v>665</v>
      </c>
      <c r="AP217" s="2">
        <v>98.5</v>
      </c>
      <c r="AQ217" s="2" t="s">
        <v>665</v>
      </c>
      <c r="AR217" s="2" t="s">
        <v>41</v>
      </c>
      <c r="AS217" s="2" t="s">
        <v>665</v>
      </c>
      <c r="AT217" s="2" t="s">
        <v>667</v>
      </c>
      <c r="AU217" s="2" t="s">
        <v>665</v>
      </c>
      <c r="AV217" s="2">
        <v>121.66</v>
      </c>
      <c r="AW217" s="2" t="s">
        <v>665</v>
      </c>
      <c r="AX217" s="2">
        <v>112.18</v>
      </c>
      <c r="AY217" s="2" t="s">
        <v>665</v>
      </c>
      <c r="AZ217" s="2">
        <v>3.3</v>
      </c>
      <c r="BA217" s="2" t="s">
        <v>665</v>
      </c>
      <c r="BB217" s="2">
        <v>169.79</v>
      </c>
      <c r="BC217" s="2" t="s">
        <v>665</v>
      </c>
      <c r="BD217" s="2">
        <v>11.86</v>
      </c>
      <c r="BE217" s="2" t="s">
        <v>665</v>
      </c>
      <c r="BF217" s="2">
        <v>20.2</v>
      </c>
      <c r="BG217" s="2" t="s">
        <v>665</v>
      </c>
      <c r="BH217" s="2">
        <v>32.57</v>
      </c>
      <c r="BI217" s="2" t="s">
        <v>665</v>
      </c>
      <c r="BJ217" s="2">
        <v>162.5</v>
      </c>
      <c r="BK217" s="2" t="s">
        <v>665</v>
      </c>
      <c r="BL217" s="2">
        <v>38.24</v>
      </c>
      <c r="BM217" s="2" t="s">
        <v>665</v>
      </c>
      <c r="BN217" s="2">
        <v>37.76</v>
      </c>
      <c r="BO217" s="2" t="s">
        <v>665</v>
      </c>
      <c r="BP217" s="2">
        <v>18.48</v>
      </c>
      <c r="BQ217" s="2" t="s">
        <v>665</v>
      </c>
      <c r="BR217" s="2">
        <v>20.22</v>
      </c>
      <c r="BS217" s="2" t="s">
        <v>665</v>
      </c>
      <c r="BT217" s="2">
        <v>14.77</v>
      </c>
      <c r="BU217" s="2" t="s">
        <v>665</v>
      </c>
      <c r="BV217" s="2">
        <v>80263.350000000006</v>
      </c>
      <c r="BW217" s="2" t="s">
        <v>665</v>
      </c>
      <c r="BX217" s="2">
        <v>26.41</v>
      </c>
    </row>
    <row r="218" spans="1:76">
      <c r="A218" s="2" t="s">
        <v>1</v>
      </c>
      <c r="B218" s="2">
        <v>218</v>
      </c>
      <c r="C218" s="2" t="s">
        <v>666</v>
      </c>
      <c r="D218" s="2">
        <v>12.15</v>
      </c>
      <c r="E218" s="2" t="s">
        <v>666</v>
      </c>
      <c r="F218" s="2">
        <v>23.55</v>
      </c>
      <c r="G218" s="2" t="s">
        <v>666</v>
      </c>
      <c r="H218" s="2">
        <v>37.72</v>
      </c>
      <c r="I218" s="2" t="s">
        <v>666</v>
      </c>
      <c r="J218" s="2">
        <v>8.5</v>
      </c>
      <c r="K218" s="2" t="s">
        <v>666</v>
      </c>
      <c r="L218" s="2">
        <v>15.51</v>
      </c>
      <c r="M218" s="2" t="s">
        <v>666</v>
      </c>
      <c r="N218" s="2">
        <v>8.42</v>
      </c>
      <c r="O218" s="2" t="s">
        <v>666</v>
      </c>
      <c r="P218" s="2">
        <v>21.71</v>
      </c>
      <c r="Q218" s="2" t="s">
        <v>666</v>
      </c>
      <c r="R218" s="2">
        <v>15.8</v>
      </c>
      <c r="S218" s="2" t="s">
        <v>666</v>
      </c>
      <c r="T218" s="2">
        <v>13.81</v>
      </c>
      <c r="U218" s="2" t="s">
        <v>666</v>
      </c>
      <c r="V218" s="2">
        <v>4.68</v>
      </c>
      <c r="W218" s="2" t="s">
        <v>666</v>
      </c>
      <c r="X218" s="2">
        <v>93.99</v>
      </c>
      <c r="Y218" s="2" t="s">
        <v>666</v>
      </c>
      <c r="Z218" s="2">
        <v>26.6</v>
      </c>
      <c r="AA218" s="2" t="s">
        <v>668</v>
      </c>
      <c r="AB218" s="2">
        <v>18.72</v>
      </c>
      <c r="AC218" s="2" t="s">
        <v>666</v>
      </c>
      <c r="AD218" s="2">
        <v>13.6</v>
      </c>
      <c r="AE218" s="2" t="s">
        <v>666</v>
      </c>
      <c r="AF218" s="2">
        <v>22.23</v>
      </c>
      <c r="AG218" s="2" t="s">
        <v>666</v>
      </c>
      <c r="AH218" s="2">
        <v>47.73</v>
      </c>
      <c r="AI218" s="2" t="s">
        <v>666</v>
      </c>
      <c r="AJ218" s="2">
        <v>47.28</v>
      </c>
      <c r="AK218" s="2" t="s">
        <v>666</v>
      </c>
      <c r="AL218" s="2">
        <v>3.85</v>
      </c>
      <c r="AM218" s="2" t="s">
        <v>666</v>
      </c>
      <c r="AN218" s="2">
        <v>85.8</v>
      </c>
      <c r="AO218" s="2" t="s">
        <v>666</v>
      </c>
      <c r="AP218" s="2">
        <v>101.45</v>
      </c>
      <c r="AQ218" s="2" t="s">
        <v>666</v>
      </c>
      <c r="AR218" s="2">
        <v>10.02</v>
      </c>
      <c r="AS218" s="2" t="s">
        <v>666</v>
      </c>
      <c r="AT218" s="2">
        <v>1224.8800000000001</v>
      </c>
      <c r="AU218" s="2" t="s">
        <v>666</v>
      </c>
      <c r="AV218" s="2">
        <v>121.48</v>
      </c>
      <c r="AW218" s="2" t="s">
        <v>666</v>
      </c>
      <c r="AX218" s="2">
        <v>112.9</v>
      </c>
      <c r="AY218" s="2" t="s">
        <v>666</v>
      </c>
      <c r="AZ218" s="2">
        <v>3.23</v>
      </c>
      <c r="BA218" s="2" t="s">
        <v>666</v>
      </c>
      <c r="BB218" s="2">
        <v>173.89</v>
      </c>
      <c r="BC218" s="2" t="s">
        <v>666</v>
      </c>
      <c r="BD218" s="2">
        <v>11.8</v>
      </c>
      <c r="BE218" s="2" t="s">
        <v>666</v>
      </c>
      <c r="BF218" s="2">
        <v>20.170000000000002</v>
      </c>
      <c r="BG218" s="2" t="s">
        <v>666</v>
      </c>
      <c r="BH218" s="2">
        <v>33.32</v>
      </c>
      <c r="BI218" s="2" t="s">
        <v>666</v>
      </c>
      <c r="BJ218" s="2">
        <v>164.45</v>
      </c>
      <c r="BK218" s="2" t="s">
        <v>666</v>
      </c>
      <c r="BL218" s="2">
        <v>38.83</v>
      </c>
      <c r="BM218" s="2" t="s">
        <v>666</v>
      </c>
      <c r="BN218" s="2">
        <v>36.799999999999997</v>
      </c>
      <c r="BO218" s="2" t="s">
        <v>666</v>
      </c>
      <c r="BP218" s="2">
        <v>18.149999999999999</v>
      </c>
      <c r="BQ218" s="2" t="s">
        <v>666</v>
      </c>
      <c r="BR218" s="2">
        <v>21.1</v>
      </c>
      <c r="BS218" s="2" t="s">
        <v>666</v>
      </c>
      <c r="BT218" s="2">
        <v>14.62</v>
      </c>
      <c r="BU218" s="2" t="s">
        <v>666</v>
      </c>
      <c r="BV218" s="2">
        <v>79064.600000000006</v>
      </c>
      <c r="BW218" s="2" t="s">
        <v>666</v>
      </c>
      <c r="BX218" s="2">
        <v>26.05</v>
      </c>
    </row>
    <row r="219" spans="1:76">
      <c r="A219" s="2" t="s">
        <v>1</v>
      </c>
      <c r="B219" s="2">
        <v>219</v>
      </c>
      <c r="C219" s="2" t="s">
        <v>668</v>
      </c>
      <c r="D219" s="2">
        <v>11.9</v>
      </c>
      <c r="E219" s="2" t="s">
        <v>668</v>
      </c>
      <c r="F219" s="2">
        <v>22.85</v>
      </c>
      <c r="G219" s="2" t="s">
        <v>668</v>
      </c>
      <c r="H219" s="2">
        <v>37.1</v>
      </c>
      <c r="I219" s="2" t="s">
        <v>668</v>
      </c>
      <c r="J219" s="2">
        <v>8.61</v>
      </c>
      <c r="K219" s="2" t="s">
        <v>668</v>
      </c>
      <c r="L219" s="2">
        <v>15.47</v>
      </c>
      <c r="M219" s="2" t="s">
        <v>668</v>
      </c>
      <c r="N219" s="2">
        <v>8.18</v>
      </c>
      <c r="O219" s="2" t="s">
        <v>668</v>
      </c>
      <c r="P219" s="2">
        <v>20.9</v>
      </c>
      <c r="Q219" s="2" t="s">
        <v>668</v>
      </c>
      <c r="R219" s="2">
        <v>15.35</v>
      </c>
      <c r="S219" s="2" t="s">
        <v>668</v>
      </c>
      <c r="T219" s="2">
        <v>13.62</v>
      </c>
      <c r="U219" s="2" t="s">
        <v>668</v>
      </c>
      <c r="V219" s="2">
        <v>4.46</v>
      </c>
      <c r="W219" s="2" t="s">
        <v>668</v>
      </c>
      <c r="X219" s="2">
        <v>93.42</v>
      </c>
      <c r="Y219" s="2" t="s">
        <v>668</v>
      </c>
      <c r="Z219" s="2">
        <v>26.35</v>
      </c>
      <c r="AA219" s="2" t="s">
        <v>669</v>
      </c>
      <c r="AB219" s="2">
        <v>18.91</v>
      </c>
      <c r="AC219" s="2" t="s">
        <v>668</v>
      </c>
      <c r="AD219" s="2">
        <v>13.42</v>
      </c>
      <c r="AE219" s="2" t="s">
        <v>668</v>
      </c>
      <c r="AF219" s="2">
        <v>22.28</v>
      </c>
      <c r="AG219" s="2" t="s">
        <v>668</v>
      </c>
      <c r="AH219" s="2">
        <v>47.46</v>
      </c>
      <c r="AI219" s="2" t="s">
        <v>668</v>
      </c>
      <c r="AJ219" s="2">
        <v>46.63</v>
      </c>
      <c r="AK219" s="2" t="s">
        <v>668</v>
      </c>
      <c r="AL219" s="2">
        <v>3.68</v>
      </c>
      <c r="AM219" s="2" t="s">
        <v>668</v>
      </c>
      <c r="AN219" s="2">
        <v>85.46</v>
      </c>
      <c r="AO219" s="2" t="s">
        <v>668</v>
      </c>
      <c r="AP219" s="2">
        <v>100.21</v>
      </c>
      <c r="AQ219" s="2" t="s">
        <v>668</v>
      </c>
      <c r="AR219" s="2">
        <v>10.029999999999999</v>
      </c>
      <c r="AS219" s="2" t="s">
        <v>668</v>
      </c>
      <c r="AT219" s="2" t="s">
        <v>164</v>
      </c>
      <c r="AU219" s="2" t="s">
        <v>668</v>
      </c>
      <c r="AV219" s="2">
        <v>121.35</v>
      </c>
      <c r="AW219" s="2" t="s">
        <v>668</v>
      </c>
      <c r="AX219" s="2">
        <v>112.99</v>
      </c>
      <c r="AY219" s="2" t="s">
        <v>668</v>
      </c>
      <c r="AZ219" s="2">
        <v>3.23</v>
      </c>
      <c r="BA219" s="2" t="s">
        <v>668</v>
      </c>
      <c r="BB219" s="2">
        <v>175.8</v>
      </c>
      <c r="BC219" s="2" t="s">
        <v>668</v>
      </c>
      <c r="BD219" s="2">
        <v>11.02</v>
      </c>
      <c r="BE219" s="2" t="s">
        <v>668</v>
      </c>
      <c r="BF219" s="2">
        <v>19.04</v>
      </c>
      <c r="BG219" s="2" t="s">
        <v>668</v>
      </c>
      <c r="BH219" s="2">
        <v>34.200000000000003</v>
      </c>
      <c r="BI219" s="2" t="s">
        <v>668</v>
      </c>
      <c r="BJ219" s="2">
        <v>163.65</v>
      </c>
      <c r="BK219" s="2" t="s">
        <v>668</v>
      </c>
      <c r="BL219" s="2">
        <v>37.5</v>
      </c>
      <c r="BM219" s="2" t="s">
        <v>668</v>
      </c>
      <c r="BN219" s="2">
        <v>35.729999999999997</v>
      </c>
      <c r="BO219" s="2" t="s">
        <v>668</v>
      </c>
      <c r="BP219" s="2">
        <v>18.14</v>
      </c>
      <c r="BQ219" s="2" t="s">
        <v>668</v>
      </c>
      <c r="BR219" s="2">
        <v>20.8</v>
      </c>
      <c r="BS219" s="2" t="s">
        <v>668</v>
      </c>
      <c r="BT219" s="2">
        <v>13.86</v>
      </c>
      <c r="BU219" s="2" t="s">
        <v>668</v>
      </c>
      <c r="BV219" s="2">
        <v>77871.95</v>
      </c>
      <c r="BW219" s="2" t="s">
        <v>668</v>
      </c>
      <c r="BX219" s="2">
        <v>25.37</v>
      </c>
    </row>
    <row r="220" spans="1:76">
      <c r="A220" s="2" t="s">
        <v>1</v>
      </c>
      <c r="B220" s="2">
        <v>220</v>
      </c>
      <c r="C220" s="2" t="s">
        <v>669</v>
      </c>
      <c r="D220" s="2" t="s">
        <v>70</v>
      </c>
      <c r="E220" s="2" t="s">
        <v>669</v>
      </c>
      <c r="F220" s="2">
        <v>23.11</v>
      </c>
      <c r="G220" s="2" t="s">
        <v>669</v>
      </c>
      <c r="H220" s="2">
        <v>36.72</v>
      </c>
      <c r="I220" s="2" t="s">
        <v>669</v>
      </c>
      <c r="J220" s="2">
        <v>8.4499999999999993</v>
      </c>
      <c r="K220" s="2" t="s">
        <v>669</v>
      </c>
      <c r="L220" s="2">
        <v>15.29</v>
      </c>
      <c r="M220" s="2" t="s">
        <v>669</v>
      </c>
      <c r="N220" s="2">
        <v>8.2200000000000006</v>
      </c>
      <c r="O220" s="2" t="s">
        <v>669</v>
      </c>
      <c r="P220" s="2">
        <v>20.85</v>
      </c>
      <c r="Q220" s="2" t="s">
        <v>669</v>
      </c>
      <c r="R220" s="2" t="s">
        <v>61</v>
      </c>
      <c r="S220" s="2" t="s">
        <v>669</v>
      </c>
      <c r="T220" s="2">
        <v>13.23</v>
      </c>
      <c r="U220" s="2" t="s">
        <v>669</v>
      </c>
      <c r="V220" s="2">
        <v>4.4000000000000004</v>
      </c>
      <c r="W220" s="2" t="s">
        <v>669</v>
      </c>
      <c r="X220" s="2">
        <v>91.63</v>
      </c>
      <c r="Y220" s="2" t="s">
        <v>669</v>
      </c>
      <c r="Z220" s="2">
        <v>26.54</v>
      </c>
      <c r="AA220" s="2" t="s">
        <v>670</v>
      </c>
      <c r="AB220" s="2">
        <v>18.899999999999999</v>
      </c>
      <c r="AC220" s="2" t="s">
        <v>669</v>
      </c>
      <c r="AD220" s="2">
        <v>13.33</v>
      </c>
      <c r="AE220" s="2" t="s">
        <v>669</v>
      </c>
      <c r="AF220" s="2">
        <v>22.26</v>
      </c>
      <c r="AG220" s="2" t="s">
        <v>669</v>
      </c>
      <c r="AH220" s="2">
        <v>48.54</v>
      </c>
      <c r="AI220" s="2" t="s">
        <v>669</v>
      </c>
      <c r="AJ220" s="2">
        <v>47.2</v>
      </c>
      <c r="AK220" s="2" t="s">
        <v>669</v>
      </c>
      <c r="AL220" s="2">
        <v>3.74</v>
      </c>
      <c r="AM220" s="2" t="s">
        <v>669</v>
      </c>
      <c r="AN220" s="2">
        <v>84.5</v>
      </c>
      <c r="AO220" s="2" t="s">
        <v>669</v>
      </c>
      <c r="AP220" s="2">
        <v>100.5</v>
      </c>
      <c r="AQ220" s="2" t="s">
        <v>669</v>
      </c>
      <c r="AR220" s="2">
        <v>9.99</v>
      </c>
      <c r="AS220" s="2" t="s">
        <v>669</v>
      </c>
      <c r="AT220" s="2" t="s">
        <v>158</v>
      </c>
      <c r="AU220" s="2" t="s">
        <v>669</v>
      </c>
      <c r="AV220" s="2">
        <v>120.7</v>
      </c>
      <c r="AW220" s="2" t="s">
        <v>669</v>
      </c>
      <c r="AX220" s="2">
        <v>112.54</v>
      </c>
      <c r="AY220" s="2" t="s">
        <v>669</v>
      </c>
      <c r="AZ220" s="2">
        <v>3.22</v>
      </c>
      <c r="BA220" s="2" t="s">
        <v>669</v>
      </c>
      <c r="BB220" s="2">
        <v>173.71</v>
      </c>
      <c r="BC220" s="2" t="s">
        <v>669</v>
      </c>
      <c r="BD220" s="2">
        <v>10.69</v>
      </c>
      <c r="BE220" s="2" t="s">
        <v>669</v>
      </c>
      <c r="BF220" s="2">
        <v>17.7</v>
      </c>
      <c r="BG220" s="2" t="s">
        <v>669</v>
      </c>
      <c r="BH220" s="2">
        <v>34.25</v>
      </c>
      <c r="BI220" s="2" t="s">
        <v>669</v>
      </c>
      <c r="BJ220" s="2">
        <v>162.69999999999999</v>
      </c>
      <c r="BK220" s="2" t="s">
        <v>669</v>
      </c>
      <c r="BL220" s="2" t="s">
        <v>367</v>
      </c>
      <c r="BM220" s="2" t="s">
        <v>669</v>
      </c>
      <c r="BN220" s="2">
        <v>36.159999999999997</v>
      </c>
      <c r="BO220" s="2" t="s">
        <v>669</v>
      </c>
      <c r="BP220" s="2">
        <v>17.59</v>
      </c>
      <c r="BQ220" s="2" t="s">
        <v>669</v>
      </c>
      <c r="BR220" s="2">
        <v>20.260000000000002</v>
      </c>
      <c r="BS220" s="2" t="s">
        <v>669</v>
      </c>
      <c r="BT220" s="2">
        <v>13.6</v>
      </c>
      <c r="BU220" s="2" t="s">
        <v>669</v>
      </c>
      <c r="BV220" s="2">
        <v>77772.2</v>
      </c>
      <c r="BW220" s="2" t="s">
        <v>669</v>
      </c>
      <c r="BX220" s="2">
        <v>25.49</v>
      </c>
    </row>
    <row r="221" spans="1:76">
      <c r="A221" s="2" t="s">
        <v>1</v>
      </c>
      <c r="B221" s="2">
        <v>221</v>
      </c>
      <c r="C221" s="2" t="s">
        <v>670</v>
      </c>
      <c r="D221" s="2">
        <v>11.78</v>
      </c>
      <c r="E221" s="2" t="s">
        <v>670</v>
      </c>
      <c r="F221" s="2">
        <v>23.71</v>
      </c>
      <c r="G221" s="2" t="s">
        <v>670</v>
      </c>
      <c r="H221" s="2">
        <v>38.35</v>
      </c>
      <c r="I221" s="2" t="s">
        <v>670</v>
      </c>
      <c r="J221" s="2">
        <v>9.49</v>
      </c>
      <c r="K221" s="2" t="s">
        <v>670</v>
      </c>
      <c r="L221" s="2">
        <v>15.76</v>
      </c>
      <c r="M221" s="2" t="s">
        <v>670</v>
      </c>
      <c r="N221" s="2">
        <v>8.52</v>
      </c>
      <c r="O221" s="2" t="s">
        <v>670</v>
      </c>
      <c r="P221" s="2">
        <v>21.49</v>
      </c>
      <c r="Q221" s="2" t="s">
        <v>670</v>
      </c>
      <c r="R221" s="2">
        <v>14.99</v>
      </c>
      <c r="S221" s="2" t="s">
        <v>670</v>
      </c>
      <c r="T221" s="2">
        <v>13.51</v>
      </c>
      <c r="U221" s="2" t="s">
        <v>670</v>
      </c>
      <c r="V221" s="2">
        <v>4.37</v>
      </c>
      <c r="W221" s="2" t="s">
        <v>670</v>
      </c>
      <c r="X221" s="2">
        <v>88.65</v>
      </c>
      <c r="Y221" s="2" t="s">
        <v>670</v>
      </c>
      <c r="Z221" s="2" t="s">
        <v>45</v>
      </c>
      <c r="AA221" s="2" t="s">
        <v>671</v>
      </c>
      <c r="AB221" s="2">
        <v>18.84</v>
      </c>
      <c r="AC221" s="2" t="s">
        <v>670</v>
      </c>
      <c r="AD221" s="2">
        <v>13.68</v>
      </c>
      <c r="AE221" s="2" t="s">
        <v>670</v>
      </c>
      <c r="AF221" s="2">
        <v>22.49</v>
      </c>
      <c r="AG221" s="2" t="s">
        <v>670</v>
      </c>
      <c r="AH221" s="2">
        <v>48.09</v>
      </c>
      <c r="AI221" s="2" t="s">
        <v>670</v>
      </c>
      <c r="AJ221" s="2">
        <v>47.48</v>
      </c>
      <c r="AK221" s="2" t="s">
        <v>670</v>
      </c>
      <c r="AL221" s="2">
        <v>3.9</v>
      </c>
      <c r="AM221" s="2" t="s">
        <v>670</v>
      </c>
      <c r="AN221" s="2">
        <v>84.37</v>
      </c>
      <c r="AO221" s="2" t="s">
        <v>670</v>
      </c>
      <c r="AP221" s="2">
        <v>100.6</v>
      </c>
      <c r="AQ221" s="2" t="s">
        <v>670</v>
      </c>
      <c r="AR221" s="2">
        <v>9.9700000000000006</v>
      </c>
      <c r="AS221" s="2" t="s">
        <v>670</v>
      </c>
      <c r="AT221" s="2" t="s">
        <v>672</v>
      </c>
      <c r="AU221" s="2" t="s">
        <v>670</v>
      </c>
      <c r="AV221" s="2">
        <v>120.98</v>
      </c>
      <c r="AW221" s="2" t="s">
        <v>670</v>
      </c>
      <c r="AX221" s="2">
        <v>112.5</v>
      </c>
      <c r="AY221" s="2" t="s">
        <v>670</v>
      </c>
      <c r="AZ221" s="2">
        <v>3.24</v>
      </c>
      <c r="BA221" s="2" t="s">
        <v>670</v>
      </c>
      <c r="BB221" s="2">
        <v>173.9</v>
      </c>
      <c r="BC221" s="2" t="s">
        <v>670</v>
      </c>
      <c r="BD221" s="2">
        <v>11.4</v>
      </c>
      <c r="BE221" s="2" t="s">
        <v>670</v>
      </c>
      <c r="BF221" s="2">
        <v>17.440000000000001</v>
      </c>
      <c r="BG221" s="2" t="s">
        <v>670</v>
      </c>
      <c r="BH221" s="2">
        <v>34.299999999999997</v>
      </c>
      <c r="BI221" s="2" t="s">
        <v>670</v>
      </c>
      <c r="BJ221" s="2">
        <v>160.91999999999999</v>
      </c>
      <c r="BK221" s="2" t="s">
        <v>670</v>
      </c>
      <c r="BL221" s="2">
        <v>37.35</v>
      </c>
      <c r="BM221" s="2" t="s">
        <v>670</v>
      </c>
      <c r="BN221" s="2">
        <v>37.82</v>
      </c>
      <c r="BO221" s="2" t="s">
        <v>670</v>
      </c>
      <c r="BP221" s="2">
        <v>17.399999999999999</v>
      </c>
      <c r="BQ221" s="2" t="s">
        <v>670</v>
      </c>
      <c r="BR221" s="2">
        <v>21.02</v>
      </c>
      <c r="BS221" s="2" t="s">
        <v>670</v>
      </c>
      <c r="BT221" s="2">
        <v>13.96</v>
      </c>
      <c r="BU221" s="2" t="s">
        <v>670</v>
      </c>
      <c r="BV221" s="2">
        <v>79010.81</v>
      </c>
      <c r="BW221" s="2" t="s">
        <v>670</v>
      </c>
      <c r="BX221" s="2">
        <v>25.9</v>
      </c>
    </row>
    <row r="222" spans="1:76">
      <c r="A222" s="2" t="s">
        <v>1</v>
      </c>
      <c r="B222" s="2">
        <v>222</v>
      </c>
      <c r="C222" s="2" t="s">
        <v>671</v>
      </c>
      <c r="D222" s="2">
        <v>11.69</v>
      </c>
      <c r="E222" s="2" t="s">
        <v>671</v>
      </c>
      <c r="F222" s="2">
        <v>22.59</v>
      </c>
      <c r="G222" s="2" t="s">
        <v>671</v>
      </c>
      <c r="H222" s="2">
        <v>38.4</v>
      </c>
      <c r="I222" s="2" t="s">
        <v>671</v>
      </c>
      <c r="J222" s="2">
        <v>9.6300000000000008</v>
      </c>
      <c r="K222" s="2" t="s">
        <v>671</v>
      </c>
      <c r="L222" s="2">
        <v>15.63</v>
      </c>
      <c r="M222" s="2" t="s">
        <v>671</v>
      </c>
      <c r="N222" s="2">
        <v>8.14</v>
      </c>
      <c r="O222" s="2" t="s">
        <v>671</v>
      </c>
      <c r="P222" s="2">
        <v>20.65</v>
      </c>
      <c r="Q222" s="2" t="s">
        <v>671</v>
      </c>
      <c r="R222" s="2">
        <v>14.83</v>
      </c>
      <c r="S222" s="2" t="s">
        <v>671</v>
      </c>
      <c r="T222" s="2">
        <v>13.6</v>
      </c>
      <c r="U222" s="2" t="s">
        <v>671</v>
      </c>
      <c r="V222" s="2">
        <v>4.5599999999999996</v>
      </c>
      <c r="W222" s="2" t="s">
        <v>671</v>
      </c>
      <c r="X222" s="2">
        <v>91.39</v>
      </c>
      <c r="Y222" s="2" t="s">
        <v>671</v>
      </c>
      <c r="Z222" s="2">
        <v>26.9</v>
      </c>
      <c r="AA222" s="2" t="s">
        <v>673</v>
      </c>
      <c r="AB222" s="2">
        <v>19.45</v>
      </c>
      <c r="AC222" s="2" t="s">
        <v>671</v>
      </c>
      <c r="AD222" s="2" t="s">
        <v>64</v>
      </c>
      <c r="AE222" s="2" t="s">
        <v>671</v>
      </c>
      <c r="AF222" s="2">
        <v>21.83</v>
      </c>
      <c r="AG222" s="2" t="s">
        <v>671</v>
      </c>
      <c r="AH222" s="2">
        <v>48.05</v>
      </c>
      <c r="AI222" s="2" t="s">
        <v>671</v>
      </c>
      <c r="AJ222" s="2">
        <v>46.1</v>
      </c>
      <c r="AK222" s="2" t="s">
        <v>671</v>
      </c>
      <c r="AL222" s="2">
        <v>3.69</v>
      </c>
      <c r="AM222" s="2" t="s">
        <v>671</v>
      </c>
      <c r="AN222" s="2">
        <v>84.87</v>
      </c>
      <c r="AO222" s="2" t="s">
        <v>671</v>
      </c>
      <c r="AP222" s="2">
        <v>101.75</v>
      </c>
      <c r="AQ222" s="2" t="s">
        <v>671</v>
      </c>
      <c r="AR222" s="2" t="s">
        <v>41</v>
      </c>
      <c r="AS222" s="2" t="s">
        <v>671</v>
      </c>
      <c r="AT222" s="2" t="s">
        <v>674</v>
      </c>
      <c r="AU222" s="2" t="s">
        <v>671</v>
      </c>
      <c r="AV222" s="2">
        <v>122.42</v>
      </c>
      <c r="AW222" s="2" t="s">
        <v>671</v>
      </c>
      <c r="AX222" s="2">
        <v>112.95</v>
      </c>
      <c r="AY222" s="2" t="s">
        <v>671</v>
      </c>
      <c r="AZ222" s="2">
        <v>3.27</v>
      </c>
      <c r="BA222" s="2" t="s">
        <v>671</v>
      </c>
      <c r="BB222" s="2">
        <v>174.47</v>
      </c>
      <c r="BC222" s="2" t="s">
        <v>671</v>
      </c>
      <c r="BD222" s="2">
        <v>12.43</v>
      </c>
      <c r="BE222" s="2" t="s">
        <v>671</v>
      </c>
      <c r="BF222" s="2">
        <v>17.25</v>
      </c>
      <c r="BG222" s="2" t="s">
        <v>671</v>
      </c>
      <c r="BH222" s="2">
        <v>34.72</v>
      </c>
      <c r="BI222" s="2" t="s">
        <v>671</v>
      </c>
      <c r="BJ222" s="2">
        <v>161.91</v>
      </c>
      <c r="BK222" s="2" t="s">
        <v>671</v>
      </c>
      <c r="BL222" s="2">
        <v>36.409999999999997</v>
      </c>
      <c r="BM222" s="2" t="s">
        <v>671</v>
      </c>
      <c r="BN222" s="2">
        <v>39.54</v>
      </c>
      <c r="BO222" s="2" t="s">
        <v>671</v>
      </c>
      <c r="BP222" s="2">
        <v>17.149999999999999</v>
      </c>
      <c r="BQ222" s="2" t="s">
        <v>671</v>
      </c>
      <c r="BR222" s="2">
        <v>20.82</v>
      </c>
      <c r="BS222" s="2" t="s">
        <v>671</v>
      </c>
      <c r="BT222" s="2">
        <v>13.9</v>
      </c>
      <c r="BU222" s="2" t="s">
        <v>671</v>
      </c>
      <c r="BV222" s="2">
        <v>77556.62</v>
      </c>
      <c r="BW222" s="2" t="s">
        <v>671</v>
      </c>
      <c r="BX222" s="2">
        <v>25.99</v>
      </c>
    </row>
    <row r="223" spans="1:76">
      <c r="A223" s="2" t="s">
        <v>1</v>
      </c>
      <c r="B223" s="2">
        <v>223</v>
      </c>
      <c r="C223" s="2" t="s">
        <v>673</v>
      </c>
      <c r="D223" s="2">
        <v>12.15</v>
      </c>
      <c r="E223" s="2" t="s">
        <v>673</v>
      </c>
      <c r="F223" s="2">
        <v>23.5</v>
      </c>
      <c r="G223" s="2" t="s">
        <v>673</v>
      </c>
      <c r="H223" s="2">
        <v>39.89</v>
      </c>
      <c r="I223" s="2" t="s">
        <v>673</v>
      </c>
      <c r="J223" s="2">
        <v>9.76</v>
      </c>
      <c r="K223" s="2" t="s">
        <v>673</v>
      </c>
      <c r="L223" s="2">
        <v>16.23</v>
      </c>
      <c r="M223" s="2" t="s">
        <v>673</v>
      </c>
      <c r="N223" s="2">
        <v>8.5399999999999991</v>
      </c>
      <c r="O223" s="2" t="s">
        <v>673</v>
      </c>
      <c r="P223" s="2">
        <v>21.38</v>
      </c>
      <c r="Q223" s="2" t="s">
        <v>673</v>
      </c>
      <c r="R223" s="2">
        <v>15.32</v>
      </c>
      <c r="S223" s="2" t="s">
        <v>673</v>
      </c>
      <c r="T223" s="2">
        <v>15.48</v>
      </c>
      <c r="U223" s="2" t="s">
        <v>673</v>
      </c>
      <c r="V223" s="2">
        <v>4.68</v>
      </c>
      <c r="W223" s="2" t="s">
        <v>673</v>
      </c>
      <c r="X223" s="2" t="s">
        <v>116</v>
      </c>
      <c r="Y223" s="2" t="s">
        <v>673</v>
      </c>
      <c r="Z223" s="2">
        <v>27.81</v>
      </c>
      <c r="AA223" s="2" t="s">
        <v>802</v>
      </c>
      <c r="AB223" s="2">
        <v>19.18</v>
      </c>
      <c r="AC223" s="2" t="s">
        <v>673</v>
      </c>
      <c r="AD223" s="2">
        <v>13.18</v>
      </c>
      <c r="AE223" s="2" t="s">
        <v>673</v>
      </c>
      <c r="AF223" s="2">
        <v>22.36</v>
      </c>
      <c r="AG223" s="2" t="s">
        <v>673</v>
      </c>
      <c r="AH223" s="2">
        <v>51.26</v>
      </c>
      <c r="AI223" s="2" t="s">
        <v>673</v>
      </c>
      <c r="AJ223" s="2">
        <v>47.67</v>
      </c>
      <c r="AK223" s="2" t="s">
        <v>673</v>
      </c>
      <c r="AL223" s="2" t="s">
        <v>302</v>
      </c>
      <c r="AM223" s="2" t="s">
        <v>673</v>
      </c>
      <c r="AN223" s="2" t="s">
        <v>72</v>
      </c>
      <c r="AO223" s="2" t="s">
        <v>673</v>
      </c>
      <c r="AP223" s="2">
        <v>101.1</v>
      </c>
      <c r="AQ223" s="2" t="s">
        <v>673</v>
      </c>
      <c r="AR223" s="2">
        <v>10.06</v>
      </c>
      <c r="AS223" s="2" t="s">
        <v>673</v>
      </c>
      <c r="AT223" s="2" t="s">
        <v>158</v>
      </c>
      <c r="AU223" s="2" t="s">
        <v>673</v>
      </c>
      <c r="AV223" s="2">
        <v>119.52</v>
      </c>
      <c r="AW223" s="2" t="s">
        <v>673</v>
      </c>
      <c r="AX223" s="2">
        <v>112.94</v>
      </c>
      <c r="AY223" s="2" t="s">
        <v>673</v>
      </c>
      <c r="AZ223" s="2">
        <v>3.19</v>
      </c>
      <c r="BA223" s="2" t="s">
        <v>673</v>
      </c>
      <c r="BB223" s="2">
        <v>175.2</v>
      </c>
      <c r="BC223" s="2" t="s">
        <v>673</v>
      </c>
      <c r="BD223" s="2">
        <v>13.45</v>
      </c>
      <c r="BE223" s="2" t="s">
        <v>673</v>
      </c>
      <c r="BF223" s="2">
        <v>17.73</v>
      </c>
      <c r="BG223" s="2" t="s">
        <v>673</v>
      </c>
      <c r="BH223" s="2">
        <v>36.299999999999997</v>
      </c>
      <c r="BI223" s="2" t="s">
        <v>673</v>
      </c>
      <c r="BJ223" s="2">
        <v>162.4</v>
      </c>
      <c r="BK223" s="2" t="s">
        <v>673</v>
      </c>
      <c r="BL223" s="2">
        <v>36.619999999999997</v>
      </c>
      <c r="BM223" s="2" t="s">
        <v>673</v>
      </c>
      <c r="BN223" s="2">
        <v>41.99</v>
      </c>
      <c r="BO223" s="2" t="s">
        <v>673</v>
      </c>
      <c r="BP223" s="2">
        <v>18.54</v>
      </c>
      <c r="BQ223" s="2" t="s">
        <v>673</v>
      </c>
      <c r="BR223" s="2" t="s">
        <v>52</v>
      </c>
      <c r="BS223" s="2" t="s">
        <v>673</v>
      </c>
      <c r="BT223" s="2">
        <v>13.57</v>
      </c>
      <c r="BU223" s="2" t="s">
        <v>673</v>
      </c>
      <c r="BV223" s="2">
        <v>81194.289999999994</v>
      </c>
      <c r="BW223" s="2" t="s">
        <v>673</v>
      </c>
      <c r="BX223" s="2">
        <v>26.8</v>
      </c>
    </row>
    <row r="224" spans="1:76">
      <c r="A224" s="2" t="s">
        <v>1</v>
      </c>
      <c r="B224" s="2">
        <v>224</v>
      </c>
      <c r="C224" s="2" t="s">
        <v>802</v>
      </c>
      <c r="D224" s="2">
        <v>12.25</v>
      </c>
      <c r="E224" s="2" t="s">
        <v>802</v>
      </c>
      <c r="F224" s="2">
        <v>23.48</v>
      </c>
      <c r="G224" s="2" t="s">
        <v>802</v>
      </c>
      <c r="H224" s="2">
        <v>39.43</v>
      </c>
      <c r="I224" s="2" t="s">
        <v>802</v>
      </c>
      <c r="J224" s="2">
        <v>10.45</v>
      </c>
      <c r="K224" s="2" t="s">
        <v>802</v>
      </c>
      <c r="L224" s="2">
        <v>15.98</v>
      </c>
      <c r="M224" s="2" t="s">
        <v>802</v>
      </c>
      <c r="N224" s="2">
        <v>8.24</v>
      </c>
      <c r="O224" s="2" t="s">
        <v>802</v>
      </c>
      <c r="P224" s="2">
        <v>20.62</v>
      </c>
      <c r="Q224" s="2" t="s">
        <v>802</v>
      </c>
      <c r="R224" s="2">
        <v>14.9</v>
      </c>
      <c r="S224" s="2" t="s">
        <v>802</v>
      </c>
      <c r="T224" s="2">
        <v>15.13</v>
      </c>
      <c r="U224" s="2" t="s">
        <v>802</v>
      </c>
      <c r="V224" s="2">
        <v>4.67</v>
      </c>
      <c r="W224" s="2" t="s">
        <v>802</v>
      </c>
      <c r="X224" s="2">
        <v>94.97</v>
      </c>
      <c r="Y224" s="2" t="s">
        <v>802</v>
      </c>
      <c r="Z224" s="2">
        <v>27.81</v>
      </c>
      <c r="AA224" s="2" t="s">
        <v>803</v>
      </c>
      <c r="AB224" s="2">
        <v>19.09</v>
      </c>
      <c r="AC224" s="2" t="s">
        <v>802</v>
      </c>
      <c r="AD224" s="2">
        <v>13.89</v>
      </c>
      <c r="AE224" s="2" t="s">
        <v>802</v>
      </c>
      <c r="AF224" s="2">
        <v>21.99</v>
      </c>
      <c r="AG224" s="2" t="s">
        <v>802</v>
      </c>
      <c r="AH224" s="2">
        <v>52.3</v>
      </c>
      <c r="AI224" s="2" t="s">
        <v>802</v>
      </c>
      <c r="AJ224" s="2">
        <v>46.5</v>
      </c>
      <c r="AK224" s="2" t="s">
        <v>802</v>
      </c>
      <c r="AL224" s="2">
        <v>3.9</v>
      </c>
      <c r="AM224" s="2" t="s">
        <v>802</v>
      </c>
      <c r="AN224" s="2">
        <v>84.05</v>
      </c>
      <c r="AO224" s="2" t="s">
        <v>802</v>
      </c>
      <c r="AP224" s="2">
        <v>101.41</v>
      </c>
      <c r="AQ224" s="2" t="s">
        <v>802</v>
      </c>
      <c r="AR224" s="2">
        <v>10.11</v>
      </c>
      <c r="AS224" s="2" t="s">
        <v>802</v>
      </c>
      <c r="AT224" s="2" t="s">
        <v>158</v>
      </c>
      <c r="AU224" s="2" t="s">
        <v>802</v>
      </c>
      <c r="AV224" s="2">
        <v>119.83</v>
      </c>
      <c r="AW224" s="2" t="s">
        <v>802</v>
      </c>
      <c r="AX224" s="2">
        <v>112.99</v>
      </c>
      <c r="AY224" s="2" t="s">
        <v>802</v>
      </c>
      <c r="AZ224" s="2">
        <v>3.22</v>
      </c>
      <c r="BA224" s="2" t="s">
        <v>802</v>
      </c>
      <c r="BB224" s="2">
        <v>176.66</v>
      </c>
      <c r="BC224" s="2" t="s">
        <v>802</v>
      </c>
      <c r="BD224" s="2">
        <v>13.8</v>
      </c>
      <c r="BE224" s="2" t="s">
        <v>802</v>
      </c>
      <c r="BF224" s="2">
        <v>18.5</v>
      </c>
      <c r="BG224" s="2" t="s">
        <v>802</v>
      </c>
      <c r="BH224" s="2">
        <v>35.5</v>
      </c>
      <c r="BI224" s="2" t="s">
        <v>802</v>
      </c>
      <c r="BJ224" s="2">
        <v>163.05000000000001</v>
      </c>
      <c r="BK224" s="2" t="s">
        <v>802</v>
      </c>
      <c r="BL224" s="2">
        <v>36.92</v>
      </c>
      <c r="BM224" s="2" t="s">
        <v>802</v>
      </c>
      <c r="BN224" s="2">
        <v>40.72</v>
      </c>
      <c r="BO224" s="2" t="s">
        <v>802</v>
      </c>
      <c r="BP224" s="2">
        <v>18.68</v>
      </c>
      <c r="BQ224" s="2" t="s">
        <v>802</v>
      </c>
      <c r="BR224" s="2" t="s">
        <v>45</v>
      </c>
      <c r="BS224" s="2" t="s">
        <v>802</v>
      </c>
      <c r="BT224" s="2">
        <v>13.34</v>
      </c>
      <c r="BU224" s="2" t="s">
        <v>802</v>
      </c>
      <c r="BV224" s="2">
        <v>80742.350000000006</v>
      </c>
      <c r="BW224" s="2" t="s">
        <v>802</v>
      </c>
      <c r="BX224" s="2">
        <v>26.18</v>
      </c>
    </row>
    <row r="225" spans="1:76">
      <c r="A225" s="2" t="s">
        <v>1</v>
      </c>
      <c r="B225" s="2">
        <v>225</v>
      </c>
      <c r="C225" s="2" t="s">
        <v>803</v>
      </c>
      <c r="D225" s="2">
        <v>12.68</v>
      </c>
      <c r="E225" s="2" t="s">
        <v>803</v>
      </c>
      <c r="F225" s="2">
        <v>23.53</v>
      </c>
      <c r="G225" s="2" t="s">
        <v>803</v>
      </c>
      <c r="H225" s="2">
        <v>39.049999999999997</v>
      </c>
      <c r="I225" s="2" t="s">
        <v>803</v>
      </c>
      <c r="J225" s="2">
        <v>10.27</v>
      </c>
      <c r="K225" s="2" t="s">
        <v>803</v>
      </c>
      <c r="L225" s="2">
        <v>15.74</v>
      </c>
      <c r="M225" s="2" t="s">
        <v>803</v>
      </c>
      <c r="N225" s="2">
        <v>8.25</v>
      </c>
      <c r="O225" s="2" t="s">
        <v>803</v>
      </c>
      <c r="P225" s="2">
        <v>20.75</v>
      </c>
      <c r="Q225" s="2" t="s">
        <v>803</v>
      </c>
      <c r="R225" s="2">
        <v>15.7</v>
      </c>
      <c r="S225" s="2" t="s">
        <v>803</v>
      </c>
      <c r="T225" s="2">
        <v>15.07</v>
      </c>
      <c r="U225" s="2" t="s">
        <v>803</v>
      </c>
      <c r="V225" s="2">
        <v>4.7300000000000004</v>
      </c>
      <c r="W225" s="2" t="s">
        <v>803</v>
      </c>
      <c r="X225" s="2">
        <v>95.07</v>
      </c>
      <c r="Y225" s="2" t="s">
        <v>803</v>
      </c>
      <c r="Z225" s="2">
        <v>27.09</v>
      </c>
      <c r="AA225" s="2" t="s">
        <v>804</v>
      </c>
      <c r="AB225" s="2">
        <v>19.68</v>
      </c>
      <c r="AC225" s="2" t="s">
        <v>803</v>
      </c>
      <c r="AD225" s="2">
        <v>14.4</v>
      </c>
      <c r="AE225" s="2" t="s">
        <v>803</v>
      </c>
      <c r="AF225" s="2">
        <v>22.1</v>
      </c>
      <c r="AG225" s="2" t="s">
        <v>803</v>
      </c>
      <c r="AH225" s="2">
        <v>52.5</v>
      </c>
      <c r="AI225" s="2" t="s">
        <v>803</v>
      </c>
      <c r="AJ225" s="2">
        <v>47.09</v>
      </c>
      <c r="AK225" s="2" t="s">
        <v>803</v>
      </c>
      <c r="AL225" s="2" t="s">
        <v>302</v>
      </c>
      <c r="AM225" s="2" t="s">
        <v>803</v>
      </c>
      <c r="AN225" s="2">
        <v>83.89</v>
      </c>
      <c r="AO225" s="2" t="s">
        <v>803</v>
      </c>
      <c r="AP225" s="2">
        <v>102.01</v>
      </c>
      <c r="AQ225" s="2" t="s">
        <v>803</v>
      </c>
      <c r="AR225" s="2">
        <v>10.220000000000001</v>
      </c>
      <c r="AS225" s="2" t="s">
        <v>803</v>
      </c>
      <c r="AT225" s="2" t="s">
        <v>158</v>
      </c>
      <c r="AU225" s="2" t="s">
        <v>803</v>
      </c>
      <c r="AV225" s="2">
        <v>119.05</v>
      </c>
      <c r="AW225" s="2" t="s">
        <v>803</v>
      </c>
      <c r="AX225" s="2">
        <v>113.2</v>
      </c>
      <c r="AY225" s="2" t="s">
        <v>803</v>
      </c>
      <c r="AZ225" s="2">
        <v>3.21</v>
      </c>
      <c r="BA225" s="2" t="s">
        <v>803</v>
      </c>
      <c r="BB225" s="2">
        <v>176.98</v>
      </c>
      <c r="BC225" s="2" t="s">
        <v>803</v>
      </c>
      <c r="BD225" s="2">
        <v>13.97</v>
      </c>
      <c r="BE225" s="2" t="s">
        <v>803</v>
      </c>
      <c r="BF225" s="2">
        <v>19.350000000000001</v>
      </c>
      <c r="BG225" s="2" t="s">
        <v>803</v>
      </c>
      <c r="BH225" s="2">
        <v>34.94</v>
      </c>
      <c r="BI225" s="2" t="s">
        <v>803</v>
      </c>
      <c r="BJ225" s="2" t="s">
        <v>71</v>
      </c>
      <c r="BK225" s="2" t="s">
        <v>803</v>
      </c>
      <c r="BL225" s="2">
        <v>37.64</v>
      </c>
      <c r="BM225" s="2" t="s">
        <v>803</v>
      </c>
      <c r="BN225" s="2">
        <v>40.64</v>
      </c>
      <c r="BO225" s="2" t="s">
        <v>803</v>
      </c>
      <c r="BP225" s="2">
        <v>19.3</v>
      </c>
      <c r="BQ225" s="2" t="s">
        <v>803</v>
      </c>
      <c r="BR225" s="2">
        <v>26.26</v>
      </c>
      <c r="BS225" s="2" t="s">
        <v>803</v>
      </c>
      <c r="BT225" s="2">
        <v>13.41</v>
      </c>
      <c r="BU225" s="2" t="s">
        <v>803</v>
      </c>
      <c r="BV225" s="2">
        <v>81319.45</v>
      </c>
      <c r="BW225" s="2" t="s">
        <v>803</v>
      </c>
      <c r="BX225" s="2">
        <v>26.31</v>
      </c>
    </row>
    <row r="226" spans="1:76">
      <c r="A226" s="2" t="s">
        <v>1</v>
      </c>
      <c r="B226" s="2">
        <v>226</v>
      </c>
      <c r="C226" s="2" t="s">
        <v>804</v>
      </c>
      <c r="D226" s="2">
        <v>13.25</v>
      </c>
      <c r="E226" s="2" t="s">
        <v>804</v>
      </c>
      <c r="F226" s="2">
        <v>24.15</v>
      </c>
      <c r="G226" s="2" t="s">
        <v>804</v>
      </c>
      <c r="H226" s="2">
        <v>39.880000000000003</v>
      </c>
      <c r="I226" s="2" t="s">
        <v>804</v>
      </c>
      <c r="J226" s="2">
        <v>10.67</v>
      </c>
      <c r="K226" s="2" t="s">
        <v>804</v>
      </c>
      <c r="L226" s="2">
        <v>16.350000000000001</v>
      </c>
      <c r="M226" s="2" t="s">
        <v>804</v>
      </c>
      <c r="N226" s="2">
        <v>8.69</v>
      </c>
      <c r="O226" s="2" t="s">
        <v>804</v>
      </c>
      <c r="P226" s="2">
        <v>21.51</v>
      </c>
      <c r="Q226" s="2" t="s">
        <v>804</v>
      </c>
      <c r="R226" s="2">
        <v>15.95</v>
      </c>
      <c r="S226" s="2" t="s">
        <v>804</v>
      </c>
      <c r="T226" s="2">
        <v>15.28</v>
      </c>
      <c r="U226" s="2" t="s">
        <v>804</v>
      </c>
      <c r="V226" s="2">
        <v>4.84</v>
      </c>
      <c r="W226" s="2" t="s">
        <v>804</v>
      </c>
      <c r="X226" s="2">
        <v>95.11</v>
      </c>
      <c r="Y226" s="2" t="s">
        <v>804</v>
      </c>
      <c r="Z226" s="2">
        <v>27.92</v>
      </c>
      <c r="AA226" s="2" t="s">
        <v>805</v>
      </c>
      <c r="AB226" s="2">
        <v>19.91</v>
      </c>
      <c r="AC226" s="2" t="s">
        <v>804</v>
      </c>
      <c r="AD226" s="2">
        <v>15.11</v>
      </c>
      <c r="AE226" s="2" t="s">
        <v>804</v>
      </c>
      <c r="AF226" s="2">
        <v>22.84</v>
      </c>
      <c r="AG226" s="2" t="s">
        <v>804</v>
      </c>
      <c r="AH226" s="2">
        <v>51.13</v>
      </c>
      <c r="AI226" s="2" t="s">
        <v>804</v>
      </c>
      <c r="AJ226" s="2">
        <v>47.22</v>
      </c>
      <c r="AK226" s="2" t="s">
        <v>804</v>
      </c>
      <c r="AL226" s="2">
        <v>4.22</v>
      </c>
      <c r="AM226" s="2" t="s">
        <v>804</v>
      </c>
      <c r="AN226" s="2">
        <v>83.94</v>
      </c>
      <c r="AO226" s="2" t="s">
        <v>804</v>
      </c>
      <c r="AP226" s="2">
        <v>102.19</v>
      </c>
      <c r="AQ226" s="2" t="s">
        <v>804</v>
      </c>
      <c r="AR226" s="2">
        <v>10.24</v>
      </c>
      <c r="AS226" s="2" t="s">
        <v>804</v>
      </c>
      <c r="AT226" s="2" t="s">
        <v>158</v>
      </c>
      <c r="AU226" s="2" t="s">
        <v>804</v>
      </c>
      <c r="AV226" s="2">
        <v>120.73</v>
      </c>
      <c r="AW226" s="2" t="s">
        <v>804</v>
      </c>
      <c r="AX226" s="2">
        <v>113.68</v>
      </c>
      <c r="AY226" s="2" t="s">
        <v>804</v>
      </c>
      <c r="AZ226" s="2">
        <v>3.21</v>
      </c>
      <c r="BA226" s="2" t="s">
        <v>804</v>
      </c>
      <c r="BB226" s="2">
        <v>175.1</v>
      </c>
      <c r="BC226" s="2" t="s">
        <v>804</v>
      </c>
      <c r="BD226" s="2">
        <v>13.92</v>
      </c>
      <c r="BE226" s="2" t="s">
        <v>804</v>
      </c>
      <c r="BF226" s="2">
        <v>19.649999999999999</v>
      </c>
      <c r="BG226" s="2" t="s">
        <v>804</v>
      </c>
      <c r="BH226" s="2">
        <v>36.25</v>
      </c>
      <c r="BI226" s="2" t="s">
        <v>804</v>
      </c>
      <c r="BJ226" s="2">
        <v>163.55000000000001</v>
      </c>
      <c r="BK226" s="2" t="s">
        <v>804</v>
      </c>
      <c r="BL226" s="2">
        <v>37.44</v>
      </c>
      <c r="BM226" s="2" t="s">
        <v>804</v>
      </c>
      <c r="BN226" s="2">
        <v>43.62</v>
      </c>
      <c r="BO226" s="2" t="s">
        <v>804</v>
      </c>
      <c r="BP226" s="2">
        <v>19.190000000000001</v>
      </c>
      <c r="BQ226" s="2" t="s">
        <v>804</v>
      </c>
      <c r="BR226" s="2">
        <v>27.5</v>
      </c>
      <c r="BS226" s="2" t="s">
        <v>804</v>
      </c>
      <c r="BT226" s="2">
        <v>13.6</v>
      </c>
      <c r="BU226" s="2" t="s">
        <v>804</v>
      </c>
      <c r="BV226" s="2">
        <v>83027.09</v>
      </c>
      <c r="BW226" s="2" t="s">
        <v>804</v>
      </c>
      <c r="BX226" s="2">
        <v>26.89</v>
      </c>
    </row>
    <row r="227" spans="1:76">
      <c r="A227" s="2" t="s">
        <v>1</v>
      </c>
      <c r="B227" s="2">
        <v>227</v>
      </c>
      <c r="C227" s="2" t="s">
        <v>805</v>
      </c>
      <c r="D227" s="2">
        <v>13.38</v>
      </c>
      <c r="E227" s="2" t="s">
        <v>805</v>
      </c>
      <c r="F227" s="2">
        <v>23.51</v>
      </c>
      <c r="G227" s="2" t="s">
        <v>805</v>
      </c>
      <c r="H227" s="2">
        <v>39.29</v>
      </c>
      <c r="I227" s="2" t="s">
        <v>805</v>
      </c>
      <c r="J227" s="2">
        <v>10.35</v>
      </c>
      <c r="K227" s="2" t="s">
        <v>805</v>
      </c>
      <c r="L227" s="2">
        <v>16.309999999999999</v>
      </c>
      <c r="M227" s="2" t="s">
        <v>805</v>
      </c>
      <c r="N227" s="2">
        <v>8.86</v>
      </c>
      <c r="O227" s="2" t="s">
        <v>805</v>
      </c>
      <c r="P227" s="2">
        <v>21.64</v>
      </c>
      <c r="Q227" s="2" t="s">
        <v>805</v>
      </c>
      <c r="R227" s="2">
        <v>16.05</v>
      </c>
      <c r="S227" s="2" t="s">
        <v>805</v>
      </c>
      <c r="T227" s="2">
        <v>14.93</v>
      </c>
      <c r="U227" s="2" t="s">
        <v>805</v>
      </c>
      <c r="V227" s="2">
        <v>4.91</v>
      </c>
      <c r="W227" s="2" t="s">
        <v>805</v>
      </c>
      <c r="X227" s="2">
        <v>95.07</v>
      </c>
      <c r="Y227" s="2" t="s">
        <v>805</v>
      </c>
      <c r="Z227" s="2">
        <v>27.93</v>
      </c>
      <c r="AA227" s="2" t="s">
        <v>806</v>
      </c>
      <c r="AB227" s="2">
        <v>20.28</v>
      </c>
      <c r="AC227" s="2" t="s">
        <v>805</v>
      </c>
      <c r="AD227" s="2">
        <v>15.2</v>
      </c>
      <c r="AE227" s="2" t="s">
        <v>805</v>
      </c>
      <c r="AF227" s="2">
        <v>22.79</v>
      </c>
      <c r="AG227" s="2" t="s">
        <v>805</v>
      </c>
      <c r="AH227" s="2">
        <v>50.27</v>
      </c>
      <c r="AI227" s="2" t="s">
        <v>805</v>
      </c>
      <c r="AJ227" s="2">
        <v>47.4</v>
      </c>
      <c r="AK227" s="2" t="s">
        <v>805</v>
      </c>
      <c r="AL227" s="2">
        <v>3.97</v>
      </c>
      <c r="AM227" s="2" t="s">
        <v>805</v>
      </c>
      <c r="AN227" s="2">
        <v>84.22</v>
      </c>
      <c r="AO227" s="2" t="s">
        <v>805</v>
      </c>
      <c r="AP227" s="2">
        <v>102.8</v>
      </c>
      <c r="AQ227" s="2" t="s">
        <v>805</v>
      </c>
      <c r="AR227" s="2">
        <v>10.24</v>
      </c>
      <c r="AS227" s="2" t="s">
        <v>805</v>
      </c>
      <c r="AT227" s="2">
        <v>1227.98</v>
      </c>
      <c r="AU227" s="2" t="s">
        <v>805</v>
      </c>
      <c r="AV227" s="2" t="s">
        <v>111</v>
      </c>
      <c r="AW227" s="2" t="s">
        <v>805</v>
      </c>
      <c r="AX227" s="2">
        <v>115.15</v>
      </c>
      <c r="AY227" s="2" t="s">
        <v>805</v>
      </c>
      <c r="AZ227" s="2">
        <v>3.23</v>
      </c>
      <c r="BA227" s="2" t="s">
        <v>805</v>
      </c>
      <c r="BB227" s="2">
        <v>179.05</v>
      </c>
      <c r="BC227" s="2" t="s">
        <v>805</v>
      </c>
      <c r="BD227" s="2">
        <v>13.3</v>
      </c>
      <c r="BE227" s="2" t="s">
        <v>805</v>
      </c>
      <c r="BF227" s="2">
        <v>18.899999999999999</v>
      </c>
      <c r="BG227" s="2" t="s">
        <v>805</v>
      </c>
      <c r="BH227" s="2">
        <v>35.1</v>
      </c>
      <c r="BI227" s="2" t="s">
        <v>805</v>
      </c>
      <c r="BJ227" s="2">
        <v>165.95</v>
      </c>
      <c r="BK227" s="2" t="s">
        <v>805</v>
      </c>
      <c r="BL227" s="2">
        <v>37.24</v>
      </c>
      <c r="BM227" s="2" t="s">
        <v>805</v>
      </c>
      <c r="BN227" s="2">
        <v>43.88</v>
      </c>
      <c r="BO227" s="2" t="s">
        <v>805</v>
      </c>
      <c r="BP227" s="2">
        <v>18.670000000000002</v>
      </c>
      <c r="BQ227" s="2" t="s">
        <v>805</v>
      </c>
      <c r="BR227" s="2">
        <v>26.9</v>
      </c>
      <c r="BS227" s="2" t="s">
        <v>805</v>
      </c>
      <c r="BT227" s="2">
        <v>13.46</v>
      </c>
      <c r="BU227" s="2" t="s">
        <v>805</v>
      </c>
      <c r="BV227" s="2">
        <v>82173.210000000006</v>
      </c>
      <c r="BW227" s="2" t="s">
        <v>805</v>
      </c>
      <c r="BX227" s="2">
        <v>27.29</v>
      </c>
    </row>
    <row r="228" spans="1:76">
      <c r="A228" s="2" t="s">
        <v>1</v>
      </c>
      <c r="B228" s="2">
        <v>228</v>
      </c>
      <c r="C228" s="2" t="s">
        <v>806</v>
      </c>
      <c r="D228" s="2">
        <v>13.95</v>
      </c>
      <c r="E228" s="2" t="s">
        <v>806</v>
      </c>
      <c r="F228" s="2">
        <v>24.65</v>
      </c>
      <c r="G228" s="2" t="s">
        <v>806</v>
      </c>
      <c r="H228" s="2">
        <v>41.27</v>
      </c>
      <c r="I228" s="2" t="s">
        <v>806</v>
      </c>
      <c r="J228" s="2">
        <v>10.45</v>
      </c>
      <c r="K228" s="2" t="s">
        <v>806</v>
      </c>
      <c r="L228" s="2">
        <v>17.22</v>
      </c>
      <c r="M228" s="2" t="s">
        <v>806</v>
      </c>
      <c r="N228" s="2">
        <v>9.24</v>
      </c>
      <c r="O228" s="2" t="s">
        <v>806</v>
      </c>
      <c r="P228" s="2">
        <v>22.68</v>
      </c>
      <c r="Q228" s="2" t="s">
        <v>806</v>
      </c>
      <c r="R228" s="2">
        <v>16.34</v>
      </c>
      <c r="S228" s="2" t="s">
        <v>806</v>
      </c>
      <c r="T228" s="2">
        <v>16.739999999999998</v>
      </c>
      <c r="U228" s="2" t="s">
        <v>806</v>
      </c>
      <c r="V228" s="2">
        <v>5.15</v>
      </c>
      <c r="W228" s="2" t="s">
        <v>806</v>
      </c>
      <c r="X228" s="2">
        <v>95.29</v>
      </c>
      <c r="Y228" s="2" t="s">
        <v>806</v>
      </c>
      <c r="Z228" s="2">
        <v>28.15</v>
      </c>
      <c r="AA228" s="2" t="s">
        <v>807</v>
      </c>
      <c r="AB228" s="2">
        <v>20.420000000000002</v>
      </c>
      <c r="AC228" s="2" t="s">
        <v>806</v>
      </c>
      <c r="AD228" s="2" t="s">
        <v>61</v>
      </c>
      <c r="AE228" s="2" t="s">
        <v>806</v>
      </c>
      <c r="AF228" s="2">
        <v>23.61</v>
      </c>
      <c r="AG228" s="2" t="s">
        <v>806</v>
      </c>
      <c r="AH228" s="2">
        <v>50.1</v>
      </c>
      <c r="AI228" s="2" t="s">
        <v>806</v>
      </c>
      <c r="AJ228" s="2">
        <v>48.27</v>
      </c>
      <c r="AK228" s="2" t="s">
        <v>806</v>
      </c>
      <c r="AL228" s="2">
        <v>4.1900000000000004</v>
      </c>
      <c r="AM228" s="2" t="s">
        <v>806</v>
      </c>
      <c r="AN228" s="2">
        <v>84.2</v>
      </c>
      <c r="AO228" s="2" t="s">
        <v>806</v>
      </c>
      <c r="AP228" s="2">
        <v>103.59</v>
      </c>
      <c r="AQ228" s="2" t="s">
        <v>806</v>
      </c>
      <c r="AR228" s="2">
        <v>10.42</v>
      </c>
      <c r="AS228" s="2" t="s">
        <v>806</v>
      </c>
      <c r="AT228" s="2" t="s">
        <v>167</v>
      </c>
      <c r="AU228" s="2" t="s">
        <v>806</v>
      </c>
      <c r="AV228" s="2">
        <v>120.15</v>
      </c>
      <c r="AW228" s="2" t="s">
        <v>806</v>
      </c>
      <c r="AX228" s="2">
        <v>118.5</v>
      </c>
      <c r="AY228" s="2" t="s">
        <v>806</v>
      </c>
      <c r="AZ228" s="2">
        <v>3.23</v>
      </c>
      <c r="BA228" s="2" t="s">
        <v>806</v>
      </c>
      <c r="BB228" s="2">
        <v>180.2</v>
      </c>
      <c r="BC228" s="2" t="s">
        <v>806</v>
      </c>
      <c r="BD228" s="2">
        <v>13.9</v>
      </c>
      <c r="BE228" s="2" t="s">
        <v>806</v>
      </c>
      <c r="BF228" s="2">
        <v>20.14</v>
      </c>
      <c r="BG228" s="2" t="s">
        <v>806</v>
      </c>
      <c r="BH228" s="2">
        <v>35.64</v>
      </c>
      <c r="BI228" s="2" t="s">
        <v>806</v>
      </c>
      <c r="BJ228" s="2">
        <v>167.3</v>
      </c>
      <c r="BK228" s="2" t="s">
        <v>806</v>
      </c>
      <c r="BL228" s="2">
        <v>38.04</v>
      </c>
      <c r="BM228" s="2" t="s">
        <v>806</v>
      </c>
      <c r="BN228" s="2">
        <v>46.5</v>
      </c>
      <c r="BO228" s="2" t="s">
        <v>806</v>
      </c>
      <c r="BP228" s="2">
        <v>19.48</v>
      </c>
      <c r="BQ228" s="2" t="s">
        <v>806</v>
      </c>
      <c r="BR228" s="2">
        <v>28.98</v>
      </c>
      <c r="BS228" s="2" t="s">
        <v>806</v>
      </c>
      <c r="BT228" s="2">
        <v>13.5</v>
      </c>
      <c r="BU228" s="2" t="s">
        <v>806</v>
      </c>
      <c r="BV228" s="2">
        <v>85663.48</v>
      </c>
      <c r="BW228" s="2" t="s">
        <v>806</v>
      </c>
      <c r="BX228" s="2">
        <v>28.8</v>
      </c>
    </row>
    <row r="229" spans="1:76">
      <c r="A229" s="2" t="s">
        <v>1</v>
      </c>
      <c r="B229" s="2">
        <v>229</v>
      </c>
      <c r="C229" s="2" t="s">
        <v>807</v>
      </c>
      <c r="D229" s="2">
        <v>13.67</v>
      </c>
      <c r="E229" s="2" t="s">
        <v>807</v>
      </c>
      <c r="F229" s="2">
        <v>25.18</v>
      </c>
      <c r="G229" s="2" t="s">
        <v>807</v>
      </c>
      <c r="H229" s="2">
        <v>41.66</v>
      </c>
      <c r="I229" s="2" t="s">
        <v>807</v>
      </c>
      <c r="J229" s="2">
        <v>10.1</v>
      </c>
      <c r="K229" s="2" t="s">
        <v>807</v>
      </c>
      <c r="L229" s="2">
        <v>17.170000000000002</v>
      </c>
      <c r="M229" s="2" t="s">
        <v>807</v>
      </c>
      <c r="N229" s="2">
        <v>8.92</v>
      </c>
      <c r="O229" s="2" t="s">
        <v>807</v>
      </c>
      <c r="P229" s="2">
        <v>21.9</v>
      </c>
      <c r="Q229" s="2" t="s">
        <v>807</v>
      </c>
      <c r="R229" s="2">
        <v>16.7</v>
      </c>
      <c r="S229" s="2" t="s">
        <v>807</v>
      </c>
      <c r="T229" s="2">
        <v>16.329999999999998</v>
      </c>
      <c r="U229" s="2" t="s">
        <v>807</v>
      </c>
      <c r="V229" s="2">
        <v>5.1100000000000003</v>
      </c>
      <c r="W229" s="2" t="s">
        <v>807</v>
      </c>
      <c r="X229" s="2">
        <v>94.58</v>
      </c>
      <c r="Y229" s="2" t="s">
        <v>807</v>
      </c>
      <c r="Z229" s="2">
        <v>28.11</v>
      </c>
      <c r="AA229" s="2" t="s">
        <v>808</v>
      </c>
      <c r="AB229" s="2">
        <v>20.68</v>
      </c>
      <c r="AC229" s="2" t="s">
        <v>807</v>
      </c>
      <c r="AD229" s="2">
        <v>14.46</v>
      </c>
      <c r="AE229" s="2" t="s">
        <v>807</v>
      </c>
      <c r="AF229" s="2">
        <v>22.8</v>
      </c>
      <c r="AG229" s="2" t="s">
        <v>807</v>
      </c>
      <c r="AH229" s="2">
        <v>49.2</v>
      </c>
      <c r="AI229" s="2" t="s">
        <v>807</v>
      </c>
      <c r="AJ229" s="2">
        <v>48.68</v>
      </c>
      <c r="AK229" s="2" t="s">
        <v>807</v>
      </c>
      <c r="AL229" s="2">
        <v>4.21</v>
      </c>
      <c r="AM229" s="2" t="s">
        <v>807</v>
      </c>
      <c r="AN229" s="2">
        <v>84.17</v>
      </c>
      <c r="AO229" s="2" t="s">
        <v>807</v>
      </c>
      <c r="AP229" s="2">
        <v>103.6</v>
      </c>
      <c r="AQ229" s="2" t="s">
        <v>807</v>
      </c>
      <c r="AR229" s="2">
        <v>10.56</v>
      </c>
      <c r="AS229" s="2" t="s">
        <v>807</v>
      </c>
      <c r="AT229" s="2">
        <v>1214.99</v>
      </c>
      <c r="AU229" s="2" t="s">
        <v>807</v>
      </c>
      <c r="AV229" s="2">
        <v>119.07</v>
      </c>
      <c r="AW229" s="2" t="s">
        <v>807</v>
      </c>
      <c r="AX229" s="2">
        <v>120.01</v>
      </c>
      <c r="AY229" s="2" t="s">
        <v>807</v>
      </c>
      <c r="AZ229" s="2">
        <v>3.22</v>
      </c>
      <c r="BA229" s="2" t="s">
        <v>807</v>
      </c>
      <c r="BB229" s="2">
        <v>180.75</v>
      </c>
      <c r="BC229" s="2" t="s">
        <v>807</v>
      </c>
      <c r="BD229" s="2">
        <v>13.85</v>
      </c>
      <c r="BE229" s="2" t="s">
        <v>807</v>
      </c>
      <c r="BF229" s="2">
        <v>19.97</v>
      </c>
      <c r="BG229" s="2" t="s">
        <v>807</v>
      </c>
      <c r="BH229" s="2">
        <v>36.28</v>
      </c>
      <c r="BI229" s="2" t="s">
        <v>807</v>
      </c>
      <c r="BJ229" s="2">
        <v>167.7</v>
      </c>
      <c r="BK229" s="2" t="s">
        <v>807</v>
      </c>
      <c r="BL229" s="2">
        <v>40.42</v>
      </c>
      <c r="BM229" s="2" t="s">
        <v>807</v>
      </c>
      <c r="BN229" s="2">
        <v>46.5</v>
      </c>
      <c r="BO229" s="2" t="s">
        <v>807</v>
      </c>
      <c r="BP229" s="2">
        <v>19.670000000000002</v>
      </c>
      <c r="BQ229" s="2" t="s">
        <v>807</v>
      </c>
      <c r="BR229" s="2">
        <v>28.8</v>
      </c>
      <c r="BS229" s="2" t="s">
        <v>807</v>
      </c>
      <c r="BT229" s="2">
        <v>13.31</v>
      </c>
      <c r="BU229" s="2" t="s">
        <v>807</v>
      </c>
      <c r="BV229" s="2">
        <v>85468.91</v>
      </c>
      <c r="BW229" s="2" t="s">
        <v>807</v>
      </c>
      <c r="BX229" s="2">
        <v>28.99</v>
      </c>
    </row>
    <row r="230" spans="1:76">
      <c r="A230" s="2" t="s">
        <v>1</v>
      </c>
      <c r="B230" s="2">
        <v>230</v>
      </c>
      <c r="C230" s="2" t="s">
        <v>808</v>
      </c>
      <c r="D230" s="2">
        <v>13.98</v>
      </c>
      <c r="E230" s="2" t="s">
        <v>808</v>
      </c>
      <c r="F230" s="2">
        <v>25.3</v>
      </c>
      <c r="G230" s="2" t="s">
        <v>808</v>
      </c>
      <c r="H230" s="2">
        <v>41.64</v>
      </c>
      <c r="I230" s="2" t="s">
        <v>808</v>
      </c>
      <c r="J230" s="2">
        <v>10.4</v>
      </c>
      <c r="K230" s="2" t="s">
        <v>808</v>
      </c>
      <c r="L230" s="2">
        <v>17.3</v>
      </c>
      <c r="M230" s="2" t="s">
        <v>808</v>
      </c>
      <c r="N230" s="2">
        <v>9.11</v>
      </c>
      <c r="O230" s="2" t="s">
        <v>808</v>
      </c>
      <c r="P230" s="2">
        <v>22.74</v>
      </c>
      <c r="Q230" s="2" t="s">
        <v>808</v>
      </c>
      <c r="R230" s="2">
        <v>17.46</v>
      </c>
      <c r="S230" s="2" t="s">
        <v>808</v>
      </c>
      <c r="T230" s="2">
        <v>16.62</v>
      </c>
      <c r="U230" s="2" t="s">
        <v>808</v>
      </c>
      <c r="V230" s="2">
        <v>5.33</v>
      </c>
      <c r="W230" s="2" t="s">
        <v>808</v>
      </c>
      <c r="X230" s="2">
        <v>95.29</v>
      </c>
      <c r="Y230" s="2" t="s">
        <v>808</v>
      </c>
      <c r="Z230" s="2">
        <v>28.38</v>
      </c>
      <c r="AA230" s="2" t="s">
        <v>809</v>
      </c>
      <c r="AB230" s="2">
        <v>20.99</v>
      </c>
      <c r="AC230" s="2" t="s">
        <v>808</v>
      </c>
      <c r="AD230" s="2">
        <v>15.72</v>
      </c>
      <c r="AE230" s="2" t="s">
        <v>808</v>
      </c>
      <c r="AF230" s="2">
        <v>23.36</v>
      </c>
      <c r="AG230" s="2" t="s">
        <v>808</v>
      </c>
      <c r="AH230" s="2">
        <v>50.64</v>
      </c>
      <c r="AI230" s="2" t="s">
        <v>808</v>
      </c>
      <c r="AJ230" s="2">
        <v>48.57</v>
      </c>
      <c r="AK230" s="2" t="s">
        <v>808</v>
      </c>
      <c r="AL230" s="2">
        <v>4.7</v>
      </c>
      <c r="AM230" s="2" t="s">
        <v>808</v>
      </c>
      <c r="AN230" s="2">
        <v>84.2</v>
      </c>
      <c r="AO230" s="2" t="s">
        <v>808</v>
      </c>
      <c r="AP230" s="2">
        <v>103.5</v>
      </c>
      <c r="AQ230" s="2" t="s">
        <v>808</v>
      </c>
      <c r="AR230" s="2">
        <v>10.64</v>
      </c>
      <c r="AS230" s="2" t="s">
        <v>808</v>
      </c>
      <c r="AT230" s="2" t="s">
        <v>200</v>
      </c>
      <c r="AU230" s="2" t="s">
        <v>808</v>
      </c>
      <c r="AV230" s="2">
        <v>118.9</v>
      </c>
      <c r="AW230" s="2" t="s">
        <v>808</v>
      </c>
      <c r="AX230" s="2">
        <v>121.97</v>
      </c>
      <c r="AY230" s="2" t="s">
        <v>808</v>
      </c>
      <c r="AZ230" s="2">
        <v>3.2</v>
      </c>
      <c r="BA230" s="2" t="s">
        <v>808</v>
      </c>
      <c r="BB230" s="2">
        <v>177.97</v>
      </c>
      <c r="BC230" s="2" t="s">
        <v>808</v>
      </c>
      <c r="BD230" s="2">
        <v>15.12</v>
      </c>
      <c r="BE230" s="2" t="s">
        <v>808</v>
      </c>
      <c r="BF230" s="2">
        <v>20.16</v>
      </c>
      <c r="BG230" s="2" t="s">
        <v>808</v>
      </c>
      <c r="BH230" s="2">
        <v>37.299999999999997</v>
      </c>
      <c r="BI230" s="2" t="s">
        <v>808</v>
      </c>
      <c r="BJ230" s="2">
        <v>169.72</v>
      </c>
      <c r="BK230" s="2" t="s">
        <v>808</v>
      </c>
      <c r="BL230" s="2">
        <v>40.58</v>
      </c>
      <c r="BM230" s="2" t="s">
        <v>808</v>
      </c>
      <c r="BN230" s="2">
        <v>46.59</v>
      </c>
      <c r="BO230" s="2" t="s">
        <v>808</v>
      </c>
      <c r="BP230" s="2">
        <v>19.93</v>
      </c>
      <c r="BQ230" s="2" t="s">
        <v>808</v>
      </c>
      <c r="BR230" s="2">
        <v>29.75</v>
      </c>
      <c r="BS230" s="2" t="s">
        <v>808</v>
      </c>
      <c r="BT230" s="2">
        <v>13.6</v>
      </c>
      <c r="BU230" s="2" t="s">
        <v>808</v>
      </c>
      <c r="BV230" s="2">
        <v>87946.25</v>
      </c>
      <c r="BW230" s="2" t="s">
        <v>808</v>
      </c>
      <c r="BX230" s="2">
        <v>29.2</v>
      </c>
    </row>
    <row r="231" spans="1:76">
      <c r="A231" s="2" t="s">
        <v>1</v>
      </c>
      <c r="B231" s="2">
        <v>231</v>
      </c>
      <c r="C231" s="2" t="s">
        <v>809</v>
      </c>
      <c r="D231" s="2" t="s">
        <v>89</v>
      </c>
      <c r="E231" s="2" t="s">
        <v>809</v>
      </c>
      <c r="F231" s="2">
        <v>25.61</v>
      </c>
      <c r="G231" s="2" t="s">
        <v>809</v>
      </c>
      <c r="H231" s="2">
        <v>42.27</v>
      </c>
      <c r="I231" s="2" t="s">
        <v>809</v>
      </c>
      <c r="J231" s="2">
        <v>10.7</v>
      </c>
      <c r="K231" s="2" t="s">
        <v>809</v>
      </c>
      <c r="L231" s="2">
        <v>17.41</v>
      </c>
      <c r="M231" s="2" t="s">
        <v>809</v>
      </c>
      <c r="N231" s="2" t="s">
        <v>43</v>
      </c>
      <c r="O231" s="2" t="s">
        <v>809</v>
      </c>
      <c r="P231" s="2">
        <v>22.22</v>
      </c>
      <c r="Q231" s="2" t="s">
        <v>809</v>
      </c>
      <c r="R231" s="2">
        <v>18.059999999999999</v>
      </c>
      <c r="S231" s="2" t="s">
        <v>809</v>
      </c>
      <c r="T231" s="2">
        <v>15.75</v>
      </c>
      <c r="U231" s="2" t="s">
        <v>809</v>
      </c>
      <c r="V231" s="2">
        <v>5.37</v>
      </c>
      <c r="W231" s="2" t="s">
        <v>809</v>
      </c>
      <c r="X231" s="2">
        <v>95.2</v>
      </c>
      <c r="Y231" s="2" t="s">
        <v>809</v>
      </c>
      <c r="Z231" s="2">
        <v>28.5</v>
      </c>
      <c r="AA231" s="2" t="s">
        <v>810</v>
      </c>
      <c r="AB231" s="2">
        <v>20.8</v>
      </c>
      <c r="AC231" s="2" t="s">
        <v>809</v>
      </c>
      <c r="AD231" s="2">
        <v>15.67</v>
      </c>
      <c r="AE231" s="2" t="s">
        <v>809</v>
      </c>
      <c r="AF231" s="2">
        <v>23.32</v>
      </c>
      <c r="AG231" s="2" t="s">
        <v>809</v>
      </c>
      <c r="AH231" s="2">
        <v>50.09</v>
      </c>
      <c r="AI231" s="2" t="s">
        <v>809</v>
      </c>
      <c r="AJ231" s="2">
        <v>48.04</v>
      </c>
      <c r="AK231" s="2" t="s">
        <v>809</v>
      </c>
      <c r="AL231" s="2">
        <v>4.4000000000000004</v>
      </c>
      <c r="AM231" s="2" t="s">
        <v>809</v>
      </c>
      <c r="AN231" s="2">
        <v>83.7</v>
      </c>
      <c r="AO231" s="2" t="s">
        <v>809</v>
      </c>
      <c r="AP231" s="2">
        <v>103.58</v>
      </c>
      <c r="AQ231" s="2" t="s">
        <v>809</v>
      </c>
      <c r="AR231" s="2">
        <v>10.81</v>
      </c>
      <c r="AS231" s="2" t="s">
        <v>809</v>
      </c>
      <c r="AT231" s="2">
        <v>1231.99</v>
      </c>
      <c r="AU231" s="2" t="s">
        <v>809</v>
      </c>
      <c r="AV231" s="2" t="s">
        <v>102</v>
      </c>
      <c r="AW231" s="2" t="s">
        <v>809</v>
      </c>
      <c r="AX231" s="2">
        <v>121.5</v>
      </c>
      <c r="AY231" s="2" t="s">
        <v>809</v>
      </c>
      <c r="AZ231" s="2">
        <v>3.2</v>
      </c>
      <c r="BA231" s="2" t="s">
        <v>809</v>
      </c>
      <c r="BB231" s="2" t="s">
        <v>451</v>
      </c>
      <c r="BC231" s="2" t="s">
        <v>809</v>
      </c>
      <c r="BD231" s="2">
        <v>14.52</v>
      </c>
      <c r="BE231" s="2" t="s">
        <v>809</v>
      </c>
      <c r="BF231" s="2">
        <v>19.7</v>
      </c>
      <c r="BG231" s="2" t="s">
        <v>809</v>
      </c>
      <c r="BH231" s="2">
        <v>36.46</v>
      </c>
      <c r="BI231" s="2" t="s">
        <v>809</v>
      </c>
      <c r="BJ231" s="2" t="s">
        <v>370</v>
      </c>
      <c r="BK231" s="2" t="s">
        <v>809</v>
      </c>
      <c r="BL231" s="2">
        <v>40.68</v>
      </c>
      <c r="BM231" s="2" t="s">
        <v>809</v>
      </c>
      <c r="BN231" s="2">
        <v>45.95</v>
      </c>
      <c r="BO231" s="2" t="s">
        <v>809</v>
      </c>
      <c r="BP231" s="2">
        <v>19.77</v>
      </c>
      <c r="BQ231" s="2" t="s">
        <v>809</v>
      </c>
      <c r="BR231" s="2">
        <v>29.23</v>
      </c>
      <c r="BS231" s="2" t="s">
        <v>809</v>
      </c>
      <c r="BT231" s="2">
        <v>13.66</v>
      </c>
      <c r="BU231" s="2" t="s">
        <v>809</v>
      </c>
      <c r="BV231" s="2">
        <v>86949.09</v>
      </c>
      <c r="BW231" s="2" t="s">
        <v>809</v>
      </c>
      <c r="BX231" s="2">
        <v>28.98</v>
      </c>
    </row>
    <row r="232" spans="1:76">
      <c r="A232" s="2" t="s">
        <v>1</v>
      </c>
      <c r="B232" s="2">
        <v>232</v>
      </c>
      <c r="C232" s="2" t="s">
        <v>810</v>
      </c>
      <c r="D232" s="2" t="s">
        <v>89</v>
      </c>
      <c r="E232" s="2" t="s">
        <v>810</v>
      </c>
      <c r="F232" s="2">
        <v>25.28</v>
      </c>
      <c r="G232" s="2" t="s">
        <v>810</v>
      </c>
      <c r="H232" s="2">
        <v>42.41</v>
      </c>
      <c r="I232" s="2" t="s">
        <v>810</v>
      </c>
      <c r="J232" s="2">
        <v>10.1</v>
      </c>
      <c r="K232" s="2" t="s">
        <v>810</v>
      </c>
      <c r="L232" s="2">
        <v>17.670000000000002</v>
      </c>
      <c r="M232" s="2" t="s">
        <v>810</v>
      </c>
      <c r="N232" s="2">
        <v>8.86</v>
      </c>
      <c r="O232" s="2" t="s">
        <v>810</v>
      </c>
      <c r="P232" s="2">
        <v>21.94</v>
      </c>
      <c r="Q232" s="2" t="s">
        <v>810</v>
      </c>
      <c r="R232" s="2">
        <v>17.77</v>
      </c>
      <c r="S232" s="2" t="s">
        <v>810</v>
      </c>
      <c r="T232" s="2">
        <v>15.17</v>
      </c>
      <c r="U232" s="2" t="s">
        <v>810</v>
      </c>
      <c r="V232" s="2">
        <v>5.32</v>
      </c>
      <c r="W232" s="2" t="s">
        <v>810</v>
      </c>
      <c r="X232" s="2" t="s">
        <v>50</v>
      </c>
      <c r="Y232" s="2" t="s">
        <v>810</v>
      </c>
      <c r="Z232" s="2">
        <v>28.54</v>
      </c>
      <c r="AA232" s="2" t="s">
        <v>811</v>
      </c>
      <c r="AB232" s="2" t="s">
        <v>68</v>
      </c>
      <c r="AC232" s="2" t="s">
        <v>810</v>
      </c>
      <c r="AD232" s="2">
        <v>15.17</v>
      </c>
      <c r="AE232" s="2" t="s">
        <v>810</v>
      </c>
      <c r="AF232" s="2">
        <v>22.69</v>
      </c>
      <c r="AG232" s="2" t="s">
        <v>810</v>
      </c>
      <c r="AH232" s="2" t="s">
        <v>463</v>
      </c>
      <c r="AI232" s="2" t="s">
        <v>810</v>
      </c>
      <c r="AJ232" s="2">
        <v>46.82</v>
      </c>
      <c r="AK232" s="2" t="s">
        <v>810</v>
      </c>
      <c r="AL232" s="2">
        <v>4.17</v>
      </c>
      <c r="AM232" s="2" t="s">
        <v>810</v>
      </c>
      <c r="AN232" s="2">
        <v>84.09</v>
      </c>
      <c r="AO232" s="2" t="s">
        <v>810</v>
      </c>
      <c r="AP232" s="2">
        <v>103.6</v>
      </c>
      <c r="AQ232" s="2" t="s">
        <v>810</v>
      </c>
      <c r="AR232" s="2">
        <v>10.83</v>
      </c>
      <c r="AS232" s="2" t="s">
        <v>810</v>
      </c>
      <c r="AT232" s="2" t="s">
        <v>812</v>
      </c>
      <c r="AU232" s="2" t="s">
        <v>810</v>
      </c>
      <c r="AV232" s="2">
        <v>120.99</v>
      </c>
      <c r="AW232" s="2" t="s">
        <v>810</v>
      </c>
      <c r="AX232" s="2">
        <v>123.78</v>
      </c>
      <c r="AY232" s="2" t="s">
        <v>810</v>
      </c>
      <c r="AZ232" s="2">
        <v>3.2</v>
      </c>
      <c r="BA232" s="2" t="s">
        <v>810</v>
      </c>
      <c r="BB232" s="2">
        <v>181.95</v>
      </c>
      <c r="BC232" s="2" t="s">
        <v>810</v>
      </c>
      <c r="BD232" s="2">
        <v>14.79</v>
      </c>
      <c r="BE232" s="2" t="s">
        <v>810</v>
      </c>
      <c r="BF232" s="2">
        <v>19.61</v>
      </c>
      <c r="BG232" s="2" t="s">
        <v>810</v>
      </c>
      <c r="BH232" s="2">
        <v>36.130000000000003</v>
      </c>
      <c r="BI232" s="2" t="s">
        <v>810</v>
      </c>
      <c r="BJ232" s="2">
        <v>172.39</v>
      </c>
      <c r="BK232" s="2" t="s">
        <v>810</v>
      </c>
      <c r="BL232" s="2">
        <v>41.83</v>
      </c>
      <c r="BM232" s="2" t="s">
        <v>810</v>
      </c>
      <c r="BN232" s="2">
        <v>45.55</v>
      </c>
      <c r="BO232" s="2" t="s">
        <v>810</v>
      </c>
      <c r="BP232" s="2">
        <v>20.34</v>
      </c>
      <c r="BQ232" s="2" t="s">
        <v>810</v>
      </c>
      <c r="BR232" s="2">
        <v>30.98</v>
      </c>
      <c r="BS232" s="2" t="s">
        <v>810</v>
      </c>
      <c r="BT232" s="2">
        <v>13.57</v>
      </c>
      <c r="BU232" s="2" t="s">
        <v>810</v>
      </c>
      <c r="BV232" s="2">
        <v>87402.59</v>
      </c>
      <c r="BW232" s="2" t="s">
        <v>810</v>
      </c>
      <c r="BX232" s="2">
        <v>28.57</v>
      </c>
    </row>
    <row r="233" spans="1:76">
      <c r="A233" s="2" t="s">
        <v>1</v>
      </c>
      <c r="B233" s="2">
        <v>233</v>
      </c>
      <c r="C233" s="2" t="s">
        <v>811</v>
      </c>
      <c r="D233" s="2">
        <v>14.05</v>
      </c>
      <c r="E233" s="2" t="s">
        <v>811</v>
      </c>
      <c r="F233" s="2">
        <v>25.65</v>
      </c>
      <c r="G233" s="2" t="s">
        <v>811</v>
      </c>
      <c r="H233" s="2">
        <v>41.59</v>
      </c>
      <c r="I233" s="2" t="s">
        <v>811</v>
      </c>
      <c r="J233" s="2">
        <v>10.51</v>
      </c>
      <c r="K233" s="2" t="s">
        <v>811</v>
      </c>
      <c r="L233" s="2">
        <v>17.57</v>
      </c>
      <c r="M233" s="2" t="s">
        <v>811</v>
      </c>
      <c r="N233" s="2">
        <v>9.07</v>
      </c>
      <c r="O233" s="2" t="s">
        <v>811</v>
      </c>
      <c r="P233" s="2">
        <v>22.55</v>
      </c>
      <c r="Q233" s="2" t="s">
        <v>811</v>
      </c>
      <c r="R233" s="2">
        <v>18.37</v>
      </c>
      <c r="S233" s="2" t="s">
        <v>811</v>
      </c>
      <c r="T233" s="2">
        <v>15.79</v>
      </c>
      <c r="U233" s="2" t="s">
        <v>811</v>
      </c>
      <c r="V233" s="2">
        <v>5.48</v>
      </c>
      <c r="W233" s="2" t="s">
        <v>811</v>
      </c>
      <c r="X233" s="2">
        <v>92.26</v>
      </c>
      <c r="Y233" s="2" t="s">
        <v>811</v>
      </c>
      <c r="Z233" s="2">
        <v>28.89</v>
      </c>
      <c r="AA233" s="2" t="s">
        <v>813</v>
      </c>
      <c r="AB233" s="2">
        <v>21.26</v>
      </c>
      <c r="AC233" s="2" t="s">
        <v>811</v>
      </c>
      <c r="AD233" s="2">
        <v>15.51</v>
      </c>
      <c r="AE233" s="2" t="s">
        <v>811</v>
      </c>
      <c r="AF233" s="2">
        <v>22.97</v>
      </c>
      <c r="AG233" s="2" t="s">
        <v>811</v>
      </c>
      <c r="AH233" s="2">
        <v>53.42</v>
      </c>
      <c r="AI233" s="2" t="s">
        <v>811</v>
      </c>
      <c r="AJ233" s="2">
        <v>47.66</v>
      </c>
      <c r="AK233" s="2" t="s">
        <v>811</v>
      </c>
      <c r="AL233" s="2">
        <v>4.45</v>
      </c>
      <c r="AM233" s="2" t="s">
        <v>811</v>
      </c>
      <c r="AN233" s="2">
        <v>84.82</v>
      </c>
      <c r="AO233" s="2" t="s">
        <v>811</v>
      </c>
      <c r="AP233" s="2" t="s">
        <v>74</v>
      </c>
      <c r="AQ233" s="2" t="s">
        <v>811</v>
      </c>
      <c r="AR233" s="2">
        <v>10.74</v>
      </c>
      <c r="AS233" s="2" t="s">
        <v>811</v>
      </c>
      <c r="AT233" s="2">
        <v>1248.5</v>
      </c>
      <c r="AU233" s="2" t="s">
        <v>811</v>
      </c>
      <c r="AV233" s="2" t="s">
        <v>111</v>
      </c>
      <c r="AW233" s="2" t="s">
        <v>811</v>
      </c>
      <c r="AX233" s="2">
        <v>122.37</v>
      </c>
      <c r="AY233" s="2" t="s">
        <v>811</v>
      </c>
      <c r="AZ233" s="2">
        <v>3.18</v>
      </c>
      <c r="BA233" s="2" t="s">
        <v>811</v>
      </c>
      <c r="BB233" s="2">
        <v>183.4</v>
      </c>
      <c r="BC233" s="2" t="s">
        <v>811</v>
      </c>
      <c r="BD233" s="2">
        <v>14.95</v>
      </c>
      <c r="BE233" s="2" t="s">
        <v>811</v>
      </c>
      <c r="BF233" s="2">
        <v>19.95</v>
      </c>
      <c r="BG233" s="2" t="s">
        <v>811</v>
      </c>
      <c r="BH233" s="2">
        <v>37.22</v>
      </c>
      <c r="BI233" s="2" t="s">
        <v>811</v>
      </c>
      <c r="BJ233" s="2">
        <v>170.5</v>
      </c>
      <c r="BK233" s="2" t="s">
        <v>811</v>
      </c>
      <c r="BL233" s="2">
        <v>42.16</v>
      </c>
      <c r="BM233" s="2" t="s">
        <v>811</v>
      </c>
      <c r="BN233" s="2">
        <v>45.53</v>
      </c>
      <c r="BO233" s="2" t="s">
        <v>811</v>
      </c>
      <c r="BP233" s="2">
        <v>20.329999999999998</v>
      </c>
      <c r="BQ233" s="2" t="s">
        <v>811</v>
      </c>
      <c r="BR233" s="2">
        <v>31.29</v>
      </c>
      <c r="BS233" s="2" t="s">
        <v>811</v>
      </c>
      <c r="BT233" s="2">
        <v>13.74</v>
      </c>
      <c r="BU233" s="2" t="s">
        <v>811</v>
      </c>
      <c r="BV233" s="2">
        <v>88620.1</v>
      </c>
      <c r="BW233" s="2" t="s">
        <v>811</v>
      </c>
      <c r="BX233" s="2">
        <v>28.78</v>
      </c>
    </row>
    <row r="234" spans="1:76">
      <c r="A234" s="2" t="s">
        <v>1</v>
      </c>
      <c r="B234" s="2">
        <v>234</v>
      </c>
      <c r="C234" s="2" t="s">
        <v>813</v>
      </c>
      <c r="D234" s="2">
        <v>14.02</v>
      </c>
      <c r="E234" s="2" t="s">
        <v>813</v>
      </c>
      <c r="F234" s="2">
        <v>26.51</v>
      </c>
      <c r="G234" s="2" t="s">
        <v>813</v>
      </c>
      <c r="H234" s="2">
        <v>42.09</v>
      </c>
      <c r="I234" s="2" t="s">
        <v>813</v>
      </c>
      <c r="J234" s="2">
        <v>10.66</v>
      </c>
      <c r="K234" s="2" t="s">
        <v>813</v>
      </c>
      <c r="L234" s="2">
        <v>17.95</v>
      </c>
      <c r="M234" s="2" t="s">
        <v>813</v>
      </c>
      <c r="N234" s="2">
        <v>9.5399999999999991</v>
      </c>
      <c r="O234" s="2" t="s">
        <v>813</v>
      </c>
      <c r="P234" s="2">
        <v>23.74</v>
      </c>
      <c r="Q234" s="2" t="s">
        <v>813</v>
      </c>
      <c r="R234" s="2">
        <v>19.3</v>
      </c>
      <c r="S234" s="2" t="s">
        <v>813</v>
      </c>
      <c r="T234" s="2">
        <v>16.649999999999999</v>
      </c>
      <c r="U234" s="2" t="s">
        <v>813</v>
      </c>
      <c r="V234" s="2">
        <v>5.73</v>
      </c>
      <c r="W234" s="2" t="s">
        <v>813</v>
      </c>
      <c r="X234" s="2">
        <v>92.5</v>
      </c>
      <c r="Y234" s="2" t="s">
        <v>813</v>
      </c>
      <c r="Z234" s="2">
        <v>28.97</v>
      </c>
      <c r="AA234" s="2" t="s">
        <v>814</v>
      </c>
      <c r="AB234" s="2">
        <v>20.43</v>
      </c>
      <c r="AC234" s="2" t="s">
        <v>813</v>
      </c>
      <c r="AD234" s="2">
        <v>16.809999999999999</v>
      </c>
      <c r="AE234" s="2" t="s">
        <v>813</v>
      </c>
      <c r="AF234" s="2">
        <v>23.52</v>
      </c>
      <c r="AG234" s="2" t="s">
        <v>813</v>
      </c>
      <c r="AH234" s="2">
        <v>53.42</v>
      </c>
      <c r="AI234" s="2" t="s">
        <v>813</v>
      </c>
      <c r="AJ234" s="2">
        <v>48.18</v>
      </c>
      <c r="AK234" s="2" t="s">
        <v>813</v>
      </c>
      <c r="AL234" s="2">
        <v>4.62</v>
      </c>
      <c r="AM234" s="2" t="s">
        <v>813</v>
      </c>
      <c r="AN234" s="2">
        <v>85.95</v>
      </c>
      <c r="AO234" s="2" t="s">
        <v>813</v>
      </c>
      <c r="AP234" s="2">
        <v>103.67</v>
      </c>
      <c r="AQ234" s="2" t="s">
        <v>813</v>
      </c>
      <c r="AR234" s="2">
        <v>10.87</v>
      </c>
      <c r="AS234" s="2" t="s">
        <v>813</v>
      </c>
      <c r="AT234" s="2" t="s">
        <v>198</v>
      </c>
      <c r="AU234" s="2" t="s">
        <v>813</v>
      </c>
      <c r="AV234" s="2">
        <v>121.55</v>
      </c>
      <c r="AW234" s="2" t="s">
        <v>813</v>
      </c>
      <c r="AX234" s="2">
        <v>122.75</v>
      </c>
      <c r="AY234" s="2" t="s">
        <v>813</v>
      </c>
      <c r="AZ234" s="2">
        <v>3.21</v>
      </c>
      <c r="BA234" s="2" t="s">
        <v>813</v>
      </c>
      <c r="BB234" s="2">
        <v>188.31</v>
      </c>
      <c r="BC234" s="2" t="s">
        <v>813</v>
      </c>
      <c r="BD234" s="2">
        <v>15.11</v>
      </c>
      <c r="BE234" s="2" t="s">
        <v>813</v>
      </c>
      <c r="BF234" s="2">
        <v>20.52</v>
      </c>
      <c r="BG234" s="2" t="s">
        <v>813</v>
      </c>
      <c r="BH234" s="2">
        <v>37.31</v>
      </c>
      <c r="BI234" s="2" t="s">
        <v>813</v>
      </c>
      <c r="BJ234" s="2">
        <v>171.19</v>
      </c>
      <c r="BK234" s="2" t="s">
        <v>813</v>
      </c>
      <c r="BL234" s="2">
        <v>42.42</v>
      </c>
      <c r="BM234" s="2" t="s">
        <v>813</v>
      </c>
      <c r="BN234" s="2">
        <v>46.46</v>
      </c>
      <c r="BO234" s="2" t="s">
        <v>813</v>
      </c>
      <c r="BP234" s="2">
        <v>21.4</v>
      </c>
      <c r="BQ234" s="2" t="s">
        <v>813</v>
      </c>
      <c r="BR234" s="2">
        <v>33.590000000000003</v>
      </c>
      <c r="BS234" s="2" t="s">
        <v>813</v>
      </c>
      <c r="BT234" s="2">
        <v>13.84</v>
      </c>
      <c r="BU234" s="2" t="s">
        <v>813</v>
      </c>
      <c r="BV234" s="2">
        <v>91046.38</v>
      </c>
      <c r="BW234" s="2" t="s">
        <v>813</v>
      </c>
      <c r="BX234" s="2">
        <v>28.55</v>
      </c>
    </row>
    <row r="235" spans="1:76">
      <c r="A235" s="2" t="s">
        <v>1</v>
      </c>
      <c r="B235" s="2">
        <v>235</v>
      </c>
      <c r="C235" s="2" t="s">
        <v>814</v>
      </c>
      <c r="D235" s="2">
        <v>14.44</v>
      </c>
      <c r="E235" s="2" t="s">
        <v>814</v>
      </c>
      <c r="F235" s="2">
        <v>27.89</v>
      </c>
      <c r="G235" s="2" t="s">
        <v>814</v>
      </c>
      <c r="H235" s="2">
        <v>42.89</v>
      </c>
      <c r="I235" s="2" t="s">
        <v>814</v>
      </c>
      <c r="J235" s="2">
        <v>10.98</v>
      </c>
      <c r="K235" s="2" t="s">
        <v>814</v>
      </c>
      <c r="L235" s="2">
        <v>17.97</v>
      </c>
      <c r="M235" s="2" t="s">
        <v>814</v>
      </c>
      <c r="N235" s="2">
        <v>9.81</v>
      </c>
      <c r="O235" s="2" t="s">
        <v>814</v>
      </c>
      <c r="P235" s="2">
        <v>24.5</v>
      </c>
      <c r="Q235" s="2" t="s">
        <v>814</v>
      </c>
      <c r="R235" s="2">
        <v>19.48</v>
      </c>
      <c r="S235" s="2" t="s">
        <v>814</v>
      </c>
      <c r="T235" s="2">
        <v>17.579999999999998</v>
      </c>
      <c r="U235" s="2" t="s">
        <v>814</v>
      </c>
      <c r="V235" s="2">
        <v>5.88</v>
      </c>
      <c r="W235" s="2" t="s">
        <v>814</v>
      </c>
      <c r="X235" s="2">
        <v>93.6</v>
      </c>
      <c r="Y235" s="2" t="s">
        <v>814</v>
      </c>
      <c r="Z235" s="2">
        <v>28.47</v>
      </c>
      <c r="AA235" s="2" t="s">
        <v>816</v>
      </c>
      <c r="AB235" s="2">
        <v>20.350000000000001</v>
      </c>
      <c r="AC235" s="2" t="s">
        <v>814</v>
      </c>
      <c r="AD235" s="2">
        <v>17.29</v>
      </c>
      <c r="AE235" s="2" t="s">
        <v>814</v>
      </c>
      <c r="AF235" s="2">
        <v>24.5</v>
      </c>
      <c r="AG235" s="2" t="s">
        <v>814</v>
      </c>
      <c r="AH235" s="2">
        <v>53.66</v>
      </c>
      <c r="AI235" s="2" t="s">
        <v>814</v>
      </c>
      <c r="AJ235" s="2" t="s">
        <v>134</v>
      </c>
      <c r="AK235" s="2" t="s">
        <v>814</v>
      </c>
      <c r="AL235" s="2">
        <v>5.03</v>
      </c>
      <c r="AM235" s="2" t="s">
        <v>814</v>
      </c>
      <c r="AN235" s="2">
        <v>88.7</v>
      </c>
      <c r="AO235" s="2" t="s">
        <v>814</v>
      </c>
      <c r="AP235" s="2">
        <v>105.05</v>
      </c>
      <c r="AQ235" s="2" t="s">
        <v>814</v>
      </c>
      <c r="AR235" s="2">
        <v>10.91</v>
      </c>
      <c r="AS235" s="2" t="s">
        <v>814</v>
      </c>
      <c r="AT235" s="2" t="s">
        <v>194</v>
      </c>
      <c r="AU235" s="2" t="s">
        <v>814</v>
      </c>
      <c r="AV235" s="2">
        <v>123.97</v>
      </c>
      <c r="AW235" s="2" t="s">
        <v>814</v>
      </c>
      <c r="AX235" s="2">
        <v>123.1</v>
      </c>
      <c r="AY235" s="2" t="s">
        <v>814</v>
      </c>
      <c r="AZ235" s="2">
        <v>3.24</v>
      </c>
      <c r="BA235" s="2" t="s">
        <v>814</v>
      </c>
      <c r="BB235" s="2">
        <v>187.38</v>
      </c>
      <c r="BC235" s="2" t="s">
        <v>814</v>
      </c>
      <c r="BD235" s="2">
        <v>16.53</v>
      </c>
      <c r="BE235" s="2" t="s">
        <v>814</v>
      </c>
      <c r="BF235" s="2">
        <v>20.68</v>
      </c>
      <c r="BG235" s="2" t="s">
        <v>814</v>
      </c>
      <c r="BH235" s="2">
        <v>38.659999999999997</v>
      </c>
      <c r="BI235" s="2" t="s">
        <v>814</v>
      </c>
      <c r="BJ235" s="2">
        <v>172.48</v>
      </c>
      <c r="BK235" s="2" t="s">
        <v>814</v>
      </c>
      <c r="BL235" s="2">
        <v>42.6</v>
      </c>
      <c r="BM235" s="2" t="s">
        <v>814</v>
      </c>
      <c r="BN235" s="2">
        <v>48.82</v>
      </c>
      <c r="BO235" s="2" t="s">
        <v>814</v>
      </c>
      <c r="BP235" s="2">
        <v>21.47</v>
      </c>
      <c r="BQ235" s="2" t="s">
        <v>814</v>
      </c>
      <c r="BR235" s="2">
        <v>32.479999999999997</v>
      </c>
      <c r="BS235" s="2" t="s">
        <v>814</v>
      </c>
      <c r="BT235" s="2">
        <v>14.3</v>
      </c>
      <c r="BU235" s="2" t="s">
        <v>814</v>
      </c>
      <c r="BV235" s="2">
        <v>93002.14</v>
      </c>
      <c r="BW235" s="2" t="s">
        <v>814</v>
      </c>
      <c r="BX235" s="2">
        <v>28.89</v>
      </c>
    </row>
    <row r="236" spans="1:76">
      <c r="A236" s="2" t="s">
        <v>1</v>
      </c>
      <c r="B236" s="2">
        <v>236</v>
      </c>
      <c r="C236" s="2" t="s">
        <v>816</v>
      </c>
      <c r="D236" s="2">
        <v>14.75</v>
      </c>
      <c r="E236" s="2" t="s">
        <v>816</v>
      </c>
      <c r="F236" s="2">
        <v>28.05</v>
      </c>
      <c r="G236" s="2" t="s">
        <v>816</v>
      </c>
      <c r="H236" s="2">
        <v>42.7</v>
      </c>
      <c r="I236" s="2" t="s">
        <v>816</v>
      </c>
      <c r="J236" s="2">
        <v>10.75</v>
      </c>
      <c r="K236" s="2" t="s">
        <v>816</v>
      </c>
      <c r="L236" s="2">
        <v>17.72</v>
      </c>
      <c r="M236" s="2" t="s">
        <v>816</v>
      </c>
      <c r="N236" s="2">
        <v>9.92</v>
      </c>
      <c r="O236" s="2" t="s">
        <v>816</v>
      </c>
      <c r="P236" s="2">
        <v>25.2</v>
      </c>
      <c r="Q236" s="2" t="s">
        <v>816</v>
      </c>
      <c r="R236" s="2">
        <v>19.989999999999998</v>
      </c>
      <c r="S236" s="2" t="s">
        <v>816</v>
      </c>
      <c r="T236" s="2">
        <v>17.18</v>
      </c>
      <c r="U236" s="2" t="s">
        <v>816</v>
      </c>
      <c r="V236" s="2">
        <v>5.77</v>
      </c>
      <c r="W236" s="2" t="s">
        <v>816</v>
      </c>
      <c r="X236" s="2">
        <v>93.8</v>
      </c>
      <c r="Y236" s="2" t="s">
        <v>816</v>
      </c>
      <c r="Z236" s="2">
        <v>28.26</v>
      </c>
      <c r="AA236" s="2" t="s">
        <v>818</v>
      </c>
      <c r="AB236" s="2">
        <v>20.440000000000001</v>
      </c>
      <c r="AC236" s="2" t="s">
        <v>816</v>
      </c>
      <c r="AD236" s="2">
        <v>17.23</v>
      </c>
      <c r="AE236" s="2" t="s">
        <v>816</v>
      </c>
      <c r="AF236" s="2">
        <v>24.9</v>
      </c>
      <c r="AG236" s="2" t="s">
        <v>816</v>
      </c>
      <c r="AH236" s="2">
        <v>55.66</v>
      </c>
      <c r="AI236" s="2" t="s">
        <v>816</v>
      </c>
      <c r="AJ236" s="2">
        <v>47.39</v>
      </c>
      <c r="AK236" s="2" t="s">
        <v>816</v>
      </c>
      <c r="AL236" s="2">
        <v>5.04</v>
      </c>
      <c r="AM236" s="2" t="s">
        <v>816</v>
      </c>
      <c r="AN236" s="2">
        <v>89.9</v>
      </c>
      <c r="AO236" s="2" t="s">
        <v>816</v>
      </c>
      <c r="AP236" s="2">
        <v>105.98</v>
      </c>
      <c r="AQ236" s="2" t="s">
        <v>816</v>
      </c>
      <c r="AR236" s="2">
        <v>10.95</v>
      </c>
      <c r="AS236" s="2" t="s">
        <v>816</v>
      </c>
      <c r="AT236" s="2" t="s">
        <v>820</v>
      </c>
      <c r="AU236" s="2" t="s">
        <v>816</v>
      </c>
      <c r="AV236" s="2">
        <v>124.37</v>
      </c>
      <c r="AW236" s="2" t="s">
        <v>816</v>
      </c>
      <c r="AX236" s="2">
        <v>123.48</v>
      </c>
      <c r="AY236" s="2" t="s">
        <v>816</v>
      </c>
      <c r="AZ236" s="2">
        <v>3.35</v>
      </c>
      <c r="BA236" s="2" t="s">
        <v>816</v>
      </c>
      <c r="BB236" s="2">
        <v>187.3</v>
      </c>
      <c r="BC236" s="2" t="s">
        <v>816</v>
      </c>
      <c r="BD236" s="2">
        <v>16.600000000000001</v>
      </c>
      <c r="BE236" s="2" t="s">
        <v>816</v>
      </c>
      <c r="BF236" s="2">
        <v>20.39</v>
      </c>
      <c r="BG236" s="2" t="s">
        <v>816</v>
      </c>
      <c r="BH236" s="2" t="s">
        <v>367</v>
      </c>
      <c r="BI236" s="2" t="s">
        <v>816</v>
      </c>
      <c r="BJ236" s="2" t="s">
        <v>389</v>
      </c>
      <c r="BK236" s="2" t="s">
        <v>816</v>
      </c>
      <c r="BL236" s="2">
        <v>43.8</v>
      </c>
      <c r="BM236" s="2" t="s">
        <v>816</v>
      </c>
      <c r="BN236" s="2">
        <v>49.58</v>
      </c>
      <c r="BO236" s="2" t="s">
        <v>816</v>
      </c>
      <c r="BP236" s="2">
        <v>21.43</v>
      </c>
      <c r="BQ236" s="2" t="s">
        <v>816</v>
      </c>
      <c r="BR236" s="2">
        <v>33.92</v>
      </c>
      <c r="BS236" s="2" t="s">
        <v>816</v>
      </c>
      <c r="BT236" s="2">
        <v>14.26</v>
      </c>
      <c r="BU236" s="2" t="s">
        <v>816</v>
      </c>
      <c r="BV236" s="2">
        <v>93828.61</v>
      </c>
      <c r="BW236" s="2" t="s">
        <v>816</v>
      </c>
      <c r="BX236" s="2">
        <v>28.74</v>
      </c>
    </row>
    <row r="237" spans="1:76">
      <c r="A237" s="2" t="s">
        <v>1</v>
      </c>
      <c r="B237" s="2">
        <v>237</v>
      </c>
      <c r="C237" s="2" t="s">
        <v>818</v>
      </c>
      <c r="D237" s="2">
        <v>15.06</v>
      </c>
      <c r="E237" s="2" t="s">
        <v>818</v>
      </c>
      <c r="F237" s="2">
        <v>28.49</v>
      </c>
      <c r="G237" s="2" t="s">
        <v>818</v>
      </c>
      <c r="H237" s="2">
        <v>42.68</v>
      </c>
      <c r="I237" s="2" t="s">
        <v>818</v>
      </c>
      <c r="J237" s="2">
        <v>10.9</v>
      </c>
      <c r="K237" s="2" t="s">
        <v>818</v>
      </c>
      <c r="L237" s="2">
        <v>17.8</v>
      </c>
      <c r="M237" s="2" t="s">
        <v>818</v>
      </c>
      <c r="N237" s="2">
        <v>10.039999999999999</v>
      </c>
      <c r="O237" s="2" t="s">
        <v>818</v>
      </c>
      <c r="P237" s="2">
        <v>25.73</v>
      </c>
      <c r="Q237" s="2" t="s">
        <v>818</v>
      </c>
      <c r="R237" s="2">
        <v>20.86</v>
      </c>
      <c r="S237" s="2" t="s">
        <v>818</v>
      </c>
      <c r="T237" s="2">
        <v>17.489999999999998</v>
      </c>
      <c r="U237" s="2" t="s">
        <v>818</v>
      </c>
      <c r="V237" s="2">
        <v>5.7</v>
      </c>
      <c r="W237" s="2" t="s">
        <v>818</v>
      </c>
      <c r="X237" s="2">
        <v>94.4</v>
      </c>
      <c r="Y237" s="2" t="s">
        <v>818</v>
      </c>
      <c r="Z237" s="2">
        <v>28.71</v>
      </c>
      <c r="AA237" s="2" t="s">
        <v>822</v>
      </c>
      <c r="AB237" s="2">
        <v>20.58</v>
      </c>
      <c r="AC237" s="2" t="s">
        <v>818</v>
      </c>
      <c r="AD237" s="2">
        <v>17.75</v>
      </c>
      <c r="AE237" s="2" t="s">
        <v>818</v>
      </c>
      <c r="AF237" s="2">
        <v>25.41</v>
      </c>
      <c r="AG237" s="2" t="s">
        <v>818</v>
      </c>
      <c r="AH237" s="2">
        <v>54.61</v>
      </c>
      <c r="AI237" s="2" t="s">
        <v>818</v>
      </c>
      <c r="AJ237" s="2">
        <v>47.93</v>
      </c>
      <c r="AK237" s="2" t="s">
        <v>818</v>
      </c>
      <c r="AL237" s="2">
        <v>5.14</v>
      </c>
      <c r="AM237" s="2" t="s">
        <v>818</v>
      </c>
      <c r="AN237" s="2">
        <v>91.83</v>
      </c>
      <c r="AO237" s="2" t="s">
        <v>818</v>
      </c>
      <c r="AP237" s="2">
        <v>106.7</v>
      </c>
      <c r="AQ237" s="2" t="s">
        <v>818</v>
      </c>
      <c r="AR237" s="2">
        <v>10.95</v>
      </c>
      <c r="AS237" s="2" t="s">
        <v>818</v>
      </c>
      <c r="AT237" s="2" t="s">
        <v>823</v>
      </c>
      <c r="AU237" s="2" t="s">
        <v>818</v>
      </c>
      <c r="AV237" s="2">
        <v>127.28</v>
      </c>
      <c r="AW237" s="2" t="s">
        <v>818</v>
      </c>
      <c r="AX237" s="2">
        <v>123.77</v>
      </c>
      <c r="AY237" s="2" t="s">
        <v>818</v>
      </c>
      <c r="AZ237" s="2">
        <v>3.38</v>
      </c>
      <c r="BA237" s="2" t="s">
        <v>818</v>
      </c>
      <c r="BB237" s="2">
        <v>192.6</v>
      </c>
      <c r="BC237" s="2" t="s">
        <v>818</v>
      </c>
      <c r="BD237" s="2">
        <v>16.829999999999998</v>
      </c>
      <c r="BE237" s="2" t="s">
        <v>818</v>
      </c>
      <c r="BF237" s="2">
        <v>19.399999999999999</v>
      </c>
      <c r="BG237" s="2" t="s">
        <v>818</v>
      </c>
      <c r="BH237" s="2">
        <v>38.85</v>
      </c>
      <c r="BI237" s="2" t="s">
        <v>818</v>
      </c>
      <c r="BJ237" s="2">
        <v>170.89</v>
      </c>
      <c r="BK237" s="2" t="s">
        <v>818</v>
      </c>
      <c r="BL237" s="2">
        <v>44.33</v>
      </c>
      <c r="BM237" s="2" t="s">
        <v>818</v>
      </c>
      <c r="BN237" s="2">
        <v>49.07</v>
      </c>
      <c r="BO237" s="2" t="s">
        <v>818</v>
      </c>
      <c r="BP237" s="2">
        <v>22.1</v>
      </c>
      <c r="BQ237" s="2" t="s">
        <v>818</v>
      </c>
      <c r="BR237" s="2">
        <v>37.270000000000003</v>
      </c>
      <c r="BS237" s="2" t="s">
        <v>818</v>
      </c>
      <c r="BT237" s="2">
        <v>13.88</v>
      </c>
      <c r="BU237" s="2" t="s">
        <v>818</v>
      </c>
      <c r="BV237" s="2">
        <v>94637.06</v>
      </c>
      <c r="BW237" s="2" t="s">
        <v>818</v>
      </c>
      <c r="BX237" s="2">
        <v>27.93</v>
      </c>
    </row>
    <row r="238" spans="1:76">
      <c r="A238" s="2" t="s">
        <v>1</v>
      </c>
      <c r="B238" s="2">
        <v>238</v>
      </c>
      <c r="C238" s="2" t="s">
        <v>822</v>
      </c>
      <c r="D238" s="2">
        <v>15.23</v>
      </c>
      <c r="E238" s="2" t="s">
        <v>822</v>
      </c>
      <c r="F238" s="2">
        <v>28.4</v>
      </c>
      <c r="G238" s="2" t="s">
        <v>822</v>
      </c>
      <c r="H238" s="2">
        <v>43.76</v>
      </c>
      <c r="I238" s="2" t="s">
        <v>822</v>
      </c>
      <c r="J238" s="2">
        <v>11.13</v>
      </c>
      <c r="K238" s="2" t="s">
        <v>822</v>
      </c>
      <c r="L238" s="2">
        <v>18.32</v>
      </c>
      <c r="M238" s="2" t="s">
        <v>822</v>
      </c>
      <c r="N238" s="2">
        <v>10.4</v>
      </c>
      <c r="O238" s="2" t="s">
        <v>822</v>
      </c>
      <c r="P238" s="2">
        <v>26.31</v>
      </c>
      <c r="Q238" s="2" t="s">
        <v>822</v>
      </c>
      <c r="R238" s="2">
        <v>21.12</v>
      </c>
      <c r="S238" s="2" t="s">
        <v>822</v>
      </c>
      <c r="T238" s="2" t="s">
        <v>69</v>
      </c>
      <c r="U238" s="2" t="s">
        <v>822</v>
      </c>
      <c r="V238" s="2">
        <v>6.02</v>
      </c>
      <c r="W238" s="2" t="s">
        <v>822</v>
      </c>
      <c r="X238" s="2">
        <v>98.2</v>
      </c>
      <c r="Y238" s="2" t="s">
        <v>822</v>
      </c>
      <c r="Z238" s="2">
        <v>28.94</v>
      </c>
      <c r="AA238" s="2" t="s">
        <v>824</v>
      </c>
      <c r="AB238" s="2">
        <v>20.76</v>
      </c>
      <c r="AC238" s="2" t="s">
        <v>822</v>
      </c>
      <c r="AD238" s="2">
        <v>19.420000000000002</v>
      </c>
      <c r="AE238" s="2" t="s">
        <v>822</v>
      </c>
      <c r="AF238" s="2">
        <v>26.56</v>
      </c>
      <c r="AG238" s="2" t="s">
        <v>822</v>
      </c>
      <c r="AH238" s="2">
        <v>54.78</v>
      </c>
      <c r="AI238" s="2" t="s">
        <v>822</v>
      </c>
      <c r="AJ238" s="2">
        <v>48.83</v>
      </c>
      <c r="AK238" s="2" t="s">
        <v>822</v>
      </c>
      <c r="AL238" s="2">
        <v>5.3</v>
      </c>
      <c r="AM238" s="2" t="s">
        <v>822</v>
      </c>
      <c r="AN238" s="2">
        <v>89.61</v>
      </c>
      <c r="AO238" s="2" t="s">
        <v>822</v>
      </c>
      <c r="AP238" s="2">
        <v>107.4</v>
      </c>
      <c r="AQ238" s="2" t="s">
        <v>822</v>
      </c>
      <c r="AR238" s="2">
        <v>10.98</v>
      </c>
      <c r="AS238" s="2" t="s">
        <v>822</v>
      </c>
      <c r="AT238" s="2" t="s">
        <v>825</v>
      </c>
      <c r="AU238" s="2" t="s">
        <v>822</v>
      </c>
      <c r="AV238" s="2">
        <v>131.6</v>
      </c>
      <c r="AW238" s="2" t="s">
        <v>822</v>
      </c>
      <c r="AX238" s="2">
        <v>125.23</v>
      </c>
      <c r="AY238" s="2" t="s">
        <v>822</v>
      </c>
      <c r="AZ238" s="2">
        <v>3.42</v>
      </c>
      <c r="BA238" s="2" t="s">
        <v>822</v>
      </c>
      <c r="BB238" s="2">
        <v>190.5</v>
      </c>
      <c r="BC238" s="2" t="s">
        <v>822</v>
      </c>
      <c r="BD238" s="2">
        <v>17.45</v>
      </c>
      <c r="BE238" s="2" t="s">
        <v>822</v>
      </c>
      <c r="BF238" s="2">
        <v>20.170000000000002</v>
      </c>
      <c r="BG238" s="2" t="s">
        <v>822</v>
      </c>
      <c r="BH238" s="2">
        <v>40.29</v>
      </c>
      <c r="BI238" s="2" t="s">
        <v>822</v>
      </c>
      <c r="BJ238" s="2">
        <v>170.5</v>
      </c>
      <c r="BK238" s="2" t="s">
        <v>822</v>
      </c>
      <c r="BL238" s="2">
        <v>45.8</v>
      </c>
      <c r="BM238" s="2" t="s">
        <v>822</v>
      </c>
      <c r="BN238" s="2">
        <v>51.72</v>
      </c>
      <c r="BO238" s="2" t="s">
        <v>822</v>
      </c>
      <c r="BP238" s="2">
        <v>22.53</v>
      </c>
      <c r="BQ238" s="2" t="s">
        <v>822</v>
      </c>
      <c r="BR238" s="2">
        <v>37.36</v>
      </c>
      <c r="BS238" s="2" t="s">
        <v>822</v>
      </c>
      <c r="BT238" s="2">
        <v>14.36</v>
      </c>
      <c r="BU238" s="2" t="s">
        <v>822</v>
      </c>
      <c r="BV238" s="2">
        <v>97644.67</v>
      </c>
      <c r="BW238" s="2" t="s">
        <v>822</v>
      </c>
      <c r="BX238" s="2">
        <v>29.11</v>
      </c>
    </row>
    <row r="239" spans="1:76">
      <c r="A239" s="2" t="s">
        <v>1</v>
      </c>
      <c r="B239" s="2">
        <v>239</v>
      </c>
      <c r="C239" s="2" t="s">
        <v>824</v>
      </c>
      <c r="D239" s="2" t="s">
        <v>61</v>
      </c>
      <c r="E239" s="2" t="s">
        <v>824</v>
      </c>
      <c r="F239" s="2">
        <v>27.62</v>
      </c>
      <c r="G239" s="2" t="s">
        <v>824</v>
      </c>
      <c r="H239" s="2">
        <v>43.36</v>
      </c>
      <c r="I239" s="2" t="s">
        <v>824</v>
      </c>
      <c r="J239" s="2">
        <v>10.81</v>
      </c>
      <c r="K239" s="2" t="s">
        <v>824</v>
      </c>
      <c r="L239" s="2">
        <v>18.55</v>
      </c>
      <c r="M239" s="2" t="s">
        <v>824</v>
      </c>
      <c r="N239" s="2">
        <v>10.36</v>
      </c>
      <c r="O239" s="2" t="s">
        <v>824</v>
      </c>
      <c r="P239" s="2">
        <v>26.04</v>
      </c>
      <c r="Q239" s="2" t="s">
        <v>824</v>
      </c>
      <c r="R239" s="2">
        <v>20.329999999999998</v>
      </c>
      <c r="S239" s="2" t="s">
        <v>824</v>
      </c>
      <c r="T239" s="2">
        <v>17.149999999999999</v>
      </c>
      <c r="U239" s="2" t="s">
        <v>824</v>
      </c>
      <c r="V239" s="2" t="s">
        <v>406</v>
      </c>
      <c r="W239" s="2" t="s">
        <v>824</v>
      </c>
      <c r="X239" s="2">
        <v>102.19</v>
      </c>
      <c r="Y239" s="2" t="s">
        <v>824</v>
      </c>
      <c r="Z239" s="2">
        <v>28.81</v>
      </c>
      <c r="AA239" s="2" t="s">
        <v>826</v>
      </c>
      <c r="AB239" s="2">
        <v>20.6</v>
      </c>
      <c r="AC239" s="2" t="s">
        <v>824</v>
      </c>
      <c r="AD239" s="2">
        <v>18.98</v>
      </c>
      <c r="AE239" s="2" t="s">
        <v>824</v>
      </c>
      <c r="AF239" s="2">
        <v>26.1</v>
      </c>
      <c r="AG239" s="2" t="s">
        <v>824</v>
      </c>
      <c r="AH239" s="2">
        <v>54.99</v>
      </c>
      <c r="AI239" s="2" t="s">
        <v>824</v>
      </c>
      <c r="AJ239" s="2">
        <v>48.8</v>
      </c>
      <c r="AK239" s="2" t="s">
        <v>824</v>
      </c>
      <c r="AL239" s="2">
        <v>5.56</v>
      </c>
      <c r="AM239" s="2" t="s">
        <v>824</v>
      </c>
      <c r="AN239" s="2" t="s">
        <v>90</v>
      </c>
      <c r="AO239" s="2" t="s">
        <v>824</v>
      </c>
      <c r="AP239" s="2">
        <v>107.06</v>
      </c>
      <c r="AQ239" s="2" t="s">
        <v>824</v>
      </c>
      <c r="AR239" s="2">
        <v>10.97</v>
      </c>
      <c r="AS239" s="2" t="s">
        <v>824</v>
      </c>
      <c r="AT239" s="2" t="s">
        <v>827</v>
      </c>
      <c r="AU239" s="2" t="s">
        <v>824</v>
      </c>
      <c r="AV239" s="2">
        <v>132.47999999999999</v>
      </c>
      <c r="AW239" s="2" t="s">
        <v>824</v>
      </c>
      <c r="AX239" s="2">
        <v>124.71</v>
      </c>
      <c r="AY239" s="2" t="s">
        <v>824</v>
      </c>
      <c r="AZ239" s="2">
        <v>3.45</v>
      </c>
      <c r="BA239" s="2" t="s">
        <v>824</v>
      </c>
      <c r="BB239" s="2">
        <v>190.8</v>
      </c>
      <c r="BC239" s="2" t="s">
        <v>824</v>
      </c>
      <c r="BD239" s="2">
        <v>17.149999999999999</v>
      </c>
      <c r="BE239" s="2" t="s">
        <v>824</v>
      </c>
      <c r="BF239" s="2">
        <v>19.97</v>
      </c>
      <c r="BG239" s="2" t="s">
        <v>824</v>
      </c>
      <c r="BH239" s="2" t="s">
        <v>105</v>
      </c>
      <c r="BI239" s="2" t="s">
        <v>824</v>
      </c>
      <c r="BJ239" s="2">
        <v>168.5</v>
      </c>
      <c r="BK239" s="2" t="s">
        <v>824</v>
      </c>
      <c r="BL239" s="2">
        <v>45.81</v>
      </c>
      <c r="BM239" s="2" t="s">
        <v>824</v>
      </c>
      <c r="BN239" s="2">
        <v>51.07</v>
      </c>
      <c r="BO239" s="2" t="s">
        <v>824</v>
      </c>
      <c r="BP239" s="2">
        <v>21.72</v>
      </c>
      <c r="BQ239" s="2" t="s">
        <v>824</v>
      </c>
      <c r="BR239" s="2">
        <v>35.200000000000003</v>
      </c>
      <c r="BS239" s="2" t="s">
        <v>824</v>
      </c>
      <c r="BT239" s="2">
        <v>14.4</v>
      </c>
      <c r="BU239" s="2" t="s">
        <v>824</v>
      </c>
      <c r="BV239" s="2">
        <v>96746.55</v>
      </c>
      <c r="BW239" s="2" t="s">
        <v>824</v>
      </c>
      <c r="BX239" s="2">
        <v>29.09</v>
      </c>
    </row>
    <row r="240" spans="1:76">
      <c r="A240" s="2" t="s">
        <v>1</v>
      </c>
      <c r="B240" s="2">
        <v>240</v>
      </c>
      <c r="C240" s="2" t="s">
        <v>826</v>
      </c>
      <c r="D240" s="2">
        <v>14.94</v>
      </c>
      <c r="E240" s="2" t="s">
        <v>826</v>
      </c>
      <c r="F240" s="2">
        <v>26.85</v>
      </c>
      <c r="G240" s="2" t="s">
        <v>826</v>
      </c>
      <c r="H240" s="2">
        <v>43.77</v>
      </c>
      <c r="I240" s="2" t="s">
        <v>826</v>
      </c>
      <c r="J240" s="2">
        <v>10.58</v>
      </c>
      <c r="K240" s="2" t="s">
        <v>826</v>
      </c>
      <c r="L240" s="2">
        <v>18.14</v>
      </c>
      <c r="M240" s="2" t="s">
        <v>826</v>
      </c>
      <c r="N240" s="2">
        <v>10.029999999999999</v>
      </c>
      <c r="O240" s="2" t="s">
        <v>826</v>
      </c>
      <c r="P240" s="2">
        <v>25.11</v>
      </c>
      <c r="Q240" s="2" t="s">
        <v>826</v>
      </c>
      <c r="R240" s="2">
        <v>20.350000000000001</v>
      </c>
      <c r="S240" s="2" t="s">
        <v>826</v>
      </c>
      <c r="T240" s="2">
        <v>16.88</v>
      </c>
      <c r="U240" s="2" t="s">
        <v>826</v>
      </c>
      <c r="V240" s="2">
        <v>5.9</v>
      </c>
      <c r="W240" s="2" t="s">
        <v>826</v>
      </c>
      <c r="X240" s="2">
        <v>104.11</v>
      </c>
      <c r="Y240" s="2" t="s">
        <v>826</v>
      </c>
      <c r="Z240" s="2">
        <v>28.99</v>
      </c>
      <c r="AA240" s="2" t="s">
        <v>828</v>
      </c>
      <c r="AB240" s="2">
        <v>20.22</v>
      </c>
      <c r="AC240" s="2" t="s">
        <v>826</v>
      </c>
      <c r="AD240" s="2">
        <v>18.72</v>
      </c>
      <c r="AE240" s="2" t="s">
        <v>826</v>
      </c>
      <c r="AF240" s="2">
        <v>25.46</v>
      </c>
      <c r="AG240" s="2" t="s">
        <v>826</v>
      </c>
      <c r="AH240" s="2">
        <v>54.2</v>
      </c>
      <c r="AI240" s="2" t="s">
        <v>826</v>
      </c>
      <c r="AJ240" s="2">
        <v>49.71</v>
      </c>
      <c r="AK240" s="2" t="s">
        <v>826</v>
      </c>
      <c r="AL240" s="2">
        <v>5.33</v>
      </c>
      <c r="AM240" s="2" t="s">
        <v>826</v>
      </c>
      <c r="AN240" s="2">
        <v>90.49</v>
      </c>
      <c r="AO240" s="2" t="s">
        <v>826</v>
      </c>
      <c r="AP240" s="2">
        <v>106.95</v>
      </c>
      <c r="AQ240" s="2" t="s">
        <v>826</v>
      </c>
      <c r="AR240" s="2">
        <v>10.98</v>
      </c>
      <c r="AS240" s="2" t="s">
        <v>826</v>
      </c>
      <c r="AT240" s="2" t="s">
        <v>422</v>
      </c>
      <c r="AU240" s="2" t="s">
        <v>826</v>
      </c>
      <c r="AV240" s="2">
        <v>132.84</v>
      </c>
      <c r="AW240" s="2" t="s">
        <v>826</v>
      </c>
      <c r="AX240" s="2" t="s">
        <v>369</v>
      </c>
      <c r="AY240" s="2" t="s">
        <v>826</v>
      </c>
      <c r="AZ240" s="2">
        <v>3.39</v>
      </c>
      <c r="BA240" s="2" t="s">
        <v>826</v>
      </c>
      <c r="BB240" s="2">
        <v>189.28</v>
      </c>
      <c r="BC240" s="2" t="s">
        <v>826</v>
      </c>
      <c r="BD240" s="2">
        <v>16.190000000000001</v>
      </c>
      <c r="BE240" s="2" t="s">
        <v>826</v>
      </c>
      <c r="BF240" s="2" t="s">
        <v>46</v>
      </c>
      <c r="BG240" s="2" t="s">
        <v>826</v>
      </c>
      <c r="BH240" s="2" t="s">
        <v>104</v>
      </c>
      <c r="BI240" s="2" t="s">
        <v>826</v>
      </c>
      <c r="BJ240" s="2">
        <v>167.49</v>
      </c>
      <c r="BK240" s="2" t="s">
        <v>826</v>
      </c>
      <c r="BL240" s="2">
        <v>44.99</v>
      </c>
      <c r="BM240" s="2" t="s">
        <v>826</v>
      </c>
      <c r="BN240" s="2">
        <v>50.74</v>
      </c>
      <c r="BO240" s="2" t="s">
        <v>826</v>
      </c>
      <c r="BP240" s="2">
        <v>21.4</v>
      </c>
      <c r="BQ240" s="2" t="s">
        <v>826</v>
      </c>
      <c r="BR240" s="2">
        <v>32.92</v>
      </c>
      <c r="BS240" s="2" t="s">
        <v>826</v>
      </c>
      <c r="BT240" s="2">
        <v>14.22</v>
      </c>
      <c r="BU240" s="2" t="s">
        <v>826</v>
      </c>
      <c r="BV240" s="2">
        <v>94685.98</v>
      </c>
      <c r="BW240" s="2" t="s">
        <v>826</v>
      </c>
      <c r="BX240" s="2">
        <v>28.54</v>
      </c>
    </row>
    <row r="241" spans="1:76">
      <c r="A241" s="2" t="s">
        <v>1</v>
      </c>
      <c r="B241" s="2">
        <v>241</v>
      </c>
      <c r="C241" s="2" t="s">
        <v>828</v>
      </c>
      <c r="D241" s="2">
        <v>14.6</v>
      </c>
      <c r="E241" s="2" t="s">
        <v>828</v>
      </c>
      <c r="F241" s="2">
        <v>26.42</v>
      </c>
      <c r="G241" s="2" t="s">
        <v>828</v>
      </c>
      <c r="H241" s="2">
        <v>42.75</v>
      </c>
      <c r="I241" s="2" t="s">
        <v>828</v>
      </c>
      <c r="J241" s="2">
        <v>10.31</v>
      </c>
      <c r="K241" s="2" t="s">
        <v>828</v>
      </c>
      <c r="L241" s="2">
        <v>18.11</v>
      </c>
      <c r="M241" s="2" t="s">
        <v>828</v>
      </c>
      <c r="N241" s="2">
        <v>9.7899999999999991</v>
      </c>
      <c r="O241" s="2" t="s">
        <v>828</v>
      </c>
      <c r="P241" s="2">
        <v>24.47</v>
      </c>
      <c r="Q241" s="2" t="s">
        <v>828</v>
      </c>
      <c r="R241" s="2">
        <v>19.28</v>
      </c>
      <c r="S241" s="2" t="s">
        <v>828</v>
      </c>
      <c r="T241" s="2">
        <v>16.350000000000001</v>
      </c>
      <c r="U241" s="2" t="s">
        <v>828</v>
      </c>
      <c r="V241" s="2">
        <v>5.98</v>
      </c>
      <c r="W241" s="2" t="s">
        <v>828</v>
      </c>
      <c r="X241" s="2">
        <v>103.73</v>
      </c>
      <c r="Y241" s="2" t="s">
        <v>828</v>
      </c>
      <c r="Z241" s="2">
        <v>28.53</v>
      </c>
      <c r="AA241" s="2" t="s">
        <v>829</v>
      </c>
      <c r="AB241" s="2">
        <v>20.21</v>
      </c>
      <c r="AC241" s="2" t="s">
        <v>828</v>
      </c>
      <c r="AD241" s="2">
        <v>18.649999999999999</v>
      </c>
      <c r="AE241" s="2" t="s">
        <v>828</v>
      </c>
      <c r="AF241" s="2">
        <v>24.9</v>
      </c>
      <c r="AG241" s="2" t="s">
        <v>828</v>
      </c>
      <c r="AH241" s="2">
        <v>53.4</v>
      </c>
      <c r="AI241" s="2" t="s">
        <v>828</v>
      </c>
      <c r="AJ241" s="2">
        <v>49.95</v>
      </c>
      <c r="AK241" s="2" t="s">
        <v>828</v>
      </c>
      <c r="AL241" s="2">
        <v>5.21</v>
      </c>
      <c r="AM241" s="2" t="s">
        <v>828</v>
      </c>
      <c r="AN241" s="2">
        <v>89.2</v>
      </c>
      <c r="AO241" s="2" t="s">
        <v>828</v>
      </c>
      <c r="AP241" s="2">
        <v>107.25</v>
      </c>
      <c r="AQ241" s="2" t="s">
        <v>828</v>
      </c>
      <c r="AR241" s="2">
        <v>10.87</v>
      </c>
      <c r="AS241" s="2" t="s">
        <v>828</v>
      </c>
      <c r="AT241" s="2">
        <v>1296.8</v>
      </c>
      <c r="AU241" s="2" t="s">
        <v>828</v>
      </c>
      <c r="AV241" s="2" t="s">
        <v>76</v>
      </c>
      <c r="AW241" s="2" t="s">
        <v>828</v>
      </c>
      <c r="AX241" s="2">
        <v>124.53</v>
      </c>
      <c r="AY241" s="2" t="s">
        <v>828</v>
      </c>
      <c r="AZ241" s="2">
        <v>3.36</v>
      </c>
      <c r="BA241" s="2" t="s">
        <v>828</v>
      </c>
      <c r="BB241" s="2">
        <v>188.61</v>
      </c>
      <c r="BC241" s="2" t="s">
        <v>828</v>
      </c>
      <c r="BD241" s="2">
        <v>15.82</v>
      </c>
      <c r="BE241" s="2" t="s">
        <v>828</v>
      </c>
      <c r="BF241" s="2">
        <v>19.09</v>
      </c>
      <c r="BG241" s="2" t="s">
        <v>828</v>
      </c>
      <c r="BH241" s="2">
        <v>39.44</v>
      </c>
      <c r="BI241" s="2" t="s">
        <v>828</v>
      </c>
      <c r="BJ241" s="2">
        <v>166.66</v>
      </c>
      <c r="BK241" s="2" t="s">
        <v>828</v>
      </c>
      <c r="BL241" s="2">
        <v>44.25</v>
      </c>
      <c r="BM241" s="2" t="s">
        <v>828</v>
      </c>
      <c r="BN241" s="2">
        <v>49.85</v>
      </c>
      <c r="BO241" s="2" t="s">
        <v>828</v>
      </c>
      <c r="BP241" s="2">
        <v>20.6</v>
      </c>
      <c r="BQ241" s="2" t="s">
        <v>828</v>
      </c>
      <c r="BR241" s="2">
        <v>30.84</v>
      </c>
      <c r="BS241" s="2" t="s">
        <v>828</v>
      </c>
      <c r="BT241" s="2">
        <v>13.94</v>
      </c>
      <c r="BU241" s="2" t="s">
        <v>828</v>
      </c>
      <c r="BV241" s="2">
        <v>92795.27</v>
      </c>
      <c r="BW241" s="2" t="s">
        <v>828</v>
      </c>
      <c r="BX241" s="2">
        <v>27.77</v>
      </c>
    </row>
    <row r="242" spans="1:76">
      <c r="A242" s="2" t="s">
        <v>1</v>
      </c>
      <c r="B242" s="2">
        <v>242</v>
      </c>
      <c r="C242" s="2" t="s">
        <v>829</v>
      </c>
      <c r="D242" s="2">
        <v>14.74</v>
      </c>
      <c r="E242" s="2" t="s">
        <v>829</v>
      </c>
      <c r="F242" s="2">
        <v>26.35</v>
      </c>
      <c r="G242" s="2" t="s">
        <v>829</v>
      </c>
      <c r="H242" s="2">
        <v>42.87</v>
      </c>
      <c r="I242" s="2" t="s">
        <v>829</v>
      </c>
      <c r="J242" s="2">
        <v>10.17</v>
      </c>
      <c r="K242" s="2" t="s">
        <v>829</v>
      </c>
      <c r="L242" s="2">
        <v>17.77</v>
      </c>
      <c r="M242" s="2" t="s">
        <v>829</v>
      </c>
      <c r="N242" s="2">
        <v>9.56</v>
      </c>
      <c r="O242" s="2" t="s">
        <v>829</v>
      </c>
      <c r="P242" s="2">
        <v>23.8</v>
      </c>
      <c r="Q242" s="2" t="s">
        <v>829</v>
      </c>
      <c r="R242" s="2">
        <v>19.09</v>
      </c>
      <c r="S242" s="2" t="s">
        <v>829</v>
      </c>
      <c r="T242" s="2">
        <v>16.87</v>
      </c>
      <c r="U242" s="2" t="s">
        <v>829</v>
      </c>
      <c r="V242" s="2">
        <v>6.11</v>
      </c>
      <c r="W242" s="2" t="s">
        <v>829</v>
      </c>
      <c r="X242" s="2">
        <v>103.51</v>
      </c>
      <c r="Y242" s="2" t="s">
        <v>829</v>
      </c>
      <c r="Z242" s="2">
        <v>28.39</v>
      </c>
      <c r="AA242" s="2" t="s">
        <v>830</v>
      </c>
      <c r="AB242" s="2">
        <v>20.25</v>
      </c>
      <c r="AC242" s="2" t="s">
        <v>829</v>
      </c>
      <c r="AD242" s="2">
        <v>18.23</v>
      </c>
      <c r="AE242" s="2" t="s">
        <v>829</v>
      </c>
      <c r="AF242" s="2">
        <v>24.25</v>
      </c>
      <c r="AG242" s="2" t="s">
        <v>829</v>
      </c>
      <c r="AH242" s="2">
        <v>55.69</v>
      </c>
      <c r="AI242" s="2" t="s">
        <v>829</v>
      </c>
      <c r="AJ242" s="2">
        <v>48.4</v>
      </c>
      <c r="AK242" s="2" t="s">
        <v>829</v>
      </c>
      <c r="AL242" s="2">
        <v>5.0999999999999996</v>
      </c>
      <c r="AM242" s="2" t="s">
        <v>829</v>
      </c>
      <c r="AN242" s="2">
        <v>89.79</v>
      </c>
      <c r="AO242" s="2" t="s">
        <v>829</v>
      </c>
      <c r="AP242" s="2">
        <v>107.19</v>
      </c>
      <c r="AQ242" s="2" t="s">
        <v>829</v>
      </c>
      <c r="AR242" s="2">
        <v>10.9</v>
      </c>
      <c r="AS242" s="2" t="s">
        <v>829</v>
      </c>
      <c r="AT242" s="2" t="s">
        <v>197</v>
      </c>
      <c r="AU242" s="2" t="s">
        <v>829</v>
      </c>
      <c r="AV242" s="2">
        <v>128.27000000000001</v>
      </c>
      <c r="AW242" s="2" t="s">
        <v>829</v>
      </c>
      <c r="AX242" s="2">
        <v>124.74</v>
      </c>
      <c r="AY242" s="2" t="s">
        <v>829</v>
      </c>
      <c r="AZ242" s="2">
        <v>3.37</v>
      </c>
      <c r="BA242" s="2" t="s">
        <v>829</v>
      </c>
      <c r="BB242" s="2">
        <v>189.37</v>
      </c>
      <c r="BC242" s="2" t="s">
        <v>829</v>
      </c>
      <c r="BD242" s="2">
        <v>15.89</v>
      </c>
      <c r="BE242" s="2" t="s">
        <v>829</v>
      </c>
      <c r="BF242" s="2">
        <v>19.03</v>
      </c>
      <c r="BG242" s="2" t="s">
        <v>829</v>
      </c>
      <c r="BH242" s="2" t="s">
        <v>104</v>
      </c>
      <c r="BI242" s="2" t="s">
        <v>829</v>
      </c>
      <c r="BJ242" s="2">
        <v>165.44</v>
      </c>
      <c r="BK242" s="2" t="s">
        <v>829</v>
      </c>
      <c r="BL242" s="2">
        <v>44.27</v>
      </c>
      <c r="BM242" s="2" t="s">
        <v>829</v>
      </c>
      <c r="BN242" s="2">
        <v>49.51</v>
      </c>
      <c r="BO242" s="2" t="s">
        <v>829</v>
      </c>
      <c r="BP242" s="2">
        <v>21.37</v>
      </c>
      <c r="BQ242" s="2" t="s">
        <v>829</v>
      </c>
      <c r="BR242" s="2">
        <v>33.5</v>
      </c>
      <c r="BS242" s="2" t="s">
        <v>829</v>
      </c>
      <c r="BT242" s="2">
        <v>14.4</v>
      </c>
      <c r="BU242" s="2" t="s">
        <v>829</v>
      </c>
      <c r="BV242" s="2">
        <v>92375.52</v>
      </c>
      <c r="BW242" s="2" t="s">
        <v>829</v>
      </c>
      <c r="BX242" s="2" t="s">
        <v>81</v>
      </c>
    </row>
    <row r="243" spans="1:76">
      <c r="A243" s="2" t="s">
        <v>1</v>
      </c>
      <c r="B243" s="2">
        <v>243</v>
      </c>
      <c r="C243" s="2" t="s">
        <v>830</v>
      </c>
      <c r="D243" s="2">
        <v>14.85</v>
      </c>
      <c r="E243" s="2" t="s">
        <v>830</v>
      </c>
      <c r="F243" s="2">
        <v>26.15</v>
      </c>
      <c r="G243" s="2" t="s">
        <v>830</v>
      </c>
      <c r="H243" s="2">
        <v>42.75</v>
      </c>
      <c r="I243" s="2" t="s">
        <v>830</v>
      </c>
      <c r="J243" s="2">
        <v>10.35</v>
      </c>
      <c r="K243" s="2" t="s">
        <v>830</v>
      </c>
      <c r="L243" s="2">
        <v>17.62</v>
      </c>
      <c r="M243" s="2" t="s">
        <v>830</v>
      </c>
      <c r="N243" s="2">
        <v>9.76</v>
      </c>
      <c r="O243" s="2" t="s">
        <v>830</v>
      </c>
      <c r="P243" s="2">
        <v>24.3</v>
      </c>
      <c r="Q243" s="2" t="s">
        <v>830</v>
      </c>
      <c r="R243" s="2">
        <v>19.18</v>
      </c>
      <c r="S243" s="2" t="s">
        <v>830</v>
      </c>
      <c r="T243" s="2">
        <v>16.850000000000001</v>
      </c>
      <c r="U243" s="2" t="s">
        <v>830</v>
      </c>
      <c r="V243" s="2">
        <v>5.92</v>
      </c>
      <c r="W243" s="2" t="s">
        <v>830</v>
      </c>
      <c r="X243" s="2">
        <v>101.15</v>
      </c>
      <c r="Y243" s="2" t="s">
        <v>830</v>
      </c>
      <c r="Z243" s="2">
        <v>28.34</v>
      </c>
      <c r="AA243" s="2" t="s">
        <v>831</v>
      </c>
      <c r="AB243" s="2">
        <v>20.5</v>
      </c>
      <c r="AC243" s="2" t="s">
        <v>830</v>
      </c>
      <c r="AD243" s="2">
        <v>18.170000000000002</v>
      </c>
      <c r="AE243" s="2" t="s">
        <v>830</v>
      </c>
      <c r="AF243" s="2">
        <v>25.4</v>
      </c>
      <c r="AG243" s="2" t="s">
        <v>830</v>
      </c>
      <c r="AH243" s="2">
        <v>55.39</v>
      </c>
      <c r="AI243" s="2" t="s">
        <v>830</v>
      </c>
      <c r="AJ243" s="2">
        <v>49.26</v>
      </c>
      <c r="AK243" s="2" t="s">
        <v>830</v>
      </c>
      <c r="AL243" s="2">
        <v>5.09</v>
      </c>
      <c r="AM243" s="2" t="s">
        <v>830</v>
      </c>
      <c r="AN243" s="2">
        <v>90.77</v>
      </c>
      <c r="AO243" s="2" t="s">
        <v>830</v>
      </c>
      <c r="AP243" s="2">
        <v>107.25</v>
      </c>
      <c r="AQ243" s="2" t="s">
        <v>830</v>
      </c>
      <c r="AR243" s="2">
        <v>10.95</v>
      </c>
      <c r="AS243" s="2" t="s">
        <v>830</v>
      </c>
      <c r="AT243" s="2" t="s">
        <v>402</v>
      </c>
      <c r="AU243" s="2" t="s">
        <v>830</v>
      </c>
      <c r="AV243" s="2">
        <v>128.21</v>
      </c>
      <c r="AW243" s="2" t="s">
        <v>830</v>
      </c>
      <c r="AX243" s="2">
        <v>124.01</v>
      </c>
      <c r="AY243" s="2" t="s">
        <v>830</v>
      </c>
      <c r="AZ243" s="2">
        <v>3.39</v>
      </c>
      <c r="BA243" s="2" t="s">
        <v>830</v>
      </c>
      <c r="BB243" s="2" t="s">
        <v>467</v>
      </c>
      <c r="BC243" s="2" t="s">
        <v>830</v>
      </c>
      <c r="BD243" s="2">
        <v>15.99</v>
      </c>
      <c r="BE243" s="2" t="s">
        <v>830</v>
      </c>
      <c r="BF243" s="2">
        <v>18.98</v>
      </c>
      <c r="BG243" s="2" t="s">
        <v>830</v>
      </c>
      <c r="BH243" s="2">
        <v>38.54</v>
      </c>
      <c r="BI243" s="2" t="s">
        <v>830</v>
      </c>
      <c r="BJ243" s="2">
        <v>166.31</v>
      </c>
      <c r="BK243" s="2" t="s">
        <v>830</v>
      </c>
      <c r="BL243" s="2">
        <v>44.76</v>
      </c>
      <c r="BM243" s="2" t="s">
        <v>830</v>
      </c>
      <c r="BN243" s="2">
        <v>49.5</v>
      </c>
      <c r="BO243" s="2" t="s">
        <v>830</v>
      </c>
      <c r="BP243" s="2">
        <v>21.37</v>
      </c>
      <c r="BQ243" s="2" t="s">
        <v>830</v>
      </c>
      <c r="BR243" s="2">
        <v>33.130000000000003</v>
      </c>
      <c r="BS243" s="2" t="s">
        <v>830</v>
      </c>
      <c r="BT243" s="2">
        <v>14.35</v>
      </c>
      <c r="BU243" s="2" t="s">
        <v>830</v>
      </c>
      <c r="BV243" s="2">
        <v>93531.17</v>
      </c>
      <c r="BW243" s="2" t="s">
        <v>830</v>
      </c>
      <c r="BX243" s="2">
        <v>27.92</v>
      </c>
    </row>
    <row r="244" spans="1:76">
      <c r="A244" s="2" t="s">
        <v>1</v>
      </c>
      <c r="B244" s="2">
        <v>244</v>
      </c>
      <c r="C244" s="2" t="s">
        <v>831</v>
      </c>
      <c r="D244" s="2">
        <v>15.4</v>
      </c>
      <c r="E244" s="2" t="s">
        <v>831</v>
      </c>
      <c r="F244" s="2">
        <v>27.09</v>
      </c>
      <c r="G244" s="2" t="s">
        <v>831</v>
      </c>
      <c r="H244" s="2">
        <v>44.51</v>
      </c>
      <c r="I244" s="2" t="s">
        <v>831</v>
      </c>
      <c r="J244" s="2">
        <v>10.6</v>
      </c>
      <c r="K244" s="2" t="s">
        <v>831</v>
      </c>
      <c r="L244" s="2">
        <v>18.260000000000002</v>
      </c>
      <c r="M244" s="2" t="s">
        <v>831</v>
      </c>
      <c r="N244" s="2">
        <v>9.93</v>
      </c>
      <c r="O244" s="2" t="s">
        <v>831</v>
      </c>
      <c r="P244" s="2">
        <v>24.52</v>
      </c>
      <c r="Q244" s="2" t="s">
        <v>831</v>
      </c>
      <c r="R244" s="2">
        <v>19.649999999999999</v>
      </c>
      <c r="S244" s="2" t="s">
        <v>831</v>
      </c>
      <c r="T244" s="2">
        <v>17.12</v>
      </c>
      <c r="U244" s="2" t="s">
        <v>831</v>
      </c>
      <c r="V244" s="2">
        <v>6.25</v>
      </c>
      <c r="W244" s="2" t="s">
        <v>831</v>
      </c>
      <c r="X244" s="2">
        <v>103.25</v>
      </c>
      <c r="Y244" s="2" t="s">
        <v>831</v>
      </c>
      <c r="Z244" s="2">
        <v>28.74</v>
      </c>
      <c r="AA244" s="2" t="s">
        <v>833</v>
      </c>
      <c r="AB244" s="2">
        <v>20.48</v>
      </c>
      <c r="AC244" s="2" t="s">
        <v>831</v>
      </c>
      <c r="AD244" s="2">
        <v>18.850000000000001</v>
      </c>
      <c r="AE244" s="2" t="s">
        <v>831</v>
      </c>
      <c r="AF244" s="2">
        <v>25.08</v>
      </c>
      <c r="AG244" s="2" t="s">
        <v>831</v>
      </c>
      <c r="AH244" s="2">
        <v>56.2</v>
      </c>
      <c r="AI244" s="2" t="s">
        <v>831</v>
      </c>
      <c r="AJ244" s="2">
        <v>49.53</v>
      </c>
      <c r="AK244" s="2" t="s">
        <v>831</v>
      </c>
      <c r="AL244" s="2">
        <v>5.21</v>
      </c>
      <c r="AM244" s="2" t="s">
        <v>831</v>
      </c>
      <c r="AN244" s="2">
        <v>90.75</v>
      </c>
      <c r="AO244" s="2" t="s">
        <v>831</v>
      </c>
      <c r="AP244" s="2">
        <v>108.22</v>
      </c>
      <c r="AQ244" s="2" t="s">
        <v>831</v>
      </c>
      <c r="AR244" s="2">
        <v>10.93</v>
      </c>
      <c r="AS244" s="2" t="s">
        <v>831</v>
      </c>
      <c r="AT244" s="2" t="s">
        <v>422</v>
      </c>
      <c r="AU244" s="2" t="s">
        <v>831</v>
      </c>
      <c r="AV244" s="2">
        <v>129.29</v>
      </c>
      <c r="AW244" s="2" t="s">
        <v>831</v>
      </c>
      <c r="AX244" s="2">
        <v>125.05</v>
      </c>
      <c r="AY244" s="2" t="s">
        <v>831</v>
      </c>
      <c r="AZ244" s="2">
        <v>3.4</v>
      </c>
      <c r="BA244" s="2" t="s">
        <v>831</v>
      </c>
      <c r="BB244" s="2">
        <v>189.43</v>
      </c>
      <c r="BC244" s="2" t="s">
        <v>831</v>
      </c>
      <c r="BD244" s="2">
        <v>16.8</v>
      </c>
      <c r="BE244" s="2" t="s">
        <v>831</v>
      </c>
      <c r="BF244" s="2">
        <v>19.149999999999999</v>
      </c>
      <c r="BG244" s="2" t="s">
        <v>831</v>
      </c>
      <c r="BH244" s="2">
        <v>39.43</v>
      </c>
      <c r="BI244" s="2" t="s">
        <v>831</v>
      </c>
      <c r="BJ244" s="2" t="s">
        <v>359</v>
      </c>
      <c r="BK244" s="2" t="s">
        <v>831</v>
      </c>
      <c r="BL244" s="2">
        <v>46.16</v>
      </c>
      <c r="BM244" s="2" t="s">
        <v>831</v>
      </c>
      <c r="BN244" s="2">
        <v>51.2</v>
      </c>
      <c r="BO244" s="2" t="s">
        <v>831</v>
      </c>
      <c r="BP244" s="2">
        <v>21.44</v>
      </c>
      <c r="BQ244" s="2" t="s">
        <v>831</v>
      </c>
      <c r="BR244" s="2">
        <v>33.33</v>
      </c>
      <c r="BS244" s="2" t="s">
        <v>831</v>
      </c>
      <c r="BT244" s="2">
        <v>14.58</v>
      </c>
      <c r="BU244" s="2" t="s">
        <v>831</v>
      </c>
      <c r="BV244" s="2">
        <v>95547.29</v>
      </c>
      <c r="BW244" s="2" t="s">
        <v>831</v>
      </c>
      <c r="BX244" s="2">
        <v>27.9</v>
      </c>
    </row>
    <row r="245" spans="1:76">
      <c r="A245" s="2" t="s">
        <v>1</v>
      </c>
      <c r="B245" s="2">
        <v>245</v>
      </c>
      <c r="C245" s="2" t="s">
        <v>833</v>
      </c>
      <c r="D245" s="2">
        <v>15.6</v>
      </c>
      <c r="E245" s="2" t="s">
        <v>833</v>
      </c>
      <c r="F245" s="2">
        <v>27.82</v>
      </c>
      <c r="G245" s="2" t="s">
        <v>833</v>
      </c>
      <c r="H245" s="2">
        <v>43.6</v>
      </c>
      <c r="I245" s="2" t="s">
        <v>833</v>
      </c>
      <c r="J245" s="2">
        <v>10.32</v>
      </c>
      <c r="K245" s="2" t="s">
        <v>833</v>
      </c>
      <c r="L245" s="2">
        <v>17.95</v>
      </c>
      <c r="M245" s="2" t="s">
        <v>833</v>
      </c>
      <c r="N245" s="2">
        <v>10.25</v>
      </c>
      <c r="O245" s="2" t="s">
        <v>833</v>
      </c>
      <c r="P245" s="2">
        <v>25.15</v>
      </c>
      <c r="Q245" s="2" t="s">
        <v>833</v>
      </c>
      <c r="R245" s="2">
        <v>19.36</v>
      </c>
      <c r="S245" s="2" t="s">
        <v>833</v>
      </c>
      <c r="T245" s="2">
        <v>16.78</v>
      </c>
      <c r="U245" s="2" t="s">
        <v>833</v>
      </c>
      <c r="V245" s="2">
        <v>6.26</v>
      </c>
      <c r="W245" s="2" t="s">
        <v>833</v>
      </c>
      <c r="X245" s="2">
        <v>102.99</v>
      </c>
      <c r="Y245" s="2" t="s">
        <v>833</v>
      </c>
      <c r="Z245" s="2">
        <v>28.87</v>
      </c>
      <c r="AA245" s="2" t="s">
        <v>835</v>
      </c>
      <c r="AB245" s="2">
        <v>20.39</v>
      </c>
      <c r="AC245" s="2" t="s">
        <v>833</v>
      </c>
      <c r="AD245" s="2">
        <v>18.8</v>
      </c>
      <c r="AE245" s="2" t="s">
        <v>833</v>
      </c>
      <c r="AF245" s="2">
        <v>24.93</v>
      </c>
      <c r="AG245" s="2" t="s">
        <v>833</v>
      </c>
      <c r="AH245" s="2">
        <v>56.17</v>
      </c>
      <c r="AI245" s="2" t="s">
        <v>833</v>
      </c>
      <c r="AJ245" s="2">
        <v>50.49</v>
      </c>
      <c r="AK245" s="2" t="s">
        <v>833</v>
      </c>
      <c r="AL245" s="2">
        <v>5.13</v>
      </c>
      <c r="AM245" s="2" t="s">
        <v>833</v>
      </c>
      <c r="AN245" s="2">
        <v>90.61</v>
      </c>
      <c r="AO245" s="2" t="s">
        <v>833</v>
      </c>
      <c r="AP245" s="2">
        <v>108.04</v>
      </c>
      <c r="AQ245" s="2" t="s">
        <v>833</v>
      </c>
      <c r="AR245" s="2">
        <v>10.92</v>
      </c>
      <c r="AS245" s="2" t="s">
        <v>833</v>
      </c>
      <c r="AT245" s="2" t="s">
        <v>836</v>
      </c>
      <c r="AU245" s="2" t="s">
        <v>833</v>
      </c>
      <c r="AV245" s="2">
        <v>129.9</v>
      </c>
      <c r="AW245" s="2" t="s">
        <v>833</v>
      </c>
      <c r="AX245" s="2">
        <v>125.05</v>
      </c>
      <c r="AY245" s="2" t="s">
        <v>833</v>
      </c>
      <c r="AZ245" s="2">
        <v>3.46</v>
      </c>
      <c r="BA245" s="2" t="s">
        <v>833</v>
      </c>
      <c r="BB245" s="2">
        <v>190.95</v>
      </c>
      <c r="BC245" s="2" t="s">
        <v>833</v>
      </c>
      <c r="BD245" s="2">
        <v>17.190000000000001</v>
      </c>
      <c r="BE245" s="2" t="s">
        <v>833</v>
      </c>
      <c r="BF245" s="2">
        <v>19.399999999999999</v>
      </c>
      <c r="BG245" s="2" t="s">
        <v>833</v>
      </c>
      <c r="BH245" s="2">
        <v>40.18</v>
      </c>
      <c r="BI245" s="2" t="s">
        <v>833</v>
      </c>
      <c r="BJ245" s="2">
        <v>168.63</v>
      </c>
      <c r="BK245" s="2" t="s">
        <v>833</v>
      </c>
      <c r="BL245" s="2">
        <v>46.13</v>
      </c>
      <c r="BM245" s="2" t="s">
        <v>833</v>
      </c>
      <c r="BN245" s="2">
        <v>50.36</v>
      </c>
      <c r="BO245" s="2" t="s">
        <v>833</v>
      </c>
      <c r="BP245" s="2">
        <v>21.6</v>
      </c>
      <c r="BQ245" s="2" t="s">
        <v>833</v>
      </c>
      <c r="BR245" s="2">
        <v>35.17</v>
      </c>
      <c r="BS245" s="2" t="s">
        <v>833</v>
      </c>
      <c r="BT245" s="2">
        <v>14.55</v>
      </c>
      <c r="BU245" s="2" t="s">
        <v>833</v>
      </c>
      <c r="BV245" s="2">
        <v>96125.24</v>
      </c>
      <c r="BW245" s="2" t="s">
        <v>833</v>
      </c>
      <c r="BX245" s="2">
        <v>27.87</v>
      </c>
    </row>
    <row r="246" spans="1:76">
      <c r="A246" s="2" t="s">
        <v>1</v>
      </c>
      <c r="B246" s="2">
        <v>246</v>
      </c>
      <c r="C246" s="2" t="s">
        <v>835</v>
      </c>
      <c r="D246" s="2">
        <v>14.87</v>
      </c>
      <c r="E246" s="2" t="s">
        <v>835</v>
      </c>
      <c r="F246" s="2">
        <v>28.79</v>
      </c>
      <c r="G246" s="2" t="s">
        <v>835</v>
      </c>
      <c r="H246" s="2">
        <v>43.25</v>
      </c>
      <c r="I246" s="2" t="s">
        <v>835</v>
      </c>
      <c r="J246" s="2">
        <v>10.16</v>
      </c>
      <c r="K246" s="2" t="s">
        <v>835</v>
      </c>
      <c r="L246" s="2">
        <v>18.2</v>
      </c>
      <c r="M246" s="2" t="s">
        <v>835</v>
      </c>
      <c r="N246" s="2">
        <v>10.41</v>
      </c>
      <c r="O246" s="2" t="s">
        <v>835</v>
      </c>
      <c r="P246" s="2">
        <v>26.39</v>
      </c>
      <c r="Q246" s="2" t="s">
        <v>835</v>
      </c>
      <c r="R246" s="2">
        <v>18.75</v>
      </c>
      <c r="S246" s="2" t="s">
        <v>835</v>
      </c>
      <c r="T246" s="2">
        <v>16.87</v>
      </c>
      <c r="U246" s="2" t="s">
        <v>835</v>
      </c>
      <c r="V246" s="2">
        <v>6.5</v>
      </c>
      <c r="W246" s="2" t="s">
        <v>835</v>
      </c>
      <c r="X246" s="2">
        <v>102.21</v>
      </c>
      <c r="Y246" s="2" t="s">
        <v>835</v>
      </c>
      <c r="Z246" s="2">
        <v>28.97</v>
      </c>
      <c r="AA246" s="2" t="s">
        <v>837</v>
      </c>
      <c r="AB246" s="2">
        <v>20.55</v>
      </c>
      <c r="AC246" s="2" t="s">
        <v>835</v>
      </c>
      <c r="AD246" s="2">
        <v>19.11</v>
      </c>
      <c r="AE246" s="2" t="s">
        <v>835</v>
      </c>
      <c r="AF246" s="2">
        <v>22.51</v>
      </c>
      <c r="AG246" s="2" t="s">
        <v>835</v>
      </c>
      <c r="AH246" s="2">
        <v>55.17</v>
      </c>
      <c r="AI246" s="2" t="s">
        <v>835</v>
      </c>
      <c r="AJ246" s="2">
        <v>50.95</v>
      </c>
      <c r="AK246" s="2" t="s">
        <v>835</v>
      </c>
      <c r="AL246" s="2">
        <v>5.15</v>
      </c>
      <c r="AM246" s="2" t="s">
        <v>835</v>
      </c>
      <c r="AN246" s="2">
        <v>90.23</v>
      </c>
      <c r="AO246" s="2" t="s">
        <v>835</v>
      </c>
      <c r="AP246" s="2">
        <v>107.26</v>
      </c>
      <c r="AQ246" s="2" t="s">
        <v>835</v>
      </c>
      <c r="AR246" s="2">
        <v>10.9</v>
      </c>
      <c r="AS246" s="2" t="s">
        <v>835</v>
      </c>
      <c r="AT246" s="2">
        <v>1299.5</v>
      </c>
      <c r="AU246" s="2" t="s">
        <v>835</v>
      </c>
      <c r="AV246" s="2">
        <v>130.30000000000001</v>
      </c>
      <c r="AW246" s="2" t="s">
        <v>835</v>
      </c>
      <c r="AX246" s="2">
        <v>125.1</v>
      </c>
      <c r="AY246" s="2" t="s">
        <v>835</v>
      </c>
      <c r="AZ246" s="2">
        <v>3.49</v>
      </c>
      <c r="BA246" s="2" t="s">
        <v>835</v>
      </c>
      <c r="BB246" s="2">
        <v>191.53</v>
      </c>
      <c r="BC246" s="2" t="s">
        <v>835</v>
      </c>
      <c r="BD246" s="2">
        <v>17.3</v>
      </c>
      <c r="BE246" s="2" t="s">
        <v>835</v>
      </c>
      <c r="BF246" s="2">
        <v>19.5</v>
      </c>
      <c r="BG246" s="2" t="s">
        <v>835</v>
      </c>
      <c r="BH246" s="2">
        <v>40.5</v>
      </c>
      <c r="BI246" s="2" t="s">
        <v>835</v>
      </c>
      <c r="BJ246" s="2">
        <v>167.65</v>
      </c>
      <c r="BK246" s="2" t="s">
        <v>835</v>
      </c>
      <c r="BL246" s="2">
        <v>46.21</v>
      </c>
      <c r="BM246" s="2" t="s">
        <v>835</v>
      </c>
      <c r="BN246" s="2" t="s">
        <v>130</v>
      </c>
      <c r="BO246" s="2" t="s">
        <v>835</v>
      </c>
      <c r="BP246" s="2">
        <v>21.47</v>
      </c>
      <c r="BQ246" s="2" t="s">
        <v>835</v>
      </c>
      <c r="BR246" s="2">
        <v>33.520000000000003</v>
      </c>
      <c r="BS246" s="2" t="s">
        <v>835</v>
      </c>
      <c r="BT246" s="2" t="s">
        <v>61</v>
      </c>
      <c r="BU246" s="2" t="s">
        <v>835</v>
      </c>
      <c r="BV246" s="2">
        <v>96572.1</v>
      </c>
      <c r="BW246" s="2" t="s">
        <v>835</v>
      </c>
      <c r="BX246" s="2">
        <v>29.1</v>
      </c>
    </row>
    <row r="247" spans="1:76">
      <c r="A247" s="2" t="s">
        <v>1</v>
      </c>
      <c r="B247" s="2">
        <v>247</v>
      </c>
      <c r="C247" s="2" t="s">
        <v>837</v>
      </c>
      <c r="D247" s="2">
        <v>15.36</v>
      </c>
      <c r="E247" s="2" t="s">
        <v>837</v>
      </c>
      <c r="F247" s="2">
        <v>28.83</v>
      </c>
      <c r="G247" s="2" t="s">
        <v>837</v>
      </c>
      <c r="H247" s="2">
        <v>43.71</v>
      </c>
      <c r="I247" s="2" t="s">
        <v>837</v>
      </c>
      <c r="J247" s="2">
        <v>10.93</v>
      </c>
      <c r="K247" s="2" t="s">
        <v>837</v>
      </c>
      <c r="L247" s="2">
        <v>17.920000000000002</v>
      </c>
      <c r="M247" s="2" t="s">
        <v>837</v>
      </c>
      <c r="N247" s="2">
        <v>10.15</v>
      </c>
      <c r="O247" s="2" t="s">
        <v>837</v>
      </c>
      <c r="P247" s="2">
        <v>25.31</v>
      </c>
      <c r="Q247" s="2" t="s">
        <v>837</v>
      </c>
      <c r="R247" s="2">
        <v>19.59</v>
      </c>
      <c r="S247" s="2" t="s">
        <v>837</v>
      </c>
      <c r="T247" s="2">
        <v>17.78</v>
      </c>
      <c r="U247" s="2" t="s">
        <v>837</v>
      </c>
      <c r="V247" s="2">
        <v>6.53</v>
      </c>
      <c r="W247" s="2" t="s">
        <v>837</v>
      </c>
      <c r="X247" s="2">
        <v>106.65</v>
      </c>
      <c r="Y247" s="2" t="s">
        <v>837</v>
      </c>
      <c r="Z247" s="2">
        <v>28.85</v>
      </c>
      <c r="AA247" s="2" t="s">
        <v>839</v>
      </c>
      <c r="AB247" s="2">
        <v>20.43</v>
      </c>
      <c r="AC247" s="2" t="s">
        <v>837</v>
      </c>
      <c r="AD247" s="2">
        <v>19.82</v>
      </c>
      <c r="AE247" s="2" t="s">
        <v>837</v>
      </c>
      <c r="AF247" s="2">
        <v>23.81</v>
      </c>
      <c r="AG247" s="2" t="s">
        <v>837</v>
      </c>
      <c r="AH247" s="2" t="s">
        <v>840</v>
      </c>
      <c r="AI247" s="2" t="s">
        <v>837</v>
      </c>
      <c r="AJ247" s="2">
        <v>49.79</v>
      </c>
      <c r="AK247" s="2" t="s">
        <v>837</v>
      </c>
      <c r="AL247" s="2">
        <v>5.21</v>
      </c>
      <c r="AM247" s="2" t="s">
        <v>837</v>
      </c>
      <c r="AN247" s="2">
        <v>90.14</v>
      </c>
      <c r="AO247" s="2" t="s">
        <v>837</v>
      </c>
      <c r="AP247" s="2">
        <v>107.59</v>
      </c>
      <c r="AQ247" s="2" t="s">
        <v>837</v>
      </c>
      <c r="AR247" s="2">
        <v>10.81</v>
      </c>
      <c r="AS247" s="2" t="s">
        <v>837</v>
      </c>
      <c r="AT247" s="2">
        <v>1299.5</v>
      </c>
      <c r="AU247" s="2" t="s">
        <v>837</v>
      </c>
      <c r="AV247" s="2">
        <v>129.88999999999999</v>
      </c>
      <c r="AW247" s="2" t="s">
        <v>837</v>
      </c>
      <c r="AX247" s="2">
        <v>124.89</v>
      </c>
      <c r="AY247" s="2" t="s">
        <v>837</v>
      </c>
      <c r="AZ247" s="2">
        <v>3.5</v>
      </c>
      <c r="BA247" s="2" t="s">
        <v>837</v>
      </c>
      <c r="BB247" s="2">
        <v>188.08</v>
      </c>
      <c r="BC247" s="2" t="s">
        <v>837</v>
      </c>
      <c r="BD247" s="2">
        <v>17.11</v>
      </c>
      <c r="BE247" s="2" t="s">
        <v>837</v>
      </c>
      <c r="BF247" s="2">
        <v>19.36</v>
      </c>
      <c r="BG247" s="2" t="s">
        <v>837</v>
      </c>
      <c r="BH247" s="2">
        <v>40.200000000000003</v>
      </c>
      <c r="BI247" s="2" t="s">
        <v>837</v>
      </c>
      <c r="BJ247" s="2">
        <v>167.3</v>
      </c>
      <c r="BK247" s="2" t="s">
        <v>837</v>
      </c>
      <c r="BL247" s="2">
        <v>45.6</v>
      </c>
      <c r="BM247" s="2" t="s">
        <v>837</v>
      </c>
      <c r="BN247" s="2">
        <v>50.33</v>
      </c>
      <c r="BO247" s="2" t="s">
        <v>837</v>
      </c>
      <c r="BP247" s="2">
        <v>20.95</v>
      </c>
      <c r="BQ247" s="2" t="s">
        <v>837</v>
      </c>
      <c r="BR247" s="2">
        <v>34.6</v>
      </c>
      <c r="BS247" s="2" t="s">
        <v>837</v>
      </c>
      <c r="BT247" s="2">
        <v>15.3</v>
      </c>
      <c r="BU247" s="2" t="s">
        <v>837</v>
      </c>
      <c r="BV247" s="2">
        <v>95335.96</v>
      </c>
      <c r="BW247" s="2" t="s">
        <v>837</v>
      </c>
      <c r="BX247" s="2">
        <v>29.3</v>
      </c>
    </row>
    <row r="248" spans="1:76">
      <c r="A248" s="2" t="s">
        <v>1</v>
      </c>
      <c r="B248" s="2">
        <v>248</v>
      </c>
      <c r="C248" s="2" t="s">
        <v>839</v>
      </c>
      <c r="D248" s="2" t="s">
        <v>788</v>
      </c>
      <c r="E248" s="2" t="s">
        <v>839</v>
      </c>
      <c r="F248" s="2" t="s">
        <v>771</v>
      </c>
      <c r="G248" s="2" t="s">
        <v>839</v>
      </c>
      <c r="H248" s="2" t="s">
        <v>841</v>
      </c>
      <c r="I248" s="2" t="s">
        <v>839</v>
      </c>
      <c r="J248" s="2" t="s">
        <v>756</v>
      </c>
      <c r="K248" s="2" t="s">
        <v>839</v>
      </c>
      <c r="L248" s="2" t="s">
        <v>773</v>
      </c>
      <c r="M248" s="2" t="s">
        <v>839</v>
      </c>
      <c r="N248" s="2" t="s">
        <v>800</v>
      </c>
      <c r="O248" s="2" t="s">
        <v>839</v>
      </c>
      <c r="P248" s="2" t="s">
        <v>786</v>
      </c>
      <c r="Q248" s="2" t="s">
        <v>839</v>
      </c>
      <c r="R248" s="2" t="s">
        <v>783</v>
      </c>
      <c r="S248" s="2" t="s">
        <v>839</v>
      </c>
      <c r="T248" s="2" t="s">
        <v>749</v>
      </c>
      <c r="U248" s="2" t="s">
        <v>839</v>
      </c>
      <c r="V248" s="2" t="s">
        <v>785</v>
      </c>
      <c r="W248" s="2" t="s">
        <v>839</v>
      </c>
      <c r="X248" s="2" t="s">
        <v>842</v>
      </c>
      <c r="Y248" s="2" t="s">
        <v>839</v>
      </c>
      <c r="Z248" s="2" t="s">
        <v>843</v>
      </c>
      <c r="AA248" s="2" t="s">
        <v>844</v>
      </c>
      <c r="AB248" s="2" t="s">
        <v>845</v>
      </c>
      <c r="AC248" s="2" t="s">
        <v>839</v>
      </c>
      <c r="AD248" s="2" t="s">
        <v>763</v>
      </c>
      <c r="AE248" s="2" t="s">
        <v>839</v>
      </c>
      <c r="AF248" s="2" t="s">
        <v>846</v>
      </c>
      <c r="AG248" s="2" t="s">
        <v>839</v>
      </c>
      <c r="AH248" s="2" t="s">
        <v>847</v>
      </c>
      <c r="AI248" s="2" t="s">
        <v>839</v>
      </c>
      <c r="AJ248" s="2" t="s">
        <v>848</v>
      </c>
      <c r="AK248" s="2" t="s">
        <v>839</v>
      </c>
      <c r="AL248" s="2" t="s">
        <v>819</v>
      </c>
      <c r="AM248" s="2" t="s">
        <v>839</v>
      </c>
      <c r="AN248" s="2" t="s">
        <v>849</v>
      </c>
      <c r="AO248" s="2" t="s">
        <v>839</v>
      </c>
      <c r="AP248" s="2" t="s">
        <v>793</v>
      </c>
      <c r="AQ248" s="2" t="s">
        <v>839</v>
      </c>
      <c r="AR248" s="2" t="s">
        <v>850</v>
      </c>
      <c r="AS248" s="2" t="s">
        <v>839</v>
      </c>
      <c r="AT248" s="2" t="s">
        <v>851</v>
      </c>
      <c r="AU248" s="2" t="s">
        <v>839</v>
      </c>
      <c r="AV248" s="2" t="s">
        <v>852</v>
      </c>
      <c r="AW248" s="2" t="s">
        <v>839</v>
      </c>
      <c r="AX248" s="2" t="s">
        <v>853</v>
      </c>
      <c r="AY248" s="2" t="s">
        <v>839</v>
      </c>
      <c r="AZ248" s="2" t="s">
        <v>838</v>
      </c>
      <c r="BA248" s="2" t="s">
        <v>839</v>
      </c>
      <c r="BB248" s="2" t="s">
        <v>854</v>
      </c>
      <c r="BC248" s="2" t="s">
        <v>839</v>
      </c>
      <c r="BD248" s="2" t="s">
        <v>743</v>
      </c>
      <c r="BE248" s="2" t="s">
        <v>839</v>
      </c>
      <c r="BF248" s="2" t="s">
        <v>781</v>
      </c>
      <c r="BG248" s="2" t="s">
        <v>839</v>
      </c>
      <c r="BH248" s="2" t="s">
        <v>753</v>
      </c>
      <c r="BI248" s="2" t="s">
        <v>839</v>
      </c>
      <c r="BJ248" s="2" t="s">
        <v>855</v>
      </c>
      <c r="BK248" s="2" t="s">
        <v>839</v>
      </c>
      <c r="BL248" s="2" t="s">
        <v>856</v>
      </c>
      <c r="BM248" s="2" t="s">
        <v>839</v>
      </c>
      <c r="BN248" s="2" t="s">
        <v>857</v>
      </c>
      <c r="BO248" s="2" t="s">
        <v>839</v>
      </c>
      <c r="BP248" s="2" t="s">
        <v>755</v>
      </c>
      <c r="BQ248" s="2" t="s">
        <v>839</v>
      </c>
      <c r="BR248" s="2" t="s">
        <v>769</v>
      </c>
      <c r="BS248" s="2" t="s">
        <v>839</v>
      </c>
      <c r="BT248" s="2" t="s">
        <v>858</v>
      </c>
      <c r="BU248" s="2" t="s">
        <v>839</v>
      </c>
      <c r="BV248" s="2" t="s">
        <v>859</v>
      </c>
      <c r="BW248" s="2" t="s">
        <v>839</v>
      </c>
      <c r="BX248" s="2" t="s">
        <v>754</v>
      </c>
    </row>
    <row r="249" spans="1:76">
      <c r="A249" s="2" t="s">
        <v>1</v>
      </c>
      <c r="B249" s="2">
        <v>249</v>
      </c>
      <c r="C249" s="2" t="s">
        <v>844</v>
      </c>
      <c r="D249" s="2" t="s">
        <v>784</v>
      </c>
      <c r="E249" s="2" t="s">
        <v>844</v>
      </c>
      <c r="F249" s="2" t="s">
        <v>860</v>
      </c>
      <c r="G249" s="2" t="s">
        <v>844</v>
      </c>
      <c r="H249" s="2" t="s">
        <v>861</v>
      </c>
      <c r="I249" s="2" t="s">
        <v>844</v>
      </c>
      <c r="J249" s="2" t="s">
        <v>862</v>
      </c>
      <c r="K249" s="2" t="s">
        <v>844</v>
      </c>
      <c r="L249" s="2" t="s">
        <v>759</v>
      </c>
      <c r="M249" s="2" t="s">
        <v>844</v>
      </c>
      <c r="N249" s="2" t="s">
        <v>863</v>
      </c>
      <c r="O249" s="2" t="s">
        <v>844</v>
      </c>
      <c r="P249" s="2" t="s">
        <v>737</v>
      </c>
      <c r="Q249" s="2" t="s">
        <v>844</v>
      </c>
      <c r="R249" s="2" t="s">
        <v>739</v>
      </c>
      <c r="S249" s="2" t="s">
        <v>844</v>
      </c>
      <c r="T249" s="2" t="s">
        <v>750</v>
      </c>
      <c r="U249" s="2" t="s">
        <v>844</v>
      </c>
      <c r="V249" s="2" t="s">
        <v>864</v>
      </c>
      <c r="W249" s="2" t="s">
        <v>844</v>
      </c>
      <c r="X249" s="2" t="s">
        <v>865</v>
      </c>
      <c r="Y249" s="2" t="s">
        <v>844</v>
      </c>
      <c r="Z249" s="2" t="s">
        <v>770</v>
      </c>
      <c r="AA249" s="2" t="s">
        <v>866</v>
      </c>
      <c r="AB249" s="2" t="s">
        <v>790</v>
      </c>
      <c r="AC249" s="2" t="s">
        <v>844</v>
      </c>
      <c r="AD249" s="2" t="s">
        <v>867</v>
      </c>
      <c r="AE249" s="2" t="s">
        <v>844</v>
      </c>
      <c r="AF249" s="2" t="s">
        <v>797</v>
      </c>
      <c r="AG249" s="2" t="s">
        <v>844</v>
      </c>
      <c r="AH249" s="2" t="s">
        <v>832</v>
      </c>
      <c r="AI249" s="2" t="s">
        <v>844</v>
      </c>
      <c r="AJ249" s="2" t="s">
        <v>772</v>
      </c>
      <c r="AK249" s="2" t="s">
        <v>844</v>
      </c>
      <c r="AL249" s="2" t="s">
        <v>396</v>
      </c>
      <c r="AM249" s="2" t="s">
        <v>844</v>
      </c>
      <c r="AN249" s="2" t="s">
        <v>868</v>
      </c>
      <c r="AO249" s="2" t="s">
        <v>844</v>
      </c>
      <c r="AP249" s="2" t="s">
        <v>869</v>
      </c>
      <c r="AQ249" s="2" t="s">
        <v>844</v>
      </c>
      <c r="AR249" s="2" t="s">
        <v>870</v>
      </c>
      <c r="AS249" s="2" t="s">
        <v>844</v>
      </c>
      <c r="AT249" s="2" t="s">
        <v>871</v>
      </c>
      <c r="AU249" s="2" t="s">
        <v>844</v>
      </c>
      <c r="AV249" s="2" t="s">
        <v>872</v>
      </c>
      <c r="AW249" s="2" t="s">
        <v>844</v>
      </c>
      <c r="AX249" s="2" t="s">
        <v>873</v>
      </c>
      <c r="AY249" s="2" t="s">
        <v>844</v>
      </c>
      <c r="AZ249" s="2" t="s">
        <v>821</v>
      </c>
      <c r="BA249" s="2" t="s">
        <v>844</v>
      </c>
      <c r="BB249" s="2" t="s">
        <v>874</v>
      </c>
      <c r="BC249" s="2" t="s">
        <v>844</v>
      </c>
      <c r="BD249" s="2" t="s">
        <v>794</v>
      </c>
      <c r="BE249" s="2" t="s">
        <v>844</v>
      </c>
      <c r="BF249" s="2" t="s">
        <v>745</v>
      </c>
      <c r="BG249" s="2" t="s">
        <v>844</v>
      </c>
      <c r="BH249" s="2" t="s">
        <v>875</v>
      </c>
      <c r="BI249" s="2" t="s">
        <v>844</v>
      </c>
      <c r="BJ249" s="2" t="s">
        <v>876</v>
      </c>
      <c r="BK249" s="2" t="s">
        <v>844</v>
      </c>
      <c r="BL249" s="2" t="s">
        <v>801</v>
      </c>
      <c r="BM249" s="2" t="s">
        <v>844</v>
      </c>
      <c r="BN249" s="2" t="s">
        <v>877</v>
      </c>
      <c r="BO249" s="2" t="s">
        <v>844</v>
      </c>
      <c r="BP249" s="2" t="s">
        <v>68</v>
      </c>
      <c r="BQ249" s="2" t="s">
        <v>844</v>
      </c>
      <c r="BR249" s="2" t="s">
        <v>878</v>
      </c>
      <c r="BS249" s="2" t="s">
        <v>844</v>
      </c>
      <c r="BT249" s="2" t="s">
        <v>762</v>
      </c>
      <c r="BU249" s="2" t="s">
        <v>844</v>
      </c>
      <c r="BV249" s="2" t="s">
        <v>879</v>
      </c>
      <c r="BW249" s="2" t="s">
        <v>844</v>
      </c>
      <c r="BX249" s="2" t="s">
        <v>740</v>
      </c>
    </row>
    <row r="250" spans="1:76">
      <c r="A250" s="2" t="s">
        <v>1</v>
      </c>
      <c r="B250" s="2">
        <v>250</v>
      </c>
      <c r="C250" s="2" t="s">
        <v>866</v>
      </c>
      <c r="D250" s="2" t="s">
        <v>779</v>
      </c>
      <c r="E250" s="2" t="s">
        <v>866</v>
      </c>
      <c r="F250" s="2" t="s">
        <v>77</v>
      </c>
      <c r="G250" s="2" t="s">
        <v>866</v>
      </c>
      <c r="H250" s="2" t="s">
        <v>798</v>
      </c>
      <c r="I250" s="2" t="s">
        <v>866</v>
      </c>
      <c r="J250" s="2" t="s">
        <v>741</v>
      </c>
      <c r="K250" s="2" t="s">
        <v>866</v>
      </c>
      <c r="L250" s="2" t="s">
        <v>751</v>
      </c>
      <c r="M250" s="2" t="s">
        <v>866</v>
      </c>
      <c r="N250" s="2" t="s">
        <v>880</v>
      </c>
      <c r="O250" s="2" t="s">
        <v>866</v>
      </c>
      <c r="P250" s="2" t="s">
        <v>765</v>
      </c>
      <c r="Q250" s="2" t="s">
        <v>866</v>
      </c>
      <c r="R250" s="2" t="s">
        <v>739</v>
      </c>
      <c r="S250" s="2" t="s">
        <v>866</v>
      </c>
      <c r="T250" s="2" t="s">
        <v>767</v>
      </c>
      <c r="U250" s="2" t="s">
        <v>866</v>
      </c>
      <c r="V250" s="2" t="s">
        <v>834</v>
      </c>
      <c r="W250" s="2" t="s">
        <v>866</v>
      </c>
      <c r="X250" s="2" t="s">
        <v>75</v>
      </c>
      <c r="Y250" s="2" t="s">
        <v>866</v>
      </c>
      <c r="Z250" s="2" t="s">
        <v>748</v>
      </c>
      <c r="AA250" s="2" t="s">
        <v>881</v>
      </c>
      <c r="AB250" s="2" t="s">
        <v>780</v>
      </c>
      <c r="AC250" s="2" t="s">
        <v>866</v>
      </c>
      <c r="AD250" s="2" t="s">
        <v>752</v>
      </c>
      <c r="AE250" s="2" t="s">
        <v>866</v>
      </c>
      <c r="AF250" s="2" t="s">
        <v>882</v>
      </c>
      <c r="AG250" s="2" t="s">
        <v>866</v>
      </c>
      <c r="AH250" s="2" t="s">
        <v>883</v>
      </c>
      <c r="AI250" s="2" t="s">
        <v>866</v>
      </c>
      <c r="AJ250" s="2" t="s">
        <v>884</v>
      </c>
      <c r="AK250" s="2" t="s">
        <v>866</v>
      </c>
      <c r="AL250" s="2" t="s">
        <v>760</v>
      </c>
      <c r="AM250" s="2" t="s">
        <v>866</v>
      </c>
      <c r="AN250" s="2" t="s">
        <v>742</v>
      </c>
      <c r="AO250" s="2" t="s">
        <v>866</v>
      </c>
      <c r="AP250" s="2" t="s">
        <v>885</v>
      </c>
      <c r="AQ250" s="2" t="s">
        <v>866</v>
      </c>
      <c r="AR250" s="2" t="s">
        <v>795</v>
      </c>
      <c r="AS250" s="2" t="s">
        <v>866</v>
      </c>
      <c r="AT250" s="2" t="s">
        <v>886</v>
      </c>
      <c r="AU250" s="2" t="s">
        <v>866</v>
      </c>
      <c r="AV250" s="2" t="s">
        <v>887</v>
      </c>
      <c r="AW250" s="2" t="s">
        <v>866</v>
      </c>
      <c r="AX250" s="2" t="s">
        <v>853</v>
      </c>
      <c r="AY250" s="2" t="s">
        <v>866</v>
      </c>
      <c r="AZ250" s="2" t="s">
        <v>888</v>
      </c>
      <c r="BA250" s="2" t="s">
        <v>866</v>
      </c>
      <c r="BB250" s="2" t="s">
        <v>423</v>
      </c>
      <c r="BC250" s="2" t="s">
        <v>866</v>
      </c>
      <c r="BD250" s="2" t="s">
        <v>757</v>
      </c>
      <c r="BE250" s="2" t="s">
        <v>866</v>
      </c>
      <c r="BF250" s="2" t="s">
        <v>775</v>
      </c>
      <c r="BG250" s="2" t="s">
        <v>866</v>
      </c>
      <c r="BH250" s="2" t="s">
        <v>889</v>
      </c>
      <c r="BI250" s="2" t="s">
        <v>866</v>
      </c>
      <c r="BJ250" s="2" t="s">
        <v>359</v>
      </c>
      <c r="BK250" s="2" t="s">
        <v>866</v>
      </c>
      <c r="BL250" s="2" t="s">
        <v>890</v>
      </c>
      <c r="BM250" s="2" t="s">
        <v>866</v>
      </c>
      <c r="BN250" s="2" t="s">
        <v>840</v>
      </c>
      <c r="BO250" s="2" t="s">
        <v>866</v>
      </c>
      <c r="BP250" s="2" t="s">
        <v>817</v>
      </c>
      <c r="BQ250" s="2" t="s">
        <v>866</v>
      </c>
      <c r="BR250" s="2" t="s">
        <v>792</v>
      </c>
      <c r="BS250" s="2" t="s">
        <v>866</v>
      </c>
      <c r="BT250" s="2" t="s">
        <v>789</v>
      </c>
      <c r="BU250" s="2" t="s">
        <v>866</v>
      </c>
      <c r="BV250" s="2" t="s">
        <v>891</v>
      </c>
      <c r="BW250" s="2" t="s">
        <v>866</v>
      </c>
      <c r="BX250" s="2" t="s">
        <v>778</v>
      </c>
    </row>
    <row r="251" spans="1:76">
      <c r="A251" s="2" t="s">
        <v>1</v>
      </c>
      <c r="B251" s="2">
        <v>251</v>
      </c>
      <c r="C251" s="2" t="s">
        <v>881</v>
      </c>
      <c r="D251" s="2" t="s">
        <v>799</v>
      </c>
      <c r="E251" s="2" t="s">
        <v>881</v>
      </c>
      <c r="F251" s="2" t="s">
        <v>892</v>
      </c>
      <c r="G251" s="2" t="s">
        <v>881</v>
      </c>
      <c r="H251" s="2" t="s">
        <v>738</v>
      </c>
      <c r="I251" s="2" t="s">
        <v>881</v>
      </c>
      <c r="J251" s="2" t="s">
        <v>796</v>
      </c>
      <c r="K251" s="2" t="s">
        <v>881</v>
      </c>
      <c r="L251" s="2" t="s">
        <v>761</v>
      </c>
      <c r="M251" s="2" t="s">
        <v>881</v>
      </c>
      <c r="N251" s="2" t="s">
        <v>893</v>
      </c>
      <c r="O251" s="2" t="s">
        <v>881</v>
      </c>
      <c r="P251" s="2" t="s">
        <v>882</v>
      </c>
      <c r="Q251" s="2" t="s">
        <v>881</v>
      </c>
      <c r="R251" s="2" t="s">
        <v>766</v>
      </c>
      <c r="S251" s="2" t="s">
        <v>881</v>
      </c>
      <c r="T251" s="2" t="s">
        <v>774</v>
      </c>
      <c r="U251" s="2" t="s">
        <v>881</v>
      </c>
      <c r="V251" s="2" t="s">
        <v>776</v>
      </c>
      <c r="W251" s="2" t="s">
        <v>881</v>
      </c>
      <c r="X251" s="2" t="s">
        <v>894</v>
      </c>
      <c r="Y251" s="2" t="s">
        <v>881</v>
      </c>
      <c r="Z251" s="2" t="s">
        <v>744</v>
      </c>
      <c r="AA251" s="2"/>
      <c r="AB251" s="2"/>
      <c r="AC251" s="2" t="s">
        <v>881</v>
      </c>
      <c r="AD251" s="2" t="s">
        <v>775</v>
      </c>
      <c r="AE251" s="2" t="s">
        <v>881</v>
      </c>
      <c r="AF251" s="2" t="s">
        <v>758</v>
      </c>
      <c r="AG251" s="2" t="s">
        <v>881</v>
      </c>
      <c r="AH251" s="2" t="s">
        <v>895</v>
      </c>
      <c r="AI251" s="2" t="s">
        <v>881</v>
      </c>
      <c r="AJ251" s="2" t="s">
        <v>896</v>
      </c>
      <c r="AK251" s="2" t="s">
        <v>881</v>
      </c>
      <c r="AL251" s="2" t="s">
        <v>782</v>
      </c>
      <c r="AM251" s="2" t="s">
        <v>881</v>
      </c>
      <c r="AN251" s="2" t="s">
        <v>897</v>
      </c>
      <c r="AO251" s="2" t="s">
        <v>881</v>
      </c>
      <c r="AP251" s="2" t="s">
        <v>898</v>
      </c>
      <c r="AQ251" s="2" t="s">
        <v>881</v>
      </c>
      <c r="AR251" s="2" t="s">
        <v>815</v>
      </c>
      <c r="AS251" s="2" t="s">
        <v>881</v>
      </c>
      <c r="AT251" s="2" t="s">
        <v>899</v>
      </c>
      <c r="AU251" s="2" t="s">
        <v>881</v>
      </c>
      <c r="AV251" s="2" t="s">
        <v>900</v>
      </c>
      <c r="AW251" s="2" t="s">
        <v>881</v>
      </c>
      <c r="AX251" s="2" t="s">
        <v>901</v>
      </c>
      <c r="AY251" s="2" t="s">
        <v>881</v>
      </c>
      <c r="AZ251" s="2" t="s">
        <v>902</v>
      </c>
      <c r="BA251" s="2" t="s">
        <v>881</v>
      </c>
      <c r="BB251" s="2" t="s">
        <v>467</v>
      </c>
      <c r="BC251" s="2" t="s">
        <v>881</v>
      </c>
      <c r="BD251" s="2" t="s">
        <v>764</v>
      </c>
      <c r="BE251" s="2" t="s">
        <v>881</v>
      </c>
      <c r="BF251" s="2" t="s">
        <v>747</v>
      </c>
      <c r="BG251" s="2" t="s">
        <v>881</v>
      </c>
      <c r="BH251" s="2" t="s">
        <v>903</v>
      </c>
      <c r="BI251" s="2" t="s">
        <v>881</v>
      </c>
      <c r="BJ251" s="2" t="s">
        <v>777</v>
      </c>
      <c r="BK251" s="2" t="s">
        <v>881</v>
      </c>
      <c r="BL251" s="2" t="s">
        <v>515</v>
      </c>
      <c r="BM251" s="2" t="s">
        <v>881</v>
      </c>
      <c r="BN251" s="2" t="s">
        <v>787</v>
      </c>
      <c r="BO251" s="2" t="s">
        <v>881</v>
      </c>
      <c r="BP251" s="2" t="s">
        <v>791</v>
      </c>
      <c r="BQ251" s="2" t="s">
        <v>881</v>
      </c>
      <c r="BR251" s="2" t="s">
        <v>746</v>
      </c>
      <c r="BS251" s="2" t="s">
        <v>881</v>
      </c>
      <c r="BT251" s="2" t="s">
        <v>768</v>
      </c>
      <c r="BU251" s="2" t="s">
        <v>881</v>
      </c>
      <c r="BV251" s="2" t="s">
        <v>904</v>
      </c>
      <c r="BW251" s="2" t="s">
        <v>881</v>
      </c>
      <c r="BX251" s="2" t="s">
        <v>905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"/>
  <sheetViews>
    <sheetView workbookViewId="0">
      <selection activeCell="D29" sqref="D29"/>
    </sheetView>
  </sheetViews>
  <sheetFormatPr defaultRowHeight="14.4"/>
  <cols>
    <col min="1" max="1" width="10.5546875" bestFit="1" customWidth="1"/>
    <col min="2" max="2" width="11.6640625" bestFit="1" customWidth="1"/>
    <col min="3" max="3" width="11" bestFit="1" customWidth="1"/>
  </cols>
  <sheetData>
    <row r="1" spans="1:3" s="20" customFormat="1">
      <c r="A1" s="54" t="s">
        <v>734</v>
      </c>
      <c r="B1" s="54" t="s">
        <v>14</v>
      </c>
      <c r="C1" s="54" t="s">
        <v>37</v>
      </c>
    </row>
    <row r="2" spans="1:3">
      <c r="A2" s="100">
        <v>43608</v>
      </c>
      <c r="B2">
        <v>23.33</v>
      </c>
      <c r="C2">
        <v>10.32</v>
      </c>
    </row>
    <row r="3" spans="1:3">
      <c r="A3" s="100">
        <v>43609</v>
      </c>
      <c r="B3">
        <v>23.2</v>
      </c>
      <c r="C3">
        <v>10.31</v>
      </c>
    </row>
    <row r="4" spans="1:3">
      <c r="A4" s="100">
        <v>43612</v>
      </c>
      <c r="B4">
        <v>23.28</v>
      </c>
      <c r="C4">
        <v>10.32</v>
      </c>
    </row>
    <row r="5" spans="1:3">
      <c r="A5" s="100">
        <v>43613</v>
      </c>
      <c r="B5">
        <v>23.79</v>
      </c>
      <c r="C5">
        <v>10.51</v>
      </c>
    </row>
    <row r="6" spans="1:3">
      <c r="A6" s="100">
        <v>43614</v>
      </c>
      <c r="B6">
        <v>23.66</v>
      </c>
      <c r="C6">
        <v>10.56</v>
      </c>
    </row>
    <row r="7" spans="1:3">
      <c r="A7" s="100">
        <v>43615</v>
      </c>
      <c r="B7">
        <v>23.72</v>
      </c>
      <c r="C7">
        <v>10.62</v>
      </c>
    </row>
    <row r="8" spans="1:3">
      <c r="A8" s="100">
        <v>43616</v>
      </c>
      <c r="B8">
        <v>24.52</v>
      </c>
      <c r="C8">
        <v>10.87</v>
      </c>
    </row>
    <row r="9" spans="1:3">
      <c r="A9" s="100">
        <v>43619</v>
      </c>
      <c r="B9">
        <v>24.44</v>
      </c>
      <c r="C9">
        <v>10.74</v>
      </c>
    </row>
    <row r="10" spans="1:3">
      <c r="A10" s="100">
        <v>43620</v>
      </c>
      <c r="B10">
        <v>24.54</v>
      </c>
      <c r="C10">
        <v>10.85</v>
      </c>
    </row>
    <row r="11" spans="1:3">
      <c r="A11" s="100">
        <v>43621</v>
      </c>
      <c r="B11">
        <v>24.64</v>
      </c>
      <c r="C11">
        <v>10.83</v>
      </c>
    </row>
    <row r="12" spans="1:3">
      <c r="A12" s="100">
        <v>43622</v>
      </c>
      <c r="B12">
        <v>25.15</v>
      </c>
      <c r="C12">
        <v>10.97</v>
      </c>
    </row>
    <row r="13" spans="1:3">
      <c r="A13" s="100">
        <v>43623</v>
      </c>
      <c r="B13">
        <v>25.37</v>
      </c>
      <c r="C13">
        <v>11.02</v>
      </c>
    </row>
    <row r="14" spans="1:3">
      <c r="A14" s="100">
        <v>43626</v>
      </c>
      <c r="B14">
        <v>25.32</v>
      </c>
      <c r="C14">
        <v>11.01</v>
      </c>
    </row>
    <row r="15" spans="1:3">
      <c r="A15" s="100">
        <v>43627</v>
      </c>
      <c r="B15">
        <v>25.04</v>
      </c>
      <c r="C15">
        <v>10.97</v>
      </c>
    </row>
    <row r="16" spans="1:3">
      <c r="A16" s="100">
        <v>43628</v>
      </c>
      <c r="B16">
        <v>24.82</v>
      </c>
      <c r="C16">
        <v>10.94</v>
      </c>
    </row>
    <row r="17" spans="1:3">
      <c r="A17" s="100">
        <v>43629</v>
      </c>
      <c r="B17">
        <v>24.83</v>
      </c>
      <c r="C17">
        <v>11.02</v>
      </c>
    </row>
    <row r="18" spans="1:3">
      <c r="A18" s="100">
        <v>43630</v>
      </c>
      <c r="B18">
        <v>24.57</v>
      </c>
      <c r="C18">
        <v>11.09</v>
      </c>
    </row>
    <row r="19" spans="1:3">
      <c r="A19" s="100">
        <v>43633</v>
      </c>
      <c r="B19">
        <v>24.49</v>
      </c>
      <c r="C19">
        <v>11.08</v>
      </c>
    </row>
    <row r="20" spans="1:3">
      <c r="A20" s="100">
        <v>43634</v>
      </c>
      <c r="B20">
        <v>24.68</v>
      </c>
      <c r="C20">
        <v>11.06</v>
      </c>
    </row>
    <row r="21" spans="1:3">
      <c r="A21" s="100">
        <v>43635</v>
      </c>
      <c r="B21">
        <v>24.91</v>
      </c>
      <c r="C21">
        <v>11.08</v>
      </c>
    </row>
    <row r="22" spans="1:3">
      <c r="A22" s="100">
        <v>43637</v>
      </c>
      <c r="B22">
        <v>24.8</v>
      </c>
      <c r="C22">
        <v>11.1</v>
      </c>
    </row>
    <row r="23" spans="1:3">
      <c r="A23" s="100">
        <v>43640</v>
      </c>
      <c r="B23">
        <v>25.09</v>
      </c>
      <c r="C23">
        <v>11.15</v>
      </c>
    </row>
    <row r="24" spans="1:3">
      <c r="A24" s="100">
        <v>43641</v>
      </c>
      <c r="B24">
        <v>24.77</v>
      </c>
      <c r="C24">
        <v>11.01</v>
      </c>
    </row>
    <row r="25" spans="1:3">
      <c r="A25" s="100">
        <v>43642</v>
      </c>
      <c r="B25">
        <v>24.93</v>
      </c>
      <c r="C25">
        <v>10.91</v>
      </c>
    </row>
    <row r="26" spans="1:3">
      <c r="A26" s="100">
        <v>43643</v>
      </c>
      <c r="B26">
        <v>25.05</v>
      </c>
      <c r="C26">
        <v>11.02</v>
      </c>
    </row>
    <row r="27" spans="1:3">
      <c r="A27" s="100">
        <v>43644</v>
      </c>
      <c r="B27">
        <v>25.1</v>
      </c>
      <c r="C27">
        <v>11.15</v>
      </c>
    </row>
    <row r="28" spans="1:3">
      <c r="A28" s="100">
        <v>43647</v>
      </c>
      <c r="B28">
        <v>25.32</v>
      </c>
      <c r="C28">
        <v>11.27</v>
      </c>
    </row>
    <row r="29" spans="1:3">
      <c r="A29" s="100">
        <v>43648</v>
      </c>
      <c r="B29">
        <v>25.32</v>
      </c>
      <c r="C29">
        <v>10.92</v>
      </c>
    </row>
    <row r="30" spans="1:3">
      <c r="A30" s="100">
        <v>43649</v>
      </c>
      <c r="B30">
        <v>25.57</v>
      </c>
      <c r="C30">
        <v>11.16</v>
      </c>
    </row>
    <row r="31" spans="1:3">
      <c r="A31" s="100">
        <v>43650</v>
      </c>
      <c r="B31">
        <v>25.67</v>
      </c>
      <c r="C31">
        <v>11.34</v>
      </c>
    </row>
    <row r="32" spans="1:3">
      <c r="A32" s="100">
        <v>43651</v>
      </c>
      <c r="B32">
        <v>25.91</v>
      </c>
      <c r="C32">
        <v>11.49</v>
      </c>
    </row>
    <row r="33" spans="1:3">
      <c r="A33" s="100">
        <v>43654</v>
      </c>
      <c r="B33">
        <v>26.19</v>
      </c>
      <c r="C33">
        <v>11.84</v>
      </c>
    </row>
    <row r="34" spans="1:3">
      <c r="A34" s="100">
        <v>43656</v>
      </c>
      <c r="B34">
        <v>26.52</v>
      </c>
      <c r="C34">
        <v>11.94</v>
      </c>
    </row>
    <row r="35" spans="1:3">
      <c r="A35" s="100">
        <v>43657</v>
      </c>
      <c r="B35">
        <v>26.77</v>
      </c>
      <c r="C35">
        <v>11.87</v>
      </c>
    </row>
    <row r="36" spans="1:3">
      <c r="A36" s="100">
        <v>43658</v>
      </c>
      <c r="B36">
        <v>26.32</v>
      </c>
      <c r="C36">
        <v>11.96</v>
      </c>
    </row>
    <row r="37" spans="1:3">
      <c r="A37" s="100">
        <v>43661</v>
      </c>
      <c r="B37">
        <v>25.91</v>
      </c>
      <c r="C37">
        <v>12.02</v>
      </c>
    </row>
    <row r="38" spans="1:3">
      <c r="A38" s="100">
        <v>43662</v>
      </c>
      <c r="B38">
        <v>25.71</v>
      </c>
      <c r="C38">
        <v>11.97</v>
      </c>
    </row>
    <row r="39" spans="1:3">
      <c r="A39" s="100">
        <v>43663</v>
      </c>
      <c r="B39">
        <v>25.77</v>
      </c>
      <c r="C39">
        <v>12.02</v>
      </c>
    </row>
    <row r="40" spans="1:3">
      <c r="A40" s="100">
        <v>43664</v>
      </c>
      <c r="B40">
        <v>26.02</v>
      </c>
      <c r="C40">
        <v>12.15</v>
      </c>
    </row>
    <row r="41" spans="1:3">
      <c r="A41" s="100">
        <v>43665</v>
      </c>
      <c r="B41">
        <v>26.04</v>
      </c>
      <c r="C41">
        <v>11.93</v>
      </c>
    </row>
    <row r="42" spans="1:3">
      <c r="A42" s="100">
        <v>43668</v>
      </c>
      <c r="B42">
        <v>26.27</v>
      </c>
      <c r="C42">
        <v>11.98</v>
      </c>
    </row>
    <row r="43" spans="1:3">
      <c r="A43" s="100">
        <v>43669</v>
      </c>
      <c r="B43">
        <v>26.28</v>
      </c>
      <c r="C43">
        <v>12.06</v>
      </c>
    </row>
    <row r="44" spans="1:3">
      <c r="A44" s="100">
        <v>43670</v>
      </c>
      <c r="B44">
        <v>26.23</v>
      </c>
      <c r="C44">
        <v>11.98</v>
      </c>
    </row>
    <row r="45" spans="1:3">
      <c r="A45" s="100">
        <v>43671</v>
      </c>
      <c r="B45">
        <v>25.97</v>
      </c>
      <c r="C45">
        <v>11.97</v>
      </c>
    </row>
    <row r="46" spans="1:3">
      <c r="A46" s="100">
        <v>43672</v>
      </c>
      <c r="B46">
        <v>25.77</v>
      </c>
      <c r="C46">
        <v>11.94</v>
      </c>
    </row>
    <row r="47" spans="1:3">
      <c r="A47" s="100">
        <v>43675</v>
      </c>
      <c r="B47">
        <v>25.58</v>
      </c>
      <c r="C47">
        <v>11.89</v>
      </c>
    </row>
    <row r="48" spans="1:3">
      <c r="A48" s="100">
        <v>43676</v>
      </c>
      <c r="B48">
        <v>25.85</v>
      </c>
      <c r="C48">
        <v>12.12</v>
      </c>
    </row>
    <row r="49" spans="1:3">
      <c r="A49" s="100">
        <v>43677</v>
      </c>
      <c r="B49">
        <v>25.71</v>
      </c>
      <c r="C49">
        <v>12.12</v>
      </c>
    </row>
    <row r="50" spans="1:3">
      <c r="A50" s="100">
        <v>43678</v>
      </c>
      <c r="B50">
        <v>26.16</v>
      </c>
      <c r="C50">
        <v>12.07</v>
      </c>
    </row>
    <row r="51" spans="1:3">
      <c r="A51" s="100">
        <v>43679</v>
      </c>
      <c r="B51">
        <v>26.16</v>
      </c>
      <c r="C51">
        <v>12.12</v>
      </c>
    </row>
    <row r="52" spans="1:3">
      <c r="A52" s="100">
        <v>43682</v>
      </c>
      <c r="B52">
        <v>25.89</v>
      </c>
      <c r="C52">
        <v>11.87</v>
      </c>
    </row>
    <row r="53" spans="1:3">
      <c r="A53" s="100">
        <v>43683</v>
      </c>
      <c r="B53">
        <v>26.61</v>
      </c>
      <c r="C53">
        <v>11.94</v>
      </c>
    </row>
    <row r="54" spans="1:3">
      <c r="A54" s="100">
        <v>43684</v>
      </c>
      <c r="B54">
        <v>26.52</v>
      </c>
      <c r="C54">
        <v>11.89</v>
      </c>
    </row>
    <row r="55" spans="1:3">
      <c r="A55" s="100">
        <v>43685</v>
      </c>
      <c r="B55">
        <v>26.65</v>
      </c>
      <c r="C55">
        <v>11.85</v>
      </c>
    </row>
    <row r="56" spans="1:3">
      <c r="A56" s="100">
        <v>43686</v>
      </c>
      <c r="B56">
        <v>26.75</v>
      </c>
      <c r="C56">
        <v>12.05</v>
      </c>
    </row>
    <row r="57" spans="1:3">
      <c r="A57" s="100">
        <v>43689</v>
      </c>
      <c r="B57">
        <v>26.79</v>
      </c>
      <c r="C57">
        <v>11.82</v>
      </c>
    </row>
    <row r="58" spans="1:3">
      <c r="A58" s="100">
        <v>43690</v>
      </c>
      <c r="B58">
        <v>27.25</v>
      </c>
      <c r="C58">
        <v>11.75</v>
      </c>
    </row>
    <row r="59" spans="1:3">
      <c r="A59" s="100">
        <v>43691</v>
      </c>
      <c r="B59">
        <v>26.58</v>
      </c>
      <c r="C59">
        <v>11.46</v>
      </c>
    </row>
    <row r="60" spans="1:3">
      <c r="A60" s="100">
        <v>43692</v>
      </c>
      <c r="B60">
        <v>26.14</v>
      </c>
      <c r="C60">
        <v>11.17</v>
      </c>
    </row>
    <row r="61" spans="1:3">
      <c r="A61" s="100">
        <v>43693</v>
      </c>
      <c r="B61">
        <v>26.14</v>
      </c>
      <c r="C61">
        <v>11.24</v>
      </c>
    </row>
    <row r="62" spans="1:3">
      <c r="A62" s="100">
        <v>43696</v>
      </c>
      <c r="B62">
        <v>25.93</v>
      </c>
      <c r="C62">
        <v>11.23</v>
      </c>
    </row>
    <row r="63" spans="1:3">
      <c r="A63" s="100">
        <v>43697</v>
      </c>
      <c r="B63">
        <v>25.57</v>
      </c>
      <c r="C63">
        <v>11.22</v>
      </c>
    </row>
    <row r="64" spans="1:3">
      <c r="A64" s="100">
        <v>43698</v>
      </c>
      <c r="B64">
        <v>26.07</v>
      </c>
      <c r="C64">
        <v>11.43</v>
      </c>
    </row>
    <row r="65" spans="1:3">
      <c r="A65" s="100">
        <v>43699</v>
      </c>
      <c r="B65">
        <v>26.2</v>
      </c>
      <c r="C65">
        <v>11.61</v>
      </c>
    </row>
    <row r="66" spans="1:3">
      <c r="A66" s="100">
        <v>43700</v>
      </c>
      <c r="B66">
        <v>25.8</v>
      </c>
      <c r="C66">
        <v>11.39</v>
      </c>
    </row>
    <row r="67" spans="1:3">
      <c r="A67" s="100">
        <v>43703</v>
      </c>
      <c r="B67">
        <v>25.43</v>
      </c>
      <c r="C67">
        <v>11.28</v>
      </c>
    </row>
    <row r="68" spans="1:3">
      <c r="A68" s="100">
        <v>43704</v>
      </c>
      <c r="B68">
        <v>25.88</v>
      </c>
      <c r="C68">
        <v>11.07</v>
      </c>
    </row>
    <row r="69" spans="1:3">
      <c r="A69" s="100">
        <v>43705</v>
      </c>
      <c r="B69">
        <v>25.96</v>
      </c>
      <c r="C69">
        <v>11.12</v>
      </c>
    </row>
    <row r="70" spans="1:3">
      <c r="A70" s="100">
        <v>43706</v>
      </c>
      <c r="B70">
        <v>26.27</v>
      </c>
      <c r="C70">
        <v>11.28</v>
      </c>
    </row>
    <row r="71" spans="1:3">
      <c r="A71" s="100">
        <v>43707</v>
      </c>
      <c r="B71">
        <v>26.61</v>
      </c>
      <c r="C71">
        <v>11.43</v>
      </c>
    </row>
    <row r="72" spans="1:3">
      <c r="A72" s="100">
        <v>43710</v>
      </c>
      <c r="B72">
        <v>26.5</v>
      </c>
      <c r="C72">
        <v>11.72</v>
      </c>
    </row>
    <row r="73" spans="1:3">
      <c r="A73" s="100">
        <v>43711</v>
      </c>
      <c r="B73">
        <v>26.51</v>
      </c>
      <c r="C73">
        <v>11.71</v>
      </c>
    </row>
    <row r="74" spans="1:3">
      <c r="A74" s="100">
        <v>43712</v>
      </c>
      <c r="B74">
        <v>26.99</v>
      </c>
      <c r="C74">
        <v>11.63</v>
      </c>
    </row>
    <row r="75" spans="1:3">
      <c r="A75" s="100">
        <v>43713</v>
      </c>
      <c r="B75">
        <v>26.89</v>
      </c>
      <c r="C75">
        <v>11.63</v>
      </c>
    </row>
    <row r="76" spans="1:3">
      <c r="A76" s="100">
        <v>43714</v>
      </c>
      <c r="B76">
        <v>26.86</v>
      </c>
      <c r="C76">
        <v>11.56</v>
      </c>
    </row>
    <row r="77" spans="1:3">
      <c r="A77" s="100">
        <v>43717</v>
      </c>
      <c r="B77">
        <v>26.61</v>
      </c>
      <c r="C77">
        <v>11.26</v>
      </c>
    </row>
    <row r="78" spans="1:3">
      <c r="A78" s="100">
        <v>43718</v>
      </c>
      <c r="B78">
        <v>26.4</v>
      </c>
      <c r="C78">
        <v>11.33</v>
      </c>
    </row>
    <row r="79" spans="1:3">
      <c r="A79" s="100">
        <v>43719</v>
      </c>
      <c r="B79">
        <v>27.16</v>
      </c>
      <c r="C79">
        <v>11.67</v>
      </c>
    </row>
    <row r="80" spans="1:3">
      <c r="A80" s="100">
        <v>43720</v>
      </c>
      <c r="B80">
        <v>27.46</v>
      </c>
      <c r="C80">
        <v>11.76</v>
      </c>
    </row>
    <row r="81" spans="1:3">
      <c r="A81" s="100">
        <v>43721</v>
      </c>
      <c r="B81">
        <v>27.14</v>
      </c>
      <c r="C81">
        <v>11.69</v>
      </c>
    </row>
    <row r="82" spans="1:3">
      <c r="A82" s="100">
        <v>43724</v>
      </c>
      <c r="B82">
        <v>26.98</v>
      </c>
      <c r="C82">
        <v>11.65</v>
      </c>
    </row>
    <row r="83" spans="1:3">
      <c r="A83" s="100">
        <v>43725</v>
      </c>
      <c r="B83">
        <v>27.31</v>
      </c>
      <c r="C83">
        <v>11.69</v>
      </c>
    </row>
    <row r="84" spans="1:3">
      <c r="A84" s="100">
        <v>43726</v>
      </c>
      <c r="B84">
        <v>27.46</v>
      </c>
      <c r="C84">
        <v>11.69</v>
      </c>
    </row>
    <row r="85" spans="1:3">
      <c r="A85" s="100">
        <v>43727</v>
      </c>
      <c r="B85">
        <v>27.79</v>
      </c>
      <c r="C85">
        <v>11.7</v>
      </c>
    </row>
    <row r="86" spans="1:3">
      <c r="A86" s="100">
        <v>43728</v>
      </c>
      <c r="B86">
        <v>27.27</v>
      </c>
      <c r="C86">
        <v>11.56</v>
      </c>
    </row>
    <row r="87" spans="1:3">
      <c r="A87" s="100">
        <v>43731</v>
      </c>
      <c r="B87">
        <v>27.28</v>
      </c>
      <c r="C87">
        <v>11.62</v>
      </c>
    </row>
    <row r="88" spans="1:3">
      <c r="A88" s="100">
        <v>43732</v>
      </c>
      <c r="B88">
        <v>27.13</v>
      </c>
      <c r="C88">
        <v>11.58</v>
      </c>
    </row>
    <row r="89" spans="1:3">
      <c r="A89" s="100">
        <v>43733</v>
      </c>
      <c r="B89">
        <v>27.01</v>
      </c>
      <c r="C89">
        <v>11.57</v>
      </c>
    </row>
    <row r="90" spans="1:3">
      <c r="A90" s="100">
        <v>43734</v>
      </c>
      <c r="B90">
        <v>26.71</v>
      </c>
      <c r="C90">
        <v>11.51</v>
      </c>
    </row>
    <row r="91" spans="1:3">
      <c r="A91" s="100">
        <v>43735</v>
      </c>
      <c r="B91">
        <v>26.8</v>
      </c>
      <c r="C91">
        <v>11.49</v>
      </c>
    </row>
    <row r="92" spans="1:3">
      <c r="A92" s="100">
        <v>43738</v>
      </c>
      <c r="B92">
        <v>27.27</v>
      </c>
      <c r="C92">
        <v>11.67</v>
      </c>
    </row>
    <row r="93" spans="1:3">
      <c r="A93" s="100">
        <v>43739</v>
      </c>
      <c r="B93">
        <v>27.13</v>
      </c>
      <c r="C93">
        <v>11.74</v>
      </c>
    </row>
    <row r="94" spans="1:3">
      <c r="A94" s="100">
        <v>43740</v>
      </c>
      <c r="B94">
        <v>26.47</v>
      </c>
      <c r="C94">
        <v>11.5</v>
      </c>
    </row>
    <row r="95" spans="1:3">
      <c r="A95" s="100">
        <v>43741</v>
      </c>
      <c r="B95">
        <v>26.69</v>
      </c>
      <c r="C95">
        <v>11.66</v>
      </c>
    </row>
    <row r="96" spans="1:3">
      <c r="A96" s="100">
        <v>43742</v>
      </c>
      <c r="B96">
        <v>26.7</v>
      </c>
      <c r="C96">
        <v>11.6</v>
      </c>
    </row>
    <row r="97" spans="1:3">
      <c r="A97" s="100">
        <v>43745</v>
      </c>
      <c r="B97">
        <v>25.84</v>
      </c>
      <c r="C97">
        <v>11.49</v>
      </c>
    </row>
    <row r="98" spans="1:3">
      <c r="A98" s="100">
        <v>43746</v>
      </c>
      <c r="B98">
        <v>25.99</v>
      </c>
      <c r="C98">
        <v>11.31</v>
      </c>
    </row>
    <row r="99" spans="1:3">
      <c r="A99" s="100">
        <v>43747</v>
      </c>
      <c r="B99">
        <v>26.04</v>
      </c>
      <c r="C99">
        <v>11.35</v>
      </c>
    </row>
    <row r="100" spans="1:3">
      <c r="A100" s="100">
        <v>43748</v>
      </c>
      <c r="B100">
        <v>25.97</v>
      </c>
      <c r="C100">
        <v>11.28</v>
      </c>
    </row>
    <row r="101" spans="1:3">
      <c r="A101" s="100">
        <v>43749</v>
      </c>
      <c r="B101">
        <v>26.49</v>
      </c>
      <c r="C101">
        <v>11.41</v>
      </c>
    </row>
    <row r="102" spans="1:3">
      <c r="A102" s="100">
        <v>43752</v>
      </c>
      <c r="B102">
        <v>26.58</v>
      </c>
      <c r="C102">
        <v>11.28</v>
      </c>
    </row>
    <row r="103" spans="1:3">
      <c r="A103" s="100">
        <v>43753</v>
      </c>
      <c r="B103">
        <v>26.33</v>
      </c>
      <c r="C103">
        <v>11.19</v>
      </c>
    </row>
    <row r="104" spans="1:3">
      <c r="A104" s="100">
        <v>43754</v>
      </c>
      <c r="B104">
        <v>26.3</v>
      </c>
      <c r="C104">
        <v>11.05</v>
      </c>
    </row>
    <row r="105" spans="1:3">
      <c r="A105" s="100">
        <v>43755</v>
      </c>
      <c r="B105">
        <v>26.35</v>
      </c>
      <c r="C105">
        <v>11.24</v>
      </c>
    </row>
    <row r="106" spans="1:3">
      <c r="A106" s="100">
        <v>43756</v>
      </c>
      <c r="B106">
        <v>26.57</v>
      </c>
      <c r="C106">
        <v>11.1</v>
      </c>
    </row>
    <row r="107" spans="1:3">
      <c r="A107" s="100">
        <v>43759</v>
      </c>
      <c r="B107">
        <v>26.78</v>
      </c>
      <c r="C107">
        <v>11.29</v>
      </c>
    </row>
    <row r="108" spans="1:3">
      <c r="A108" s="100">
        <v>43760</v>
      </c>
      <c r="B108">
        <v>26.74</v>
      </c>
      <c r="C108">
        <v>11.36</v>
      </c>
    </row>
    <row r="109" spans="1:3">
      <c r="A109" s="100">
        <v>43761</v>
      </c>
      <c r="B109">
        <v>26.61</v>
      </c>
      <c r="C109">
        <v>11.33</v>
      </c>
    </row>
    <row r="110" spans="1:3">
      <c r="A110" s="100">
        <v>43762</v>
      </c>
      <c r="B110">
        <v>26.51</v>
      </c>
      <c r="C110">
        <v>11.25</v>
      </c>
    </row>
    <row r="111" spans="1:3">
      <c r="A111" s="100">
        <v>43763</v>
      </c>
      <c r="B111">
        <v>26.41</v>
      </c>
      <c r="C111">
        <v>11.28</v>
      </c>
    </row>
    <row r="112" spans="1:3">
      <c r="A112" s="100">
        <v>43766</v>
      </c>
      <c r="B112">
        <v>26.51</v>
      </c>
      <c r="C112">
        <v>11.16</v>
      </c>
    </row>
    <row r="113" spans="1:3">
      <c r="A113" s="100">
        <v>43767</v>
      </c>
      <c r="B113">
        <v>26.51</v>
      </c>
      <c r="C113">
        <v>11.03</v>
      </c>
    </row>
    <row r="114" spans="1:3">
      <c r="A114" s="100">
        <v>43768</v>
      </c>
      <c r="B114">
        <v>27.07</v>
      </c>
      <c r="C114">
        <v>11.21</v>
      </c>
    </row>
    <row r="115" spans="1:3">
      <c r="A115" s="100">
        <v>43769</v>
      </c>
      <c r="B115">
        <v>27.35</v>
      </c>
      <c r="C115">
        <v>11.2</v>
      </c>
    </row>
    <row r="116" spans="1:3">
      <c r="A116" s="100">
        <v>43770</v>
      </c>
      <c r="B116">
        <v>27.14</v>
      </c>
      <c r="C116">
        <v>11.28</v>
      </c>
    </row>
    <row r="117" spans="1:3">
      <c r="A117" s="100">
        <v>43773</v>
      </c>
      <c r="B117">
        <v>27.46</v>
      </c>
      <c r="C117">
        <v>11.36</v>
      </c>
    </row>
    <row r="118" spans="1:3">
      <c r="A118" s="100">
        <v>43774</v>
      </c>
      <c r="B118">
        <v>27.34</v>
      </c>
      <c r="C118">
        <v>11.38</v>
      </c>
    </row>
    <row r="119" spans="1:3">
      <c r="A119" s="100">
        <v>43775</v>
      </c>
      <c r="B119">
        <v>27.22</v>
      </c>
      <c r="C119">
        <v>11.59</v>
      </c>
    </row>
    <row r="120" spans="1:3">
      <c r="A120" s="100">
        <v>43776</v>
      </c>
      <c r="B120">
        <v>27.33</v>
      </c>
      <c r="C120">
        <v>11.74</v>
      </c>
    </row>
    <row r="121" spans="1:3">
      <c r="A121" s="100">
        <v>43777</v>
      </c>
      <c r="B121">
        <v>26.71</v>
      </c>
      <c r="C121">
        <v>11.59</v>
      </c>
    </row>
    <row r="122" spans="1:3">
      <c r="A122" s="100">
        <v>43780</v>
      </c>
      <c r="B122">
        <v>26.64</v>
      </c>
      <c r="C122">
        <v>11.77</v>
      </c>
    </row>
    <row r="123" spans="1:3">
      <c r="A123" s="100">
        <v>43781</v>
      </c>
      <c r="B123">
        <v>26.91</v>
      </c>
      <c r="C123">
        <v>11.7</v>
      </c>
    </row>
    <row r="124" spans="1:3">
      <c r="A124" s="100">
        <v>43782</v>
      </c>
      <c r="B124">
        <v>26.8</v>
      </c>
      <c r="C124">
        <v>11.74</v>
      </c>
    </row>
    <row r="125" spans="1:3">
      <c r="A125" s="100">
        <v>43783</v>
      </c>
      <c r="B125">
        <v>26.51</v>
      </c>
      <c r="C125">
        <v>11.85</v>
      </c>
    </row>
    <row r="126" spans="1:3">
      <c r="A126" s="100">
        <v>43787</v>
      </c>
      <c r="B126">
        <v>26.75</v>
      </c>
      <c r="C126">
        <v>11.95</v>
      </c>
    </row>
    <row r="127" spans="1:3">
      <c r="A127" s="100">
        <v>43788</v>
      </c>
      <c r="B127">
        <v>26.7</v>
      </c>
      <c r="C127">
        <v>11.98</v>
      </c>
    </row>
    <row r="128" spans="1:3">
      <c r="A128" s="100">
        <v>43790</v>
      </c>
      <c r="B128">
        <v>26.84</v>
      </c>
      <c r="C128">
        <v>12.15</v>
      </c>
    </row>
    <row r="129" spans="1:3">
      <c r="A129" s="100">
        <v>43791</v>
      </c>
      <c r="B129">
        <v>27.1</v>
      </c>
      <c r="C129">
        <v>12.14</v>
      </c>
    </row>
    <row r="130" spans="1:3">
      <c r="A130" s="100">
        <v>43794</v>
      </c>
      <c r="B130">
        <v>26.94</v>
      </c>
      <c r="C130">
        <v>12.35</v>
      </c>
    </row>
    <row r="131" spans="1:3">
      <c r="A131" s="100">
        <v>43795</v>
      </c>
      <c r="B131">
        <v>26.93</v>
      </c>
      <c r="C131">
        <v>12.12</v>
      </c>
    </row>
    <row r="132" spans="1:3">
      <c r="A132" s="100">
        <v>43796</v>
      </c>
      <c r="B132">
        <v>27.05</v>
      </c>
      <c r="C132">
        <v>12.19</v>
      </c>
    </row>
    <row r="133" spans="1:3">
      <c r="A133" s="100">
        <v>43797</v>
      </c>
      <c r="B133">
        <v>27.05</v>
      </c>
      <c r="C133">
        <v>12.22</v>
      </c>
    </row>
    <row r="134" spans="1:3">
      <c r="A134" s="100">
        <v>43798</v>
      </c>
      <c r="B134">
        <v>27.3</v>
      </c>
      <c r="C134">
        <v>12.37</v>
      </c>
    </row>
    <row r="135" spans="1:3">
      <c r="A135" s="100">
        <v>43801</v>
      </c>
      <c r="B135">
        <v>27.49</v>
      </c>
      <c r="C135">
        <v>12.51</v>
      </c>
    </row>
    <row r="136" spans="1:3">
      <c r="A136" s="100">
        <v>43802</v>
      </c>
      <c r="B136">
        <v>27.59</v>
      </c>
      <c r="C136">
        <v>12.8</v>
      </c>
    </row>
    <row r="137" spans="1:3">
      <c r="A137" s="100">
        <v>43803</v>
      </c>
      <c r="B137">
        <v>27.76</v>
      </c>
      <c r="C137">
        <v>12.93</v>
      </c>
    </row>
    <row r="138" spans="1:3">
      <c r="A138" s="100">
        <v>43804</v>
      </c>
      <c r="B138">
        <v>27.87</v>
      </c>
      <c r="C138">
        <v>13.09</v>
      </c>
    </row>
    <row r="139" spans="1:3">
      <c r="A139" s="100">
        <v>43805</v>
      </c>
      <c r="B139">
        <v>27.93</v>
      </c>
      <c r="C139">
        <v>13.23</v>
      </c>
    </row>
    <row r="140" spans="1:3">
      <c r="A140" s="100">
        <v>43808</v>
      </c>
      <c r="B140">
        <v>28.16</v>
      </c>
      <c r="C140">
        <v>13.25</v>
      </c>
    </row>
    <row r="141" spans="1:3">
      <c r="A141" s="100">
        <v>43809</v>
      </c>
      <c r="B141">
        <v>28.4</v>
      </c>
      <c r="C141">
        <v>13.3</v>
      </c>
    </row>
    <row r="142" spans="1:3">
      <c r="A142" s="100">
        <v>43810</v>
      </c>
      <c r="B142">
        <v>28.53</v>
      </c>
      <c r="C142">
        <v>13.68</v>
      </c>
    </row>
    <row r="143" spans="1:3">
      <c r="A143" s="100">
        <v>43811</v>
      </c>
      <c r="B143">
        <v>28.83</v>
      </c>
      <c r="C143">
        <v>13.59</v>
      </c>
    </row>
    <row r="144" spans="1:3">
      <c r="A144" s="100">
        <v>43812</v>
      </c>
      <c r="B144">
        <v>29.28</v>
      </c>
      <c r="C144">
        <v>14.23</v>
      </c>
    </row>
    <row r="145" spans="1:3">
      <c r="A145" s="100">
        <v>43815</v>
      </c>
      <c r="B145">
        <v>29.34</v>
      </c>
      <c r="C145">
        <v>14.44</v>
      </c>
    </row>
    <row r="146" spans="1:3">
      <c r="A146" s="100">
        <v>43816</v>
      </c>
      <c r="B146">
        <v>29.34</v>
      </c>
      <c r="C146">
        <v>14.49</v>
      </c>
    </row>
    <row r="147" spans="1:3">
      <c r="A147" s="100">
        <v>43817</v>
      </c>
      <c r="B147">
        <v>29.47</v>
      </c>
      <c r="C147">
        <v>14.93</v>
      </c>
    </row>
    <row r="148" spans="1:3">
      <c r="A148" s="100">
        <v>43818</v>
      </c>
      <c r="B148">
        <v>29.57</v>
      </c>
      <c r="C148">
        <v>14.83</v>
      </c>
    </row>
    <row r="149" spans="1:3">
      <c r="A149" s="100">
        <v>43819</v>
      </c>
      <c r="B149">
        <v>29.52</v>
      </c>
      <c r="C149">
        <v>14.72</v>
      </c>
    </row>
    <row r="150" spans="1:3">
      <c r="A150" s="100">
        <v>43822</v>
      </c>
      <c r="B150">
        <v>29.71</v>
      </c>
      <c r="C150">
        <v>15.19</v>
      </c>
    </row>
    <row r="151" spans="1:3">
      <c r="A151" s="100">
        <v>43825</v>
      </c>
      <c r="B151">
        <v>30.05</v>
      </c>
      <c r="C151">
        <v>15.56</v>
      </c>
    </row>
    <row r="152" spans="1:3">
      <c r="A152" s="100">
        <v>43826</v>
      </c>
      <c r="B152">
        <v>29.97</v>
      </c>
      <c r="C152">
        <v>15.6</v>
      </c>
    </row>
    <row r="153" spans="1:3">
      <c r="A153" s="100">
        <v>43829</v>
      </c>
      <c r="B153">
        <v>30.23</v>
      </c>
      <c r="C153">
        <v>15.82</v>
      </c>
    </row>
    <row r="154" spans="1:3">
      <c r="A154" s="100">
        <v>43832</v>
      </c>
      <c r="B154">
        <v>30.01</v>
      </c>
      <c r="C154">
        <v>15.5</v>
      </c>
    </row>
    <row r="155" spans="1:3">
      <c r="A155" s="100">
        <v>43833</v>
      </c>
      <c r="B155">
        <v>30.02</v>
      </c>
      <c r="C155">
        <v>15.38</v>
      </c>
    </row>
    <row r="156" spans="1:3">
      <c r="A156" s="100">
        <v>43836</v>
      </c>
      <c r="B156">
        <v>30.05</v>
      </c>
      <c r="C156">
        <v>15.74</v>
      </c>
    </row>
    <row r="157" spans="1:3">
      <c r="A157" s="100">
        <v>43837</v>
      </c>
      <c r="B157">
        <v>29.8</v>
      </c>
      <c r="C157">
        <v>15.24</v>
      </c>
    </row>
    <row r="158" spans="1:3">
      <c r="A158" s="100">
        <v>43838</v>
      </c>
      <c r="B158">
        <v>29.2</v>
      </c>
      <c r="C158">
        <v>14.87</v>
      </c>
    </row>
    <row r="159" spans="1:3">
      <c r="A159" s="100">
        <v>43839</v>
      </c>
      <c r="B159">
        <v>29.35</v>
      </c>
      <c r="C159">
        <v>14.81</v>
      </c>
    </row>
    <row r="160" spans="1:3">
      <c r="A160" s="100">
        <v>43840</v>
      </c>
      <c r="B160">
        <v>29.44</v>
      </c>
      <c r="C160">
        <v>15.06</v>
      </c>
    </row>
    <row r="161" spans="1:3">
      <c r="A161" s="100">
        <v>43843</v>
      </c>
      <c r="B161">
        <v>29.77</v>
      </c>
      <c r="C161">
        <v>15.33</v>
      </c>
    </row>
    <row r="162" spans="1:3">
      <c r="A162" s="100">
        <v>43844</v>
      </c>
      <c r="B162">
        <v>29.87</v>
      </c>
      <c r="C162">
        <v>15.44</v>
      </c>
    </row>
    <row r="163" spans="1:3">
      <c r="A163" s="100">
        <v>43845</v>
      </c>
      <c r="B163">
        <v>29.77</v>
      </c>
      <c r="C163">
        <v>15.41</v>
      </c>
    </row>
    <row r="164" spans="1:3">
      <c r="A164" s="100">
        <v>43846</v>
      </c>
      <c r="B164">
        <v>29.91</v>
      </c>
      <c r="C164">
        <v>15.4</v>
      </c>
    </row>
    <row r="165" spans="1:3">
      <c r="A165" s="100">
        <v>43847</v>
      </c>
      <c r="B165">
        <v>30.48</v>
      </c>
      <c r="C165">
        <v>15.6</v>
      </c>
    </row>
    <row r="166" spans="1:3">
      <c r="A166" s="100">
        <v>43850</v>
      </c>
      <c r="B166">
        <v>31.07</v>
      </c>
      <c r="C166">
        <v>16.079999999999998</v>
      </c>
    </row>
    <row r="167" spans="1:3">
      <c r="A167" s="100">
        <v>43851</v>
      </c>
      <c r="B167">
        <v>30.88</v>
      </c>
      <c r="C167">
        <v>16.05</v>
      </c>
    </row>
    <row r="168" spans="1:3">
      <c r="A168" s="100">
        <v>43852</v>
      </c>
      <c r="B168">
        <v>31.01</v>
      </c>
      <c r="C168">
        <v>16.3</v>
      </c>
    </row>
    <row r="169" spans="1:3">
      <c r="A169" s="100">
        <v>43853</v>
      </c>
      <c r="B169">
        <v>31.22</v>
      </c>
      <c r="C169">
        <v>16.64</v>
      </c>
    </row>
    <row r="170" spans="1:3">
      <c r="A170" s="100">
        <v>43854</v>
      </c>
      <c r="B170">
        <v>31.04</v>
      </c>
      <c r="C170">
        <v>16.440000000000001</v>
      </c>
    </row>
    <row r="171" spans="1:3">
      <c r="A171" s="100">
        <v>43857</v>
      </c>
      <c r="B171">
        <v>30.54</v>
      </c>
      <c r="C171">
        <v>15.62</v>
      </c>
    </row>
    <row r="172" spans="1:3">
      <c r="A172" s="100">
        <v>43858</v>
      </c>
      <c r="B172">
        <v>31</v>
      </c>
      <c r="C172">
        <v>15.94</v>
      </c>
    </row>
    <row r="173" spans="1:3">
      <c r="A173" s="100">
        <v>43859</v>
      </c>
      <c r="B173">
        <v>30.8</v>
      </c>
      <c r="C173">
        <v>15.7</v>
      </c>
    </row>
    <row r="174" spans="1:3">
      <c r="A174" s="100">
        <v>43860</v>
      </c>
      <c r="B174">
        <v>30.37</v>
      </c>
      <c r="C174">
        <v>15.51</v>
      </c>
    </row>
    <row r="175" spans="1:3">
      <c r="A175" s="100">
        <v>43861</v>
      </c>
      <c r="B175">
        <v>30.01</v>
      </c>
      <c r="C175">
        <v>15.02</v>
      </c>
    </row>
    <row r="176" spans="1:3">
      <c r="A176" s="100">
        <v>43864</v>
      </c>
      <c r="B176">
        <v>30.2</v>
      </c>
      <c r="C176">
        <v>15.16</v>
      </c>
    </row>
    <row r="177" spans="1:3">
      <c r="A177" s="100">
        <v>43865</v>
      </c>
      <c r="B177">
        <v>30.19</v>
      </c>
      <c r="C177">
        <v>15.2</v>
      </c>
    </row>
    <row r="178" spans="1:3">
      <c r="A178" s="100">
        <v>43866</v>
      </c>
      <c r="B178">
        <v>30.4</v>
      </c>
      <c r="C178">
        <v>15.27</v>
      </c>
    </row>
    <row r="179" spans="1:3">
      <c r="A179" s="100">
        <v>43867</v>
      </c>
      <c r="B179">
        <v>29.91</v>
      </c>
      <c r="C179">
        <v>15.36</v>
      </c>
    </row>
    <row r="180" spans="1:3">
      <c r="A180" s="100">
        <v>43868</v>
      </c>
      <c r="B180">
        <v>29.54</v>
      </c>
      <c r="C180">
        <v>15</v>
      </c>
    </row>
    <row r="181" spans="1:3">
      <c r="A181" s="100">
        <v>43871</v>
      </c>
      <c r="B181">
        <v>29.56</v>
      </c>
      <c r="C181">
        <v>14.77</v>
      </c>
    </row>
    <row r="182" spans="1:3">
      <c r="A182" s="100">
        <v>43872</v>
      </c>
      <c r="B182">
        <v>29.87</v>
      </c>
      <c r="C182">
        <v>15.05</v>
      </c>
    </row>
    <row r="183" spans="1:3">
      <c r="A183" s="100">
        <v>43873</v>
      </c>
      <c r="B183">
        <v>30.56</v>
      </c>
      <c r="C183">
        <v>15.59</v>
      </c>
    </row>
    <row r="184" spans="1:3">
      <c r="A184" s="100">
        <v>43874</v>
      </c>
      <c r="B184">
        <v>30.23</v>
      </c>
      <c r="C184">
        <v>15.77</v>
      </c>
    </row>
    <row r="185" spans="1:3">
      <c r="A185" s="100">
        <v>43875</v>
      </c>
      <c r="B185">
        <v>30.09</v>
      </c>
      <c r="C185">
        <v>15.8</v>
      </c>
    </row>
    <row r="186" spans="1:3">
      <c r="A186" s="100">
        <v>43878</v>
      </c>
      <c r="B186">
        <v>30.36</v>
      </c>
      <c r="C186">
        <v>15.57</v>
      </c>
    </row>
    <row r="187" spans="1:3">
      <c r="A187" s="100">
        <v>43879</v>
      </c>
      <c r="B187">
        <v>30.43</v>
      </c>
      <c r="C187">
        <v>15.51</v>
      </c>
    </row>
    <row r="188" spans="1:3">
      <c r="A188" s="100">
        <v>43880</v>
      </c>
      <c r="B188">
        <v>30.51</v>
      </c>
      <c r="C188">
        <v>15.51</v>
      </c>
    </row>
    <row r="189" spans="1:3">
      <c r="A189" s="100">
        <v>43881</v>
      </c>
      <c r="B189">
        <v>29.83</v>
      </c>
      <c r="C189">
        <v>15.35</v>
      </c>
    </row>
    <row r="190" spans="1:3">
      <c r="A190" s="100">
        <v>43882</v>
      </c>
      <c r="B190">
        <v>29.86</v>
      </c>
      <c r="C190">
        <v>15.33</v>
      </c>
    </row>
    <row r="191" spans="1:3">
      <c r="A191" s="100">
        <v>43887</v>
      </c>
      <c r="B191">
        <v>28.79</v>
      </c>
      <c r="C191">
        <v>14.7</v>
      </c>
    </row>
    <row r="192" spans="1:3">
      <c r="A192" s="100">
        <v>43888</v>
      </c>
      <c r="B192">
        <v>28.54</v>
      </c>
      <c r="C192">
        <v>14.49</v>
      </c>
    </row>
    <row r="193" spans="1:3">
      <c r="A193" s="100">
        <v>43889</v>
      </c>
      <c r="B193">
        <v>29.07</v>
      </c>
      <c r="C193">
        <v>14.98</v>
      </c>
    </row>
    <row r="194" spans="1:3">
      <c r="A194" s="100">
        <v>43892</v>
      </c>
      <c r="B194">
        <v>29.34</v>
      </c>
      <c r="C194">
        <v>18.510000000000002</v>
      </c>
    </row>
    <row r="195" spans="1:3">
      <c r="A195" s="100">
        <v>43893</v>
      </c>
      <c r="B195">
        <v>29.08</v>
      </c>
      <c r="C195">
        <v>18.420000000000002</v>
      </c>
    </row>
    <row r="196" spans="1:3">
      <c r="A196" s="100">
        <v>43894</v>
      </c>
      <c r="B196">
        <v>30.04</v>
      </c>
      <c r="C196">
        <v>19.2</v>
      </c>
    </row>
    <row r="197" spans="1:3">
      <c r="A197" s="100">
        <v>43895</v>
      </c>
      <c r="B197">
        <v>28.99</v>
      </c>
      <c r="C197">
        <v>18.29</v>
      </c>
    </row>
    <row r="198" spans="1:3">
      <c r="A198" s="100">
        <v>43896</v>
      </c>
      <c r="B198">
        <v>28.83</v>
      </c>
      <c r="C198">
        <v>17.38</v>
      </c>
    </row>
    <row r="199" spans="1:3">
      <c r="A199" s="100">
        <v>43899</v>
      </c>
      <c r="B199">
        <v>27.88</v>
      </c>
      <c r="C199">
        <v>16.420000000000002</v>
      </c>
    </row>
    <row r="200" spans="1:3">
      <c r="A200" s="100">
        <v>43900</v>
      </c>
      <c r="B200">
        <v>29.36</v>
      </c>
      <c r="C200">
        <v>17.13</v>
      </c>
    </row>
    <row r="201" spans="1:3">
      <c r="A201" s="100">
        <v>43901</v>
      </c>
      <c r="B201">
        <v>28.84</v>
      </c>
      <c r="C201">
        <v>16.54</v>
      </c>
    </row>
    <row r="202" spans="1:3">
      <c r="A202" s="100">
        <v>43902</v>
      </c>
      <c r="B202">
        <v>27.11</v>
      </c>
      <c r="C202">
        <v>14.67</v>
      </c>
    </row>
    <row r="203" spans="1:3">
      <c r="A203" s="100">
        <v>43903</v>
      </c>
      <c r="B203">
        <v>27.71</v>
      </c>
      <c r="C203">
        <v>16.440000000000001</v>
      </c>
    </row>
    <row r="204" spans="1:3">
      <c r="A204" s="100">
        <v>43906</v>
      </c>
      <c r="B204">
        <v>25.53</v>
      </c>
      <c r="C204">
        <v>14.75</v>
      </c>
    </row>
    <row r="205" spans="1:3">
      <c r="A205" s="100">
        <v>43907</v>
      </c>
      <c r="B205">
        <v>26.53</v>
      </c>
      <c r="C205">
        <v>13.98</v>
      </c>
    </row>
    <row r="206" spans="1:3">
      <c r="A206" s="100">
        <v>43908</v>
      </c>
      <c r="B206">
        <v>25.49</v>
      </c>
      <c r="C206">
        <v>12.14</v>
      </c>
    </row>
    <row r="207" spans="1:3">
      <c r="A207" s="100">
        <v>43909</v>
      </c>
      <c r="B207">
        <v>24.96</v>
      </c>
      <c r="C207">
        <v>12.01</v>
      </c>
    </row>
    <row r="208" spans="1:3">
      <c r="A208" s="100">
        <v>43910</v>
      </c>
      <c r="B208">
        <v>25.27</v>
      </c>
      <c r="C208">
        <v>11.96</v>
      </c>
    </row>
    <row r="209" spans="1:3">
      <c r="A209" s="100">
        <v>43913</v>
      </c>
      <c r="B209">
        <v>23.79</v>
      </c>
      <c r="C209">
        <v>11.3</v>
      </c>
    </row>
    <row r="210" spans="1:3">
      <c r="A210" s="100">
        <v>43914</v>
      </c>
      <c r="B210">
        <v>23.96</v>
      </c>
      <c r="C210">
        <v>11.78</v>
      </c>
    </row>
    <row r="211" spans="1:3">
      <c r="A211" s="100">
        <v>43915</v>
      </c>
      <c r="B211">
        <v>24.06</v>
      </c>
      <c r="C211">
        <v>12.38</v>
      </c>
    </row>
    <row r="212" spans="1:3">
      <c r="A212" s="100">
        <v>43916</v>
      </c>
      <c r="B212">
        <v>25.2</v>
      </c>
      <c r="C212">
        <v>13.37</v>
      </c>
    </row>
    <row r="213" spans="1:3">
      <c r="A213" s="100">
        <v>43917</v>
      </c>
      <c r="B213">
        <v>24.69</v>
      </c>
      <c r="C213">
        <v>13.05</v>
      </c>
    </row>
    <row r="214" spans="1:3">
      <c r="A214" s="100">
        <v>43920</v>
      </c>
      <c r="B214">
        <v>24.5</v>
      </c>
      <c r="C214">
        <v>13.26</v>
      </c>
    </row>
    <row r="215" spans="1:3">
      <c r="A215" s="100">
        <v>43921</v>
      </c>
      <c r="B215">
        <v>25.04</v>
      </c>
      <c r="C215">
        <v>12.92</v>
      </c>
    </row>
    <row r="216" spans="1:3">
      <c r="A216" s="100">
        <v>43922</v>
      </c>
      <c r="B216">
        <v>24.63</v>
      </c>
      <c r="C216">
        <v>13.01</v>
      </c>
    </row>
    <row r="217" spans="1:3">
      <c r="A217" s="100">
        <v>43923</v>
      </c>
      <c r="B217">
        <v>25.54</v>
      </c>
      <c r="C217">
        <v>13.33</v>
      </c>
    </row>
    <row r="218" spans="1:3">
      <c r="A218" s="100">
        <v>43924</v>
      </c>
      <c r="B218">
        <v>25.69</v>
      </c>
      <c r="C218">
        <v>12.95</v>
      </c>
    </row>
    <row r="219" spans="1:3">
      <c r="A219" s="100">
        <v>43927</v>
      </c>
      <c r="B219">
        <v>26.27</v>
      </c>
      <c r="C219">
        <v>13.04</v>
      </c>
    </row>
    <row r="220" spans="1:3">
      <c r="A220" s="100">
        <v>43928</v>
      </c>
      <c r="B220">
        <v>26.17</v>
      </c>
      <c r="C220">
        <v>13.22</v>
      </c>
    </row>
    <row r="221" spans="1:3">
      <c r="A221" s="100">
        <v>43929</v>
      </c>
      <c r="B221">
        <v>26.21</v>
      </c>
      <c r="C221">
        <v>13.91</v>
      </c>
    </row>
    <row r="222" spans="1:3">
      <c r="A222" s="100">
        <v>43930</v>
      </c>
      <c r="B222">
        <v>25.94</v>
      </c>
      <c r="C222">
        <v>14.18</v>
      </c>
    </row>
    <row r="223" spans="1:3">
      <c r="A223" s="100">
        <v>43934</v>
      </c>
      <c r="B223">
        <v>26.17</v>
      </c>
      <c r="C223">
        <v>13.94</v>
      </c>
    </row>
    <row r="224" spans="1:3">
      <c r="A224" s="100">
        <v>43935</v>
      </c>
      <c r="B224">
        <v>26.66</v>
      </c>
      <c r="C224">
        <v>15.21</v>
      </c>
    </row>
    <row r="225" spans="1:3">
      <c r="A225" s="100">
        <v>43936</v>
      </c>
      <c r="B225">
        <v>26.58</v>
      </c>
      <c r="C225">
        <v>15.85</v>
      </c>
    </row>
    <row r="226" spans="1:3">
      <c r="A226" s="100">
        <v>43937</v>
      </c>
      <c r="B226">
        <v>26.18</v>
      </c>
      <c r="C226">
        <v>14.88</v>
      </c>
    </row>
    <row r="227" spans="1:3">
      <c r="A227" s="100">
        <v>43938</v>
      </c>
      <c r="B227">
        <v>25.96</v>
      </c>
      <c r="C227">
        <v>14.83</v>
      </c>
    </row>
    <row r="228" spans="1:3">
      <c r="A228" s="100">
        <v>43941</v>
      </c>
      <c r="B228">
        <v>26.03</v>
      </c>
      <c r="C228">
        <v>14.78</v>
      </c>
    </row>
    <row r="229" spans="1:3">
      <c r="A229" s="100">
        <v>43943</v>
      </c>
      <c r="B229">
        <v>26.84</v>
      </c>
      <c r="C229">
        <v>13.95</v>
      </c>
    </row>
    <row r="230" spans="1:3">
      <c r="A230" s="100">
        <v>43944</v>
      </c>
      <c r="B230">
        <v>27.03</v>
      </c>
      <c r="C230">
        <v>14.08</v>
      </c>
    </row>
    <row r="231" spans="1:3">
      <c r="A231" s="100">
        <v>43945</v>
      </c>
      <c r="B231">
        <v>26.36</v>
      </c>
      <c r="C231">
        <v>13.44</v>
      </c>
    </row>
    <row r="232" spans="1:3">
      <c r="A232" s="100">
        <v>43948</v>
      </c>
      <c r="B232">
        <v>27.26</v>
      </c>
      <c r="C232">
        <v>14.49</v>
      </c>
    </row>
    <row r="233" spans="1:3">
      <c r="A233" s="100">
        <v>43949</v>
      </c>
      <c r="B233">
        <v>27.43</v>
      </c>
      <c r="C233">
        <v>14.82</v>
      </c>
    </row>
    <row r="234" spans="1:3">
      <c r="A234" s="100">
        <v>43950</v>
      </c>
      <c r="B234">
        <v>26.85</v>
      </c>
      <c r="C234">
        <v>14.77</v>
      </c>
    </row>
    <row r="235" spans="1:3">
      <c r="A235" s="100">
        <v>43951</v>
      </c>
      <c r="B235">
        <v>26.66</v>
      </c>
      <c r="C235">
        <v>14.28</v>
      </c>
    </row>
    <row r="236" spans="1:3">
      <c r="A236" s="100">
        <v>43955</v>
      </c>
      <c r="B236">
        <v>26.56</v>
      </c>
      <c r="C236">
        <v>14.23</v>
      </c>
    </row>
    <row r="237" spans="1:3">
      <c r="A237" s="100">
        <v>43956</v>
      </c>
      <c r="B237">
        <v>26.8</v>
      </c>
      <c r="C237">
        <v>14.48</v>
      </c>
    </row>
    <row r="238" spans="1:3">
      <c r="A238" s="100">
        <v>43957</v>
      </c>
      <c r="B238">
        <v>26.76</v>
      </c>
      <c r="C238">
        <v>14.23</v>
      </c>
    </row>
    <row r="239" spans="1:3">
      <c r="A239" s="100">
        <v>43958</v>
      </c>
      <c r="B239">
        <v>26.16</v>
      </c>
      <c r="C239">
        <v>14.2</v>
      </c>
    </row>
    <row r="240" spans="1:3">
      <c r="A240" s="100">
        <v>43959</v>
      </c>
      <c r="B240">
        <v>26.39</v>
      </c>
      <c r="C240">
        <v>14.54</v>
      </c>
    </row>
    <row r="241" spans="1:3">
      <c r="A241" s="100">
        <v>43962</v>
      </c>
      <c r="B241">
        <v>25.95</v>
      </c>
      <c r="C241">
        <v>14.4</v>
      </c>
    </row>
    <row r="242" spans="1:3">
      <c r="A242" s="100">
        <v>43963</v>
      </c>
      <c r="B242">
        <v>25.71</v>
      </c>
      <c r="C242">
        <v>13.86</v>
      </c>
    </row>
    <row r="243" spans="1:3">
      <c r="A243" s="100">
        <v>43964</v>
      </c>
      <c r="B243">
        <v>25.9</v>
      </c>
      <c r="C243">
        <v>13.6</v>
      </c>
    </row>
    <row r="244" spans="1:3">
      <c r="A244" s="100">
        <v>43965</v>
      </c>
      <c r="B244">
        <v>26.34</v>
      </c>
      <c r="C244">
        <v>13.96</v>
      </c>
    </row>
    <row r="245" spans="1:3">
      <c r="A245" s="100">
        <v>43966</v>
      </c>
      <c r="B245">
        <v>26.25</v>
      </c>
      <c r="C245">
        <v>13.9</v>
      </c>
    </row>
    <row r="246" spans="1:3">
      <c r="A246" s="100">
        <v>43969</v>
      </c>
      <c r="B246">
        <v>27.14</v>
      </c>
      <c r="C246">
        <v>13.57</v>
      </c>
    </row>
    <row r="247" spans="1:3">
      <c r="A247" s="100">
        <v>43970</v>
      </c>
      <c r="B247">
        <v>27.14</v>
      </c>
      <c r="C247">
        <v>13.34</v>
      </c>
    </row>
    <row r="248" spans="1:3">
      <c r="A248" s="100">
        <v>43971</v>
      </c>
      <c r="B248">
        <v>27.09</v>
      </c>
      <c r="C248">
        <v>13.41</v>
      </c>
    </row>
    <row r="249" spans="1:3">
      <c r="A249" s="100">
        <v>43972</v>
      </c>
      <c r="B249">
        <v>27.92</v>
      </c>
      <c r="C249">
        <v>13.6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47"/>
  <sheetViews>
    <sheetView tabSelected="1" topLeftCell="AM52" zoomScale="85" zoomScaleNormal="85" workbookViewId="0">
      <selection activeCell="AS57" sqref="AS57"/>
    </sheetView>
  </sheetViews>
  <sheetFormatPr defaultRowHeight="14.4"/>
  <cols>
    <col min="1" max="1" width="18.5546875" bestFit="1" customWidth="1"/>
    <col min="2" max="2" width="8.21875" bestFit="1" customWidth="1"/>
    <col min="40" max="40" width="62.33203125" bestFit="1" customWidth="1"/>
    <col min="41" max="41" width="19.88671875" bestFit="1" customWidth="1"/>
    <col min="42" max="42" width="15.6640625" bestFit="1" customWidth="1"/>
    <col min="43" max="44" width="14.88671875" bestFit="1" customWidth="1"/>
    <col min="45" max="45" width="18.6640625" bestFit="1" customWidth="1"/>
    <col min="46" max="46" width="15.6640625" bestFit="1" customWidth="1"/>
    <col min="47" max="49" width="14.88671875" bestFit="1" customWidth="1"/>
    <col min="50" max="50" width="14.21875" bestFit="1" customWidth="1"/>
    <col min="51" max="51" width="14.88671875" bestFit="1" customWidth="1"/>
    <col min="52" max="52" width="14.21875" bestFit="1" customWidth="1"/>
    <col min="53" max="53" width="14.88671875" bestFit="1" customWidth="1"/>
    <col min="54" max="54" width="12.77734375" bestFit="1" customWidth="1"/>
    <col min="55" max="56" width="13.88671875" bestFit="1" customWidth="1"/>
    <col min="57" max="57" width="14.21875" bestFit="1" customWidth="1"/>
    <col min="58" max="59" width="14.88671875" bestFit="1" customWidth="1"/>
    <col min="60" max="60" width="13.44140625" bestFit="1" customWidth="1"/>
    <col min="61" max="63" width="14.88671875" bestFit="1" customWidth="1"/>
    <col min="64" max="64" width="13.44140625" bestFit="1" customWidth="1"/>
    <col min="65" max="66" width="14.88671875" bestFit="1" customWidth="1"/>
    <col min="67" max="67" width="13.5546875" bestFit="1" customWidth="1"/>
    <col min="68" max="68" width="14" bestFit="1" customWidth="1"/>
    <col min="69" max="69" width="12.77734375" bestFit="1" customWidth="1"/>
    <col min="70" max="71" width="14.88671875" bestFit="1" customWidth="1"/>
    <col min="72" max="72" width="14" bestFit="1" customWidth="1"/>
    <col min="73" max="73" width="13.21875" bestFit="1" customWidth="1"/>
    <col min="74" max="74" width="13.88671875" bestFit="1" customWidth="1"/>
    <col min="75" max="76" width="13.5546875" bestFit="1" customWidth="1"/>
    <col min="77" max="77" width="17.5546875" customWidth="1"/>
  </cols>
  <sheetData>
    <row r="1" spans="1:77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345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5" t="s">
        <v>37</v>
      </c>
      <c r="AK1" s="5" t="s">
        <v>249</v>
      </c>
      <c r="AL1" s="15" t="s">
        <v>250</v>
      </c>
      <c r="AN1" s="7" t="s">
        <v>209</v>
      </c>
      <c r="AO1" s="4" t="s">
        <v>3</v>
      </c>
      <c r="AP1" s="4" t="s">
        <v>4</v>
      </c>
      <c r="AQ1" s="4" t="s">
        <v>5</v>
      </c>
      <c r="AR1" s="4" t="s">
        <v>6</v>
      </c>
      <c r="AS1" s="4" t="s">
        <v>7</v>
      </c>
      <c r="AT1" s="4" t="s">
        <v>8</v>
      </c>
      <c r="AU1" s="4" t="s">
        <v>9</v>
      </c>
      <c r="AV1" s="4" t="s">
        <v>10</v>
      </c>
      <c r="AW1" s="4" t="s">
        <v>11</v>
      </c>
      <c r="AX1" s="4" t="s">
        <v>12</v>
      </c>
      <c r="AY1" s="4" t="s">
        <v>13</v>
      </c>
      <c r="AZ1" s="4" t="s">
        <v>14</v>
      </c>
      <c r="BA1" s="4" t="s">
        <v>15</v>
      </c>
      <c r="BB1" s="4" t="s">
        <v>16</v>
      </c>
      <c r="BC1" s="4" t="s">
        <v>17</v>
      </c>
      <c r="BD1" s="4" t="s">
        <v>18</v>
      </c>
      <c r="BE1" s="4" t="s">
        <v>19</v>
      </c>
      <c r="BF1" s="4" t="s">
        <v>20</v>
      </c>
      <c r="BG1" s="4" t="s">
        <v>21</v>
      </c>
      <c r="BH1" s="4" t="s">
        <v>22</v>
      </c>
      <c r="BI1" s="4" t="s">
        <v>23</v>
      </c>
      <c r="BJ1" s="4" t="s">
        <v>24</v>
      </c>
      <c r="BK1" s="4" t="s">
        <v>25</v>
      </c>
      <c r="BL1" s="4" t="s">
        <v>26</v>
      </c>
      <c r="BM1" s="4" t="s">
        <v>27</v>
      </c>
      <c r="BN1" s="4" t="s">
        <v>28</v>
      </c>
      <c r="BO1" s="4" t="s">
        <v>345</v>
      </c>
      <c r="BP1" s="4" t="s">
        <v>30</v>
      </c>
      <c r="BQ1" s="4" t="s">
        <v>31</v>
      </c>
      <c r="BR1" s="4" t="s">
        <v>32</v>
      </c>
      <c r="BS1" s="4" t="s">
        <v>33</v>
      </c>
      <c r="BT1" s="4" t="s">
        <v>34</v>
      </c>
      <c r="BU1" s="4" t="s">
        <v>35</v>
      </c>
      <c r="BV1" s="4" t="s">
        <v>36</v>
      </c>
      <c r="BW1" s="5" t="s">
        <v>37</v>
      </c>
      <c r="BX1" s="14" t="s">
        <v>249</v>
      </c>
      <c r="BY1" s="14" t="s">
        <v>250</v>
      </c>
    </row>
    <row r="2" spans="1:77" hidden="1">
      <c r="A2" s="3" t="s">
        <v>40</v>
      </c>
      <c r="AN2" s="7" t="s">
        <v>210</v>
      </c>
    </row>
    <row r="3" spans="1:77">
      <c r="A3" s="3" t="str">
        <f>Cotacao!C3</f>
        <v>6/27/2019 16:56:00</v>
      </c>
      <c r="B3" s="6">
        <f>IFERROR(LN(Cotacao!D4/Cotacao!D3),B2)</f>
        <v>1.1512424375705833E-2</v>
      </c>
      <c r="C3" s="6">
        <f>IFERROR(LN(Cotacao!F4/Cotacao!F3),C2)</f>
        <v>-1.5429720697374156E-3</v>
      </c>
      <c r="D3" s="6">
        <f>IFERROR(LN(Cotacao!H4/Cotacao!H3),D2)</f>
        <v>1.8106344230830098E-2</v>
      </c>
      <c r="E3" s="6">
        <f>IFERROR(LN(Cotacao!J4/Cotacao!J3),E2)</f>
        <v>-3.0819080124972496E-2</v>
      </c>
      <c r="F3" s="6">
        <f>IFERROR(LN(Cotacao!L4/Cotacao!L3),F2)</f>
        <v>-8.4299761604593754E-3</v>
      </c>
      <c r="G3" s="6">
        <f>IFERROR(LN(Cotacao!N4/Cotacao!N3),G2)</f>
        <v>-3.8714721216583487E-3</v>
      </c>
      <c r="H3" s="6">
        <f>IFERROR(LN(Cotacao!P4/Cotacao!P3),H2)</f>
        <v>4.1847799683705153E-3</v>
      </c>
      <c r="I3" s="6">
        <f>IFERROR(LN(Cotacao!R4/Cotacao!R3),I2)</f>
        <v>1.9196015205997709E-2</v>
      </c>
      <c r="J3" s="6">
        <f>IFERROR(LN(Cotacao!T4/Cotacao!T3),J2)</f>
        <v>1.7006336170424418E-2</v>
      </c>
      <c r="K3" s="6">
        <f>IFERROR(LN(Cotacao!V4/Cotacao!V3),K2)</f>
        <v>2.2704793693757098E-2</v>
      </c>
      <c r="L3" s="6">
        <f>IFERROR(LN(Cotacao!X4/Cotacao!X3),L2)</f>
        <v>1.6807118316381191E-2</v>
      </c>
      <c r="M3" s="6">
        <f>IFERROR(LN(Profit!B3/Profit!B2),M2)</f>
        <v>-5.5878073610742384E-3</v>
      </c>
      <c r="N3" s="6">
        <f>IFERROR(LN(Cotacao!AB4/Cotacao!AB3),N2)</f>
        <v>8.9322558963312298E-3</v>
      </c>
      <c r="O3" s="6">
        <f>IFERROR(LN(Cotacao!AD4/Cotacao!AD3),O2)</f>
        <v>2.7172947928219223E-2</v>
      </c>
      <c r="P3" s="6">
        <f>IFERROR(LN(Cotacao!AF4/Cotacao!AF3),P2)</f>
        <v>-4.7572497722607908E-3</v>
      </c>
      <c r="Q3" s="6">
        <f>IFERROR(LN(Cotacao!AH4/Cotacao!AH3),Q2)</f>
        <v>2.3183936195804293E-3</v>
      </c>
      <c r="R3" s="6">
        <f>IFERROR(LN(Cotacao!AJ4/Cotacao!AJ3),R2)</f>
        <v>-1.7363176705007335E-2</v>
      </c>
      <c r="S3" s="6">
        <f>IFERROR(LN(Cotacao!AL4/Cotacao!AL3),S2)</f>
        <v>1.2030220276542282E-2</v>
      </c>
      <c r="T3" s="6">
        <f>IFERROR(LN(Cotacao!AN4/Cotacao!AN3),T2)</f>
        <v>9.1027206047090675E-3</v>
      </c>
      <c r="U3" s="6">
        <f>IFERROR(LN(Cotacao!AP4/Cotacao!AP3),U2)</f>
        <v>5.6107001434490553E-3</v>
      </c>
      <c r="V3" s="6">
        <f>IFERROR(LN(Cotacao!AR4/Cotacao!AR3),V2)</f>
        <v>3.5118561115396493E-3</v>
      </c>
      <c r="W3" s="6">
        <f>IFERROR(LN(Cotacao!AT4/Cotacao!AT3),W2)</f>
        <v>9.5173208629066221E-3</v>
      </c>
      <c r="X3" s="6">
        <f>IFERROR(LN(Cotacao!AV4/Cotacao!AV3),X2)</f>
        <v>9.9926418815439039E-3</v>
      </c>
      <c r="Y3" s="6">
        <f>IFERROR(LN(Cotacao!AX4/Cotacao!AX3),Y2)</f>
        <v>5.9632444394217493E-3</v>
      </c>
      <c r="Z3" s="6">
        <f>IFERROR(LN(Cotacao!AZ4/Cotacao!AZ3),Z2)</f>
        <v>5.5096558109696998E-3</v>
      </c>
      <c r="AA3" s="6">
        <f>IFERROR(LN(Cotacao!BB4/Cotacao!BB3),AA2)</f>
        <v>2.5615113432811364E-3</v>
      </c>
      <c r="AB3" s="6">
        <f>IFERROR(LN(Cotacao!BD4/Cotacao!BD3),AB2)</f>
        <v>2.9908771392573034E-2</v>
      </c>
      <c r="AC3" s="6">
        <f>IFERROR(LN(Cotacao!BF4/Cotacao!BF3),AC2)</f>
        <v>1.041676085825558E-2</v>
      </c>
      <c r="AD3" s="6">
        <f>IFERROR(LN(Cotacao!BH4/Cotacao!BH3),AD2)</f>
        <v>5.9209852476736491E-3</v>
      </c>
      <c r="AE3" s="6">
        <f>IFERROR(LN(Cotacao!BJ4/Cotacao!BJ3),AE2)</f>
        <v>1.0624875885166344E-2</v>
      </c>
      <c r="AF3" s="6">
        <f>IFERROR(LN(Cotacao!BL4/Cotacao!BL3),AF2)</f>
        <v>0</v>
      </c>
      <c r="AG3" s="6">
        <f>IFERROR(LN(Cotacao!BN4/Cotacao!BN3),AG2)</f>
        <v>-3.4643605601442379E-3</v>
      </c>
      <c r="AH3" s="6">
        <f>IFERROR(LN(Cotacao!BP4/Cotacao!BP3),AH2)</f>
        <v>6.5886036290262271E-3</v>
      </c>
      <c r="AI3" s="6">
        <f>IFERROR(LN(Cotacao!BR4/Cotacao!BR3),AI2)</f>
        <v>2.0500397631192522E-2</v>
      </c>
      <c r="AJ3" s="6">
        <f>IFERROR(LN(Profit!C3/Profit!C2),AJ2)</f>
        <v>-9.6946202454811954E-4</v>
      </c>
      <c r="AK3" s="6">
        <f>IFERROR(LN(Cotacao!BV4/Cotacao!BV3),AK2)</f>
        <v>2.4119064598778221E-3</v>
      </c>
      <c r="AL3" s="6">
        <f>IFERROR(LN(Cotacao!BX4/Cotacao!BX3),AL2)</f>
        <v>2.8738682413956707E-2</v>
      </c>
      <c r="AN3" s="7" t="s">
        <v>215</v>
      </c>
      <c r="AO3" s="10">
        <v>247</v>
      </c>
      <c r="AP3" s="10">
        <v>247</v>
      </c>
      <c r="AQ3" s="10">
        <v>247</v>
      </c>
      <c r="AR3" s="10">
        <v>247</v>
      </c>
      <c r="AS3" s="10">
        <v>247</v>
      </c>
      <c r="AT3" s="10">
        <v>247</v>
      </c>
      <c r="AU3" s="10">
        <v>247</v>
      </c>
      <c r="AV3" s="10">
        <v>247</v>
      </c>
      <c r="AW3" s="10">
        <v>247</v>
      </c>
      <c r="AX3" s="10">
        <v>247</v>
      </c>
      <c r="AY3" s="10">
        <v>247</v>
      </c>
      <c r="AZ3" s="10">
        <v>247</v>
      </c>
      <c r="BA3" s="10">
        <v>247</v>
      </c>
      <c r="BB3" s="10">
        <v>247</v>
      </c>
      <c r="BC3" s="10">
        <v>247</v>
      </c>
      <c r="BD3" s="10">
        <v>247</v>
      </c>
      <c r="BE3" s="10">
        <v>247</v>
      </c>
      <c r="BF3" s="10">
        <v>247</v>
      </c>
      <c r="BG3" s="10">
        <v>247</v>
      </c>
      <c r="BH3" s="10">
        <v>247</v>
      </c>
      <c r="BI3" s="10">
        <v>247</v>
      </c>
      <c r="BJ3" s="10">
        <v>247</v>
      </c>
      <c r="BK3" s="10">
        <v>247</v>
      </c>
      <c r="BL3" s="10">
        <v>247</v>
      </c>
      <c r="BM3" s="10">
        <v>247</v>
      </c>
      <c r="BN3" s="10">
        <v>247</v>
      </c>
      <c r="BO3" s="10">
        <v>247</v>
      </c>
      <c r="BP3" s="10">
        <v>247</v>
      </c>
      <c r="BQ3" s="10">
        <v>247</v>
      </c>
      <c r="BR3" s="10">
        <v>247</v>
      </c>
      <c r="BS3" s="10">
        <v>247</v>
      </c>
      <c r="BT3" s="10">
        <v>247</v>
      </c>
      <c r="BU3" s="10">
        <v>247</v>
      </c>
      <c r="BV3" s="10">
        <v>247</v>
      </c>
      <c r="BW3" s="10">
        <v>247</v>
      </c>
      <c r="BX3" s="10">
        <v>247</v>
      </c>
      <c r="BY3" s="10">
        <v>247</v>
      </c>
    </row>
    <row r="4" spans="1:77">
      <c r="A4" s="3" t="str">
        <f>Cotacao!C4</f>
        <v>6/28/2019 16:56:00</v>
      </c>
      <c r="B4" s="6">
        <f>IFERROR(LN(Cotacao!D5/Cotacao!D4),B3)</f>
        <v>-1.151242437570592E-2</v>
      </c>
      <c r="C4" s="6">
        <f>IFERROR(LN(Cotacao!F5/Cotacao!F4),C3)</f>
        <v>1.288756714060884E-2</v>
      </c>
      <c r="D4" s="6">
        <f>IFERROR(LN(Cotacao!H5/Cotacao!H4),D3)</f>
        <v>6.8989309393764674E-4</v>
      </c>
      <c r="E4" s="6">
        <f>IFERROR(LN(Cotacao!J5/Cotacao!J4),E3)</f>
        <v>1.321433919615809E-2</v>
      </c>
      <c r="F4" s="6">
        <f>IFERROR(LN(Cotacao!L5/Cotacao!L4),F3)</f>
        <v>-1.2779726646398882E-2</v>
      </c>
      <c r="G4" s="6">
        <f>IFERROR(LN(Cotacao!N5/Cotacao!N4),G3)</f>
        <v>2.3246814033598124E-3</v>
      </c>
      <c r="H4" s="6">
        <f>IFERROR(LN(Cotacao!P5/Cotacao!P4),H3)</f>
        <v>-6.4267354397108223E-4</v>
      </c>
      <c r="I4" s="6">
        <f>IFERROR(LN(Cotacao!R5/Cotacao!R4),I3)</f>
        <v>1.0462872107941553E-2</v>
      </c>
      <c r="J4" s="6">
        <f>IFERROR(LN(Cotacao!T5/Cotacao!T4),J3)</f>
        <v>-2.3262873784729566E-2</v>
      </c>
      <c r="K4" s="6">
        <f>IFERROR(LN(Cotacao!V5/Cotacao!V4),K3)</f>
        <v>-2.0619287202735818E-2</v>
      </c>
      <c r="L4" s="6">
        <f>IFERROR(LN(Cotacao!X5/Cotacao!X4),L3)</f>
        <v>-2.2353245780748005E-2</v>
      </c>
      <c r="M4" s="6">
        <f>IFERROR(LN(Profit!B4/Profit!B3),M3)</f>
        <v>3.4423441909729197E-3</v>
      </c>
      <c r="N4" s="6">
        <f>IFERROR(LN(Cotacao!AB5/Cotacao!AB4),N3)</f>
        <v>-7.7095127238121361E-3</v>
      </c>
      <c r="O4" s="6">
        <f>IFERROR(LN(Cotacao!AD5/Cotacao!AD4),O3)</f>
        <v>5.2518621549486437E-3</v>
      </c>
      <c r="P4" s="6">
        <f>IFERROR(LN(Cotacao!AF5/Cotacao!AF4),P3)</f>
        <v>-4.4981802018997088E-3</v>
      </c>
      <c r="Q4" s="6">
        <f>IFERROR(LN(Cotacao!AH5/Cotacao!AH4),Q3)</f>
        <v>3.4705293942743638E-2</v>
      </c>
      <c r="R4" s="6">
        <f>IFERROR(LN(Cotacao!AJ5/Cotacao!AJ4),R3)</f>
        <v>-1.5504186535965199E-2</v>
      </c>
      <c r="S4" s="6">
        <f>IFERROR(LN(Cotacao!AL5/Cotacao!AL4),S3)</f>
        <v>-1.3544225107757372E-2</v>
      </c>
      <c r="T4" s="6">
        <f>IFERROR(LN(Cotacao!AN5/Cotacao!AN4),T3)</f>
        <v>2.3465008811233909E-3</v>
      </c>
      <c r="U4" s="6">
        <f>IFERROR(LN(Cotacao!AP5/Cotacao!AP4),U3)</f>
        <v>-8.38579337627407E-3</v>
      </c>
      <c r="V4" s="6">
        <f>IFERROR(LN(Cotacao!AR5/Cotacao!AR4),V3)</f>
        <v>-1.2345835822299379E-2</v>
      </c>
      <c r="W4" s="6">
        <f>IFERROR(LN(Cotacao!AT5/Cotacao!AT4),W3)</f>
        <v>-5.4443512181354412E-3</v>
      </c>
      <c r="X4" s="6">
        <f>IFERROR(LN(Cotacao!AV5/Cotacao!AV4),X3)</f>
        <v>8.0767373779179179E-3</v>
      </c>
      <c r="Y4" s="6">
        <f>IFERROR(LN(Cotacao!AX5/Cotacao!AX4),Y3)</f>
        <v>-9.9585885255779553E-3</v>
      </c>
      <c r="Z4" s="6">
        <f>IFERROR(LN(Cotacao!AZ5/Cotacao!AZ4),Z3)</f>
        <v>-2.7510333718899819E-3</v>
      </c>
      <c r="AA4" s="6">
        <f>IFERROR(LN(Cotacao!BB5/Cotacao!BB4),AA3)</f>
        <v>2.0655008406983651E-2</v>
      </c>
      <c r="AB4" s="6">
        <f>IFERROR(LN(Cotacao!BD5/Cotacao!BD4),AB3)</f>
        <v>-1.5465820175585286E-2</v>
      </c>
      <c r="AC4" s="6">
        <f>IFERROR(LN(Cotacao!BF5/Cotacao!BF4),AC3)</f>
        <v>9.2832023035491623E-3</v>
      </c>
      <c r="AD4" s="6">
        <f>IFERROR(LN(Cotacao!BH5/Cotacao!BH4),AD3)</f>
        <v>-5.9209852476736508E-3</v>
      </c>
      <c r="AE4" s="6">
        <f>IFERROR(LN(Cotacao!BJ5/Cotacao!BJ4),AE3)</f>
        <v>8.2007368837658419E-3</v>
      </c>
      <c r="AF4" s="6">
        <f>IFERROR(LN(Cotacao!BL5/Cotacao!BL4),AF3)</f>
        <v>1.0246945737994371E-2</v>
      </c>
      <c r="AG4" s="6">
        <f>IFERROR(LN(Cotacao!BN5/Cotacao!BN4),AG3)</f>
        <v>1.8252060714523437E-2</v>
      </c>
      <c r="AH4" s="6">
        <f>IFERROR(LN(Cotacao!BP5/Cotacao!BP4),AH3)</f>
        <v>-5.4874840463077727E-3</v>
      </c>
      <c r="AI4" s="6">
        <f>IFERROR(LN(Cotacao!BR5/Cotacao!BR4),AI3)</f>
        <v>8.8384413747485003E-3</v>
      </c>
      <c r="AJ4" s="6">
        <f>IFERROR(LN(Profit!C4/Profit!C3),AJ3)</f>
        <v>9.6946202454816367E-4</v>
      </c>
      <c r="AK4" s="6">
        <f>IFERROR(LN(Cotacao!BV5/Cotacao!BV4),AK3)</f>
        <v>3.6823307332763838E-3</v>
      </c>
      <c r="AL4" s="6">
        <f>IFERROR(LN(Cotacao!BX5/Cotacao!BX4),AL3)</f>
        <v>1.0977058631150994E-2</v>
      </c>
      <c r="AN4" s="7" t="s">
        <v>211</v>
      </c>
      <c r="AO4" s="8">
        <f ca="1">MIN(B$3:INDIRECT("B"&amp;$AT$17))</f>
        <v>-0.16213453587397589</v>
      </c>
      <c r="AP4" s="8">
        <f>MIN(C$3:C$247)</f>
        <v>-9.9905464548977543E-2</v>
      </c>
      <c r="AQ4" s="8">
        <f t="shared" ref="AQ4:AS4" si="0">MIN(D$3:D$247)</f>
        <v>-0.10124182735372955</v>
      </c>
      <c r="AR4" s="8">
        <f t="shared" si="0"/>
        <v>-0.30194325074814926</v>
      </c>
      <c r="AS4" s="8">
        <f t="shared" si="0"/>
        <v>-0.13660170513778055</v>
      </c>
      <c r="AT4" s="8">
        <f t="shared" ref="AT4" si="1">MIN(G$3:G$247)</f>
        <v>-0.11502242656956325</v>
      </c>
      <c r="AU4" s="8">
        <f t="shared" ref="AU4:AV4" si="2">MIN(H$3:H$247)</f>
        <v>-0.1062392503365151</v>
      </c>
      <c r="AV4" s="8">
        <f t="shared" si="2"/>
        <v>-0.12015390890919965</v>
      </c>
      <c r="AW4" s="8">
        <f t="shared" ref="AW4" si="3">MIN(J$3:J$247)</f>
        <v>-0.22504650146029581</v>
      </c>
      <c r="AX4" s="8">
        <f t="shared" ref="AX4:AY4" si="4">MIN(K$3:K$247)</f>
        <v>-0.17896584894698225</v>
      </c>
      <c r="AY4" s="8">
        <f t="shared" si="4"/>
        <v>-0.23345723158731216</v>
      </c>
      <c r="AZ4" s="8">
        <f t="shared" ref="AZ4" si="5">MIN(M$3:M$247)</f>
        <v>-8.1939127621494537E-2</v>
      </c>
      <c r="BA4" s="8">
        <f t="shared" ref="BA4:BB4" si="6">MIN(N$3:N$247)</f>
        <v>-9.6954241004891639E-2</v>
      </c>
      <c r="BB4" s="8">
        <f t="shared" si="6"/>
        <v>-0.16186669212891494</v>
      </c>
      <c r="BC4" s="8">
        <f t="shared" ref="BC4" si="7">MIN(P$3:P$247)</f>
        <v>-0.24323030988094713</v>
      </c>
      <c r="BD4" s="8">
        <f t="shared" ref="BD4:BE4" si="8">MIN(Q$3:Q$247)</f>
        <v>-0.16485561049523556</v>
      </c>
      <c r="BE4" s="8">
        <f t="shared" si="8"/>
        <v>-0.13191978873018118</v>
      </c>
      <c r="BF4" s="8">
        <f t="shared" ref="BF4" si="9">MIN(S$3:S$247)</f>
        <v>-0.20119909705965033</v>
      </c>
      <c r="BG4" s="8">
        <f t="shared" ref="BG4:BH4" si="10">MIN(T$3:T$247)</f>
        <v>-0.20964275234004492</v>
      </c>
      <c r="BH4" s="8">
        <f t="shared" si="10"/>
        <v>-9.5310179804324893E-2</v>
      </c>
      <c r="BI4" s="8">
        <f t="shared" ref="BI4" si="11">MIN(V$3:V$247)</f>
        <v>-9.0754363268464075E-2</v>
      </c>
      <c r="BJ4" s="8">
        <f t="shared" ref="BJ4:BK4" si="12">MIN(W$3:W$247)</f>
        <v>-0.10471827854497975</v>
      </c>
      <c r="BK4" s="8">
        <f t="shared" si="12"/>
        <v>-0.16107010382780226</v>
      </c>
      <c r="BL4" s="8">
        <f t="shared" ref="BL4" si="13">MIN(Y$3:Y$247)</f>
        <v>-9.7163748453647739E-2</v>
      </c>
      <c r="BM4" s="8">
        <f t="shared" ref="BM4:BN4" si="14">MIN(Z$3:Z$247)</f>
        <v>-0.19337139298053965</v>
      </c>
      <c r="BN4" s="8">
        <f t="shared" si="14"/>
        <v>-0.21413254848365468</v>
      </c>
      <c r="BO4" s="8">
        <f t="shared" ref="BO4" si="15">MIN(AB$3:AB$247)</f>
        <v>-0.29310213992112022</v>
      </c>
      <c r="BP4" s="8">
        <f t="shared" ref="BP4:BQ4" si="16">MIN(AC$3:AC$247)</f>
        <v>-0.17308497741936782</v>
      </c>
      <c r="BQ4" s="8">
        <f t="shared" si="16"/>
        <v>-0.21381636843907098</v>
      </c>
      <c r="BR4" s="8">
        <f t="shared" ref="BR4" si="17">MIN(AE$3:AE$247)</f>
        <v>-0.11528615545779616</v>
      </c>
      <c r="BS4" s="8">
        <f t="shared" ref="BS4:BT4" si="18">MIN(AF$3:AF$247)</f>
        <v>-0.23092060108720661</v>
      </c>
      <c r="BT4" s="8">
        <f t="shared" si="18"/>
        <v>-0.17578717942062011</v>
      </c>
      <c r="BU4" s="8">
        <f t="shared" ref="BU4" si="19">MIN(AH$3:AH$247)</f>
        <v>-0.35236661096567917</v>
      </c>
      <c r="BV4" s="8">
        <f t="shared" ref="BV4:BW4" si="20">MIN(AI$3:AI$247)</f>
        <v>-0.45477035976565583</v>
      </c>
      <c r="BW4" s="8">
        <f t="shared" si="20"/>
        <v>-0.14112195117431195</v>
      </c>
      <c r="BX4" s="8">
        <f t="shared" ref="BX4" si="21">MIN(AK$3:AK$247)</f>
        <v>-0.15993826738243536</v>
      </c>
      <c r="BY4" s="8">
        <f t="shared" ref="BY4" si="22">MIN(AL$3:AL$247)</f>
        <v>-0.16663674726964092</v>
      </c>
    </row>
    <row r="5" spans="1:77">
      <c r="A5" s="3" t="str">
        <f>Cotacao!C5</f>
        <v>7/1/2019 16:56:00</v>
      </c>
      <c r="B5" s="6">
        <f>IFERROR(LN(Cotacao!D6/Cotacao!D5),B4)</f>
        <v>-9.5188450092068694E-3</v>
      </c>
      <c r="C5" s="6">
        <f>IFERROR(LN(Cotacao!F6/Cotacao!F5),C4)</f>
        <v>-6.1162270174359825E-3</v>
      </c>
      <c r="D5" s="6">
        <f>IFERROR(LN(Cotacao!H6/Cotacao!H5),D4)</f>
        <v>4.8159707805846899E-3</v>
      </c>
      <c r="E5" s="6">
        <f>IFERROR(LN(Cotacao!J6/Cotacao!J5),E4)</f>
        <v>-6.196766537511493E-3</v>
      </c>
      <c r="F5" s="6">
        <f>IFERROR(LN(Cotacao!L6/Cotacao!L5),F4)</f>
        <v>1.0130718474822159E-2</v>
      </c>
      <c r="G5" s="6">
        <f>IFERROR(LN(Cotacao!N6/Cotacao!N5),G4)</f>
        <v>-1.089504940506706E-2</v>
      </c>
      <c r="H5" s="6">
        <f>IFERROR(LN(Cotacao!P6/Cotacao!P5),H4)</f>
        <v>-1.001462093001684E-2</v>
      </c>
      <c r="I5" s="6">
        <f>IFERROR(LN(Cotacao!R6/Cotacao!R5),I4)</f>
        <v>1.9996007462512989E-3</v>
      </c>
      <c r="J5" s="6">
        <f>IFERROR(LN(Cotacao!T6/Cotacao!T5),J4)</f>
        <v>1.4538158446027067E-2</v>
      </c>
      <c r="K5" s="6">
        <f>IFERROR(LN(Cotacao!V6/Cotacao!V5),K4)</f>
        <v>2.2658023892583996E-2</v>
      </c>
      <c r="L5" s="6">
        <f>IFERROR(LN(Cotacao!X6/Cotacao!X5),L4)</f>
        <v>-2.0652815673978956E-3</v>
      </c>
      <c r="M5" s="6">
        <f>IFERROR(LN(Profit!B5/Profit!B4),M4)</f>
        <v>2.1670701451629158E-2</v>
      </c>
      <c r="N5" s="6">
        <f>IFERROR(LN(Cotacao!AB6/Cotacao!AB5),N4)</f>
        <v>-5.7189698356608634E-3</v>
      </c>
      <c r="O5" s="6">
        <f>IFERROR(LN(Cotacao!AD6/Cotacao!AD5),O4)</f>
        <v>0</v>
      </c>
      <c r="P5" s="6">
        <f>IFERROR(LN(Cotacao!AF6/Cotacao!AF5),P4)</f>
        <v>-1.1049836186584935E-2</v>
      </c>
      <c r="Q5" s="6">
        <f>IFERROR(LN(Cotacao!AH6/Cotacao!AH5),Q4)</f>
        <v>-4.3037868072569256E-2</v>
      </c>
      <c r="R5" s="6">
        <f>IFERROR(LN(Cotacao!AJ6/Cotacao!AJ5),R4)</f>
        <v>2.6567027384721706E-2</v>
      </c>
      <c r="S5" s="6">
        <f>IFERROR(LN(Cotacao!AL6/Cotacao!AL5),S4)</f>
        <v>-1.834913866819643E-2</v>
      </c>
      <c r="T5" s="6">
        <f>IFERROR(LN(Cotacao!AN6/Cotacao!AN5),T4)</f>
        <v>1.4498413290817606E-3</v>
      </c>
      <c r="U5" s="6">
        <f>IFERROR(LN(Cotacao!AP6/Cotacao!AP5),U4)</f>
        <v>-5.9121793832286884E-3</v>
      </c>
      <c r="V5" s="6">
        <f>IFERROR(LN(Cotacao!AR6/Cotacao!AR5),V4)</f>
        <v>3.5429620763441287E-3</v>
      </c>
      <c r="W5" s="6">
        <f>IFERROR(LN(Cotacao!AT6/Cotacao!AT5),W4)</f>
        <v>3.09324677335869E-3</v>
      </c>
      <c r="X5" s="6">
        <f>IFERROR(LN(Cotacao!AV6/Cotacao!AV5),X4)</f>
        <v>-3.2930490434751607E-3</v>
      </c>
      <c r="Y5" s="6">
        <f>IFERROR(LN(Cotacao!AX6/Cotacao!AX5),Y4)</f>
        <v>8.3368074857740867E-4</v>
      </c>
      <c r="Z5" s="6">
        <f>IFERROR(LN(Cotacao!AZ6/Cotacao!AZ5),Z4)</f>
        <v>0</v>
      </c>
      <c r="AA5" s="6">
        <f>IFERROR(LN(Cotacao!BB6/Cotacao!BB5),AA4)</f>
        <v>4.8681103967295053E-3</v>
      </c>
      <c r="AB5" s="6">
        <f>IFERROR(LN(Cotacao!BD6/Cotacao!BD5),AB4)</f>
        <v>-1.5075662405447273E-2</v>
      </c>
      <c r="AC5" s="6">
        <f>IFERROR(LN(Cotacao!BF6/Cotacao!BF5),AC4)</f>
        <v>2.0325903014038908E-2</v>
      </c>
      <c r="AD5" s="6">
        <f>IFERROR(LN(Cotacao!BH6/Cotacao!BH5),AD4)</f>
        <v>1.9686178380415469E-2</v>
      </c>
      <c r="AE5" s="6">
        <f>IFERROR(LN(Cotacao!BJ6/Cotacao!BJ5),AE4)</f>
        <v>-3.2206147000421719E-3</v>
      </c>
      <c r="AF5" s="6">
        <f>IFERROR(LN(Cotacao!BL6/Cotacao!BL5),AF4)</f>
        <v>-9.2721378919213902E-4</v>
      </c>
      <c r="AG5" s="6">
        <f>IFERROR(LN(Cotacao!BN6/Cotacao!BN5),AG4)</f>
        <v>-1.5852379520322327E-2</v>
      </c>
      <c r="AH5" s="6">
        <f>IFERROR(LN(Cotacao!BP6/Cotacao!BP5),AH4)</f>
        <v>-1.6272548414854187E-2</v>
      </c>
      <c r="AI5" s="6">
        <f>IFERROR(LN(Cotacao!BR6/Cotacao!BR5),AI4)</f>
        <v>-1.5199785981766103E-2</v>
      </c>
      <c r="AJ5" s="6">
        <f>IFERROR(LN(Profit!C5/Profit!C4),AJ4)</f>
        <v>1.8243424835443115E-2</v>
      </c>
      <c r="AK5" s="6">
        <f>IFERROR(LN(Cotacao!BV6/Cotacao!BV5),AK4)</f>
        <v>-7.27439436055122E-3</v>
      </c>
      <c r="AL5" s="6">
        <f>IFERROR(LN(Cotacao!BX6/Cotacao!BX5),AL4)</f>
        <v>-1.5401844611506703E-2</v>
      </c>
      <c r="AN5" s="7" t="s">
        <v>210</v>
      </c>
      <c r="AO5" s="8">
        <f ca="1">MAX(B$3:INDIRECT("B"&amp;$AT$17))</f>
        <v>0.15773735116341617</v>
      </c>
      <c r="AP5" s="8">
        <f>MAX(C$3:C$247)</f>
        <v>0.10215771775330279</v>
      </c>
      <c r="AQ5" s="8">
        <f t="shared" ref="AQ5:AS5" si="23">MAX(D$3:D$247)</f>
        <v>9.4604888012481098E-2</v>
      </c>
      <c r="AR5" s="8">
        <f t="shared" si="23"/>
        <v>0.15237448042600255</v>
      </c>
      <c r="AS5" s="8">
        <f t="shared" si="23"/>
        <v>0.10221905506820017</v>
      </c>
      <c r="AT5" s="8">
        <f t="shared" ref="AT5" si="24">MAX(G$3:G$247)</f>
        <v>9.5604340712461641E-2</v>
      </c>
      <c r="AU5" s="8">
        <f t="shared" ref="AU5:AV5" si="25">MAX(H$3:H$247)</f>
        <v>0.10465697152538564</v>
      </c>
      <c r="AV5" s="8">
        <f t="shared" si="25"/>
        <v>9.951386081997346E-2</v>
      </c>
      <c r="AW5" s="8">
        <f t="shared" ref="AW5" si="26">MAX(J$3:J$247)</f>
        <v>0.14945129315525046</v>
      </c>
      <c r="AX5" s="8">
        <f t="shared" ref="AX5:AY5" si="27">MAX(K$3:K$247)</f>
        <v>0.1437251608140655</v>
      </c>
      <c r="AY5" s="8">
        <f t="shared" si="27"/>
        <v>0.10601819407679715</v>
      </c>
      <c r="AZ5" s="8">
        <f t="shared" ref="AZ5" si="28">MAX(M$3:M$247)</f>
        <v>5.1723617853991814E-2</v>
      </c>
      <c r="BA5" s="8">
        <f t="shared" ref="BA5:BB5" si="29">MAX(N$3:N$247)</f>
        <v>6.3916274150947874E-2</v>
      </c>
      <c r="BB5" s="8">
        <f t="shared" si="29"/>
        <v>0.11940569036087381</v>
      </c>
      <c r="BC5" s="8">
        <f t="shared" ref="BC5" si="30">MAX(P$3:P$247)</f>
        <v>0.17103663451878381</v>
      </c>
      <c r="BD5" s="8">
        <f t="shared" ref="BD5:BE5" si="31">MAX(Q$3:Q$247)</f>
        <v>0.19357343359138948</v>
      </c>
      <c r="BE5" s="8">
        <f t="shared" si="31"/>
        <v>0.11619580783611379</v>
      </c>
      <c r="BF5" s="8">
        <f t="shared" ref="BF5" si="32">MAX(S$3:S$247)</f>
        <v>0.12669528337490354</v>
      </c>
      <c r="BG5" s="8">
        <f t="shared" ref="BG5:BH5" si="33">MAX(T$3:T$247)</f>
        <v>9.1107638541510647E-2</v>
      </c>
      <c r="BH5" s="8">
        <f t="shared" si="33"/>
        <v>3.5918563757522295E-2</v>
      </c>
      <c r="BI5" s="8">
        <f t="shared" ref="BI5" si="34">MAX(V$3:V$247)</f>
        <v>5.0750847940834433E-2</v>
      </c>
      <c r="BJ5" s="8">
        <f t="shared" ref="BJ5:BK5" si="35">MAX(W$3:W$247)</f>
        <v>7.0676222827312396E-2</v>
      </c>
      <c r="BK5" s="8">
        <f t="shared" si="35"/>
        <v>6.1775398717754157E-2</v>
      </c>
      <c r="BL5" s="8">
        <f t="shared" ref="BL5" si="36">MAX(Y$3:Y$247)</f>
        <v>7.2618602550656455E-2</v>
      </c>
      <c r="BM5" s="8">
        <f t="shared" ref="BM5:BN5" si="37">MAX(Z$3:Z$247)</f>
        <v>0.131028262406404</v>
      </c>
      <c r="BN5" s="8">
        <f t="shared" si="37"/>
        <v>0.10192874749836411</v>
      </c>
      <c r="BO5" s="8">
        <f t="shared" ref="BO5" si="38">MAX(AB$3:AB$247)</f>
        <v>0.24428598788801892</v>
      </c>
      <c r="BP5" s="8">
        <f t="shared" ref="BP5:BQ5" si="39">MAX(AC$3:AC$247)</f>
        <v>0.20909179785855939</v>
      </c>
      <c r="BQ5" s="8">
        <f t="shared" si="39"/>
        <v>0.14883151834965841</v>
      </c>
      <c r="BR5" s="8">
        <f t="shared" ref="BR5" si="40">MAX(AE$3:AE$247)</f>
        <v>6.8801006559271585E-2</v>
      </c>
      <c r="BS5" s="8">
        <f t="shared" ref="BS5:BT5" si="41">MAX(AF$3:AF$247)</f>
        <v>0.11929019494695479</v>
      </c>
      <c r="BT5" s="8">
        <f t="shared" si="41"/>
        <v>0.17600719127033848</v>
      </c>
      <c r="BU5" s="8">
        <f t="shared" ref="BU5" si="42">MAX(AH$3:AH$247)</f>
        <v>0.20067069546215124</v>
      </c>
      <c r="BV5" s="8">
        <f t="shared" ref="BV5:BW5" si="43">MAX(AI$3:AI$247)</f>
        <v>0.27980877205906851</v>
      </c>
      <c r="BW5" s="8">
        <f t="shared" si="43"/>
        <v>0.21159514849633285</v>
      </c>
      <c r="BX5" s="8">
        <f t="shared" ref="BX5" si="44">MAX(AK$3:AK$247)</f>
        <v>0.13022819704810781</v>
      </c>
      <c r="BY5" s="8">
        <f t="shared" ref="BY5" si="45">MAX(AL$3:AL$247)</f>
        <v>0.13836901331221549</v>
      </c>
    </row>
    <row r="6" spans="1:77">
      <c r="A6" s="3" t="str">
        <f>Cotacao!C6</f>
        <v>7/2/2019 16:56:00</v>
      </c>
      <c r="B6" s="6">
        <f>IFERROR(LN(Cotacao!D7/Cotacao!D6),B5)</f>
        <v>-2.1276603771167293E-3</v>
      </c>
      <c r="C6" s="6">
        <f>IFERROR(LN(Cotacao!F7/Cotacao!F6),C5)</f>
        <v>5.2011743380613491E-3</v>
      </c>
      <c r="D6" s="6">
        <f>IFERROR(LN(Cotacao!H7/Cotacao!H6),D5)</f>
        <v>7.9754324989738321E-3</v>
      </c>
      <c r="E6" s="6">
        <f>IFERROR(LN(Cotacao!J7/Cotacao!J6),E5)</f>
        <v>-5.4538506824637024E-3</v>
      </c>
      <c r="F6" s="6">
        <f>IFERROR(LN(Cotacao!L7/Cotacao!L6),F5)</f>
        <v>2.3592182016819979E-2</v>
      </c>
      <c r="G6" s="6">
        <f>IFERROR(LN(Cotacao!N7/Cotacao!N6),G5)</f>
        <v>1.5528262326555194E-2</v>
      </c>
      <c r="H6" s="6">
        <f>IFERROR(LN(Cotacao!P7/Cotacao!P6),H5)</f>
        <v>1.3544225107757253E-2</v>
      </c>
      <c r="I6" s="6">
        <f>IFERROR(LN(Cotacao!R7/Cotacao!R6),I5)</f>
        <v>-6.8150193611178122E-3</v>
      </c>
      <c r="J6" s="6">
        <f>IFERROR(LN(Cotacao!T7/Cotacao!T6),J5)</f>
        <v>-1.558473101669809E-2</v>
      </c>
      <c r="K6" s="6">
        <f>IFERROR(LN(Cotacao!V7/Cotacao!V6),K5)</f>
        <v>8.113634774169631E-3</v>
      </c>
      <c r="L6" s="6">
        <f>IFERROR(LN(Cotacao!X7/Cotacao!X6),L5)</f>
        <v>6.7189502487450094E-3</v>
      </c>
      <c r="M6" s="6">
        <f>IFERROR(LN(Profit!B6/Profit!B5),M5)</f>
        <v>-5.4794657646255957E-3</v>
      </c>
      <c r="N6" s="6">
        <f>IFERROR(LN(Cotacao!AB7/Cotacao!AB6),N5)</f>
        <v>-1.3611263964248497E-2</v>
      </c>
      <c r="O6" s="6">
        <f>IFERROR(LN(Cotacao!AD7/Cotacao!AD6),O5)</f>
        <v>-8.6083745366001638E-3</v>
      </c>
      <c r="P6" s="6">
        <f>IFERROR(LN(Cotacao!AF7/Cotacao!AF6),P5)</f>
        <v>-8.0091961317771895E-3</v>
      </c>
      <c r="Q6" s="6">
        <f>IFERROR(LN(Cotacao!AH7/Cotacao!AH6),Q5)</f>
        <v>-1.9477996029611639E-3</v>
      </c>
      <c r="R6" s="6">
        <f>IFERROR(LN(Cotacao!AJ7/Cotacao!AJ6),R5)</f>
        <v>6.5329210416230953E-3</v>
      </c>
      <c r="S6" s="6">
        <f>IFERROR(LN(Cotacao!AL7/Cotacao!AL6),S5)</f>
        <v>1.3793322132335769E-2</v>
      </c>
      <c r="T6" s="6">
        <f>IFERROR(LN(Cotacao!AN7/Cotacao!AN6),T5)</f>
        <v>1.2624752397289378E-2</v>
      </c>
      <c r="U6" s="6">
        <f>IFERROR(LN(Cotacao!AP7/Cotacao!AP6),U5)</f>
        <v>3.8046970436640664E-3</v>
      </c>
      <c r="V6" s="6">
        <f>IFERROR(LN(Cotacao!AR7/Cotacao!AR6),V5)</f>
        <v>6.1701385701557771E-3</v>
      </c>
      <c r="W6" s="6">
        <f>IFERROR(LN(Cotacao!AT7/Cotacao!AT6),W5)</f>
        <v>2.2648371429516732E-2</v>
      </c>
      <c r="X6" s="6">
        <f>IFERROR(LN(Cotacao!AV7/Cotacao!AV6),X5)</f>
        <v>2.8435967644853621E-2</v>
      </c>
      <c r="Y6" s="6">
        <f>IFERROR(LN(Cotacao!AX7/Cotacao!AX6),Y5)</f>
        <v>1.6652793190612488E-3</v>
      </c>
      <c r="Z6" s="6">
        <f>IFERROR(LN(Cotacao!AZ7/Cotacao!AZ6),Z5)</f>
        <v>2.7510333718900187E-3</v>
      </c>
      <c r="AA6" s="6">
        <f>IFERROR(LN(Cotacao!BB7/Cotacao!BB6),AA5)</f>
        <v>7.3231659823882432E-3</v>
      </c>
      <c r="AB6" s="6">
        <f>IFERROR(LN(Cotacao!BD7/Cotacao!BD6),AB5)</f>
        <v>1.2578782206859965E-2</v>
      </c>
      <c r="AC6" s="6">
        <f>IFERROR(LN(Cotacao!BF7/Cotacao!BF6),AC5)</f>
        <v>1.398624197473987E-2</v>
      </c>
      <c r="AD6" s="6">
        <f>IFERROR(LN(Cotacao!BH7/Cotacao!BH6),AD5)</f>
        <v>3.7902761737808269E-3</v>
      </c>
      <c r="AE6" s="6">
        <f>IFERROR(LN(Cotacao!BJ7/Cotacao!BJ6),AE5)</f>
        <v>6.4308903302903314E-3</v>
      </c>
      <c r="AF6" s="6">
        <f>IFERROR(LN(Cotacao!BL7/Cotacao!BL6),AF5)</f>
        <v>6.4725145056175196E-3</v>
      </c>
      <c r="AG6" s="6">
        <f>IFERROR(LN(Cotacao!BN7/Cotacao!BN6),AG5)</f>
        <v>2.2384081383537435E-2</v>
      </c>
      <c r="AH6" s="6">
        <f>IFERROR(LN(Cotacao!BP7/Cotacao!BP6),AH5)</f>
        <v>1.1492248817307791E-2</v>
      </c>
      <c r="AI6" s="6">
        <f>IFERROR(LN(Cotacao!BR7/Cotacao!BR6),AI5)</f>
        <v>2.644990463636231E-2</v>
      </c>
      <c r="AJ6" s="6">
        <f>IFERROR(LN(Profit!C6/Profit!C5),AJ5)</f>
        <v>4.7460933892557594E-3</v>
      </c>
      <c r="AK6" s="6">
        <f>IFERROR(LN(Cotacao!BV7/Cotacao!BV6),AK5)</f>
        <v>1.4191723057751725E-2</v>
      </c>
      <c r="AL6" s="6">
        <f>IFERROR(LN(Cotacao!BX7/Cotacao!BX6),AL5)</f>
        <v>1.6492952193841386E-2</v>
      </c>
      <c r="AN6" s="7" t="s">
        <v>212</v>
      </c>
      <c r="AO6" s="8">
        <f ca="1">AVERAGE(B$3:INDIRECT("B"&amp;$AT$17))</f>
        <v>-1.3916062296376859E-3</v>
      </c>
      <c r="AP6" s="8">
        <f>AVERAGE(C$3:C$247)</f>
        <v>-2.0616318137782575E-4</v>
      </c>
      <c r="AQ6" s="8">
        <f t="shared" ref="AQ6:AS6" si="46">AVERAGE(D$3:D$247)</f>
        <v>-1.2601229984419713E-5</v>
      </c>
      <c r="AR6" s="8">
        <f t="shared" si="46"/>
        <v>-1.1897662152252487E-3</v>
      </c>
      <c r="AS6" s="8">
        <f t="shared" si="46"/>
        <v>-7.5540187128085771E-5</v>
      </c>
      <c r="AT6" s="8">
        <f t="shared" ref="AT6" si="47">AVERAGE(G$3:G$247)</f>
        <v>-7.615430708610431E-4</v>
      </c>
      <c r="AU6" s="8">
        <f t="shared" ref="AU6:AV6" si="48">AVERAGE(H$3:H$247)</f>
        <v>-2.6427569808549009E-4</v>
      </c>
      <c r="AV6" s="8">
        <f t="shared" si="48"/>
        <v>-1.3112388727799776E-3</v>
      </c>
      <c r="AW6" s="8">
        <f t="shared" ref="AW6" si="49">AVERAGE(J$3:J$247)</f>
        <v>-4.9288227608999509E-4</v>
      </c>
      <c r="AX6" s="8">
        <f t="shared" ref="AX6:AY6" si="50">AVERAGE(K$3:K$247)</f>
        <v>1.5531255063589216E-3</v>
      </c>
      <c r="AY6" s="8">
        <f t="shared" si="50"/>
        <v>-4.390471891044139E-4</v>
      </c>
      <c r="AZ6" s="8">
        <f t="shared" ref="AZ6" si="51">AVERAGE(M$3:M$247)</f>
        <v>6.1742272805462989E-4</v>
      </c>
      <c r="BA6" s="8">
        <f t="shared" ref="BA6:BB6" si="52">AVERAGE(N$3:N$247)</f>
        <v>-6.571243159755421E-4</v>
      </c>
      <c r="BB6" s="8">
        <f t="shared" si="52"/>
        <v>-1.1908609206333638E-4</v>
      </c>
      <c r="BC6" s="8">
        <f t="shared" ref="BC6" si="53">AVERAGE(P$3:P$247)</f>
        <v>-2.7296784773370494E-3</v>
      </c>
      <c r="BD6" s="8">
        <f t="shared" ref="BD6:BE6" si="54">AVERAGE(Q$3:Q$247)</f>
        <v>1.1850851938756037E-4</v>
      </c>
      <c r="BE6" s="8">
        <f t="shared" si="54"/>
        <v>7.6741287655658174E-4</v>
      </c>
      <c r="BF6" s="8">
        <f t="shared" ref="BF6" si="55">AVERAGE(S$3:S$247)</f>
        <v>-9.8695848245721157E-4</v>
      </c>
      <c r="BG6" s="8">
        <f t="shared" ref="BG6:BH6" si="56">AVERAGE(T$3:T$247)</f>
        <v>4.102300022953713E-5</v>
      </c>
      <c r="BH6" s="8">
        <f t="shared" si="56"/>
        <v>-4.858416870696684E-4</v>
      </c>
      <c r="BI6" s="8">
        <f t="shared" ref="BI6" si="57">AVERAGE(V$3:V$247)</f>
        <v>-1.8727298241089587E-4</v>
      </c>
      <c r="BJ6" s="8">
        <f t="shared" ref="BJ6:BK6" si="58">AVERAGE(W$3:W$247)</f>
        <v>1.4527910787988561E-4</v>
      </c>
      <c r="BK6" s="8">
        <f t="shared" si="58"/>
        <v>-2.7961994511192003E-4</v>
      </c>
      <c r="BL6" s="8">
        <f t="shared" ref="BL6" si="59">AVERAGE(Y$3:Y$247)</f>
        <v>1.602429863335308E-4</v>
      </c>
      <c r="BM6" s="8">
        <f t="shared" ref="BM6:BN6" si="60">AVERAGE(Z$3:Z$247)</f>
        <v>-7.8799980954852045E-5</v>
      </c>
      <c r="BN6" s="8">
        <f t="shared" si="60"/>
        <v>1.0727239375624132E-3</v>
      </c>
      <c r="BO6" s="8">
        <f t="shared" ref="BO6" si="61">AVERAGE(AB$3:AB$247)</f>
        <v>4.1967842653185041E-4</v>
      </c>
      <c r="BP6" s="8">
        <f t="shared" ref="BP6:BQ6" si="62">AVERAGE(AC$3:AC$247)</f>
        <v>2.955739224807749E-3</v>
      </c>
      <c r="BQ6" s="8">
        <f t="shared" si="62"/>
        <v>2.4715391851936209E-4</v>
      </c>
      <c r="BR6" s="8">
        <f t="shared" ref="BR6" si="63">AVERAGE(AE$3:AE$247)</f>
        <v>3.3633211641701834E-4</v>
      </c>
      <c r="BS6" s="8">
        <f t="shared" ref="BS6:BT6" si="64">AVERAGE(AF$3:AF$247)</f>
        <v>3.163843532306425E-3</v>
      </c>
      <c r="BT6" s="8">
        <f t="shared" si="64"/>
        <v>1.3483445805901899E-3</v>
      </c>
      <c r="BU6" s="8">
        <f t="shared" ref="BU6" si="65">AVERAGE(AH$3:AH$247)</f>
        <v>-1.0193310220156702E-3</v>
      </c>
      <c r="BV6" s="8">
        <f t="shared" ref="BV6:BW6" si="66">AVERAGE(AI$3:AI$247)</f>
        <v>2.7691058388820849E-3</v>
      </c>
      <c r="BW6" s="8">
        <f t="shared" si="66"/>
        <v>1.047686858914531E-3</v>
      </c>
      <c r="BX6" s="8">
        <f t="shared" ref="BX6" si="67">AVERAGE(AK$3:AK$247)</f>
        <v>-1.3395108337735812E-4</v>
      </c>
      <c r="BY6" s="8">
        <f t="shared" ref="BY6" si="68">AVERAGE(AL$3:AL$247)</f>
        <v>7.4844944177790168E-4</v>
      </c>
    </row>
    <row r="7" spans="1:77">
      <c r="A7" s="3" t="str">
        <f>Cotacao!C7</f>
        <v>7/3/2019 16:56:00</v>
      </c>
      <c r="B7" s="6">
        <f>IFERROR(LN(Cotacao!D8/Cotacao!D7),B6)</f>
        <v>2.9899945695673971E-2</v>
      </c>
      <c r="C7" s="6">
        <f>IFERROR(LN(Cotacao!F8/Cotacao!F7),C6)</f>
        <v>9.7176592227975669E-3</v>
      </c>
      <c r="D7" s="6">
        <f>IFERROR(LN(Cotacao!H8/Cotacao!H7),D6)</f>
        <v>6.3348628139683399E-3</v>
      </c>
      <c r="E7" s="6">
        <f>IFERROR(LN(Cotacao!J8/Cotacao!J7),E6)</f>
        <v>1.3193827402780944E-2</v>
      </c>
      <c r="F7" s="6">
        <f>IFERROR(LN(Cotacao!L8/Cotacao!L7),F6)</f>
        <v>1.644435822637726E-2</v>
      </c>
      <c r="G7" s="6">
        <f>IFERROR(LN(Cotacao!N8/Cotacao!N7),G6)</f>
        <v>1.3012047347829707E-2</v>
      </c>
      <c r="H7" s="6">
        <f>IFERROR(LN(Cotacao!P8/Cotacao!P7),H6)</f>
        <v>9.8805584696835189E-3</v>
      </c>
      <c r="I7" s="6">
        <f>IFERROR(LN(Cotacao!R8/Cotacao!R7),I6)</f>
        <v>2.8550710068131622E-2</v>
      </c>
      <c r="J7" s="6">
        <f>IFERROR(LN(Cotacao!T8/Cotacao!T7),J6)</f>
        <v>3.6582220049688817E-3</v>
      </c>
      <c r="K7" s="6">
        <f>IFERROR(LN(Cotacao!V8/Cotacao!V7),K6)</f>
        <v>6.0423144559626617E-3</v>
      </c>
      <c r="L7" s="6">
        <f>IFERROR(LN(Cotacao!X8/Cotacao!X7),L6)</f>
        <v>-9.2389767826222078E-3</v>
      </c>
      <c r="M7" s="6">
        <f>IFERROR(LN(Profit!B7/Profit!B6),M6)</f>
        <v>2.5327155792838393E-3</v>
      </c>
      <c r="N7" s="6">
        <f>IFERROR(LN(Cotacao!AB8/Cotacao!AB7),N6)</f>
        <v>-4.153686456396117E-4</v>
      </c>
      <c r="O7" s="6">
        <f>IFERROR(LN(Cotacao!AD8/Cotacao!AD7),O6)</f>
        <v>3.3565123816516151E-3</v>
      </c>
      <c r="P7" s="6">
        <f>IFERROR(LN(Cotacao!AF8/Cotacao!AF7),P6)</f>
        <v>8.2940558402979647E-3</v>
      </c>
      <c r="Q7" s="6">
        <f>IFERROR(LN(Cotacao!AH8/Cotacao!AH7),Q6)</f>
        <v>7.3815408979162594E-3</v>
      </c>
      <c r="R7" s="6">
        <f>IFERROR(LN(Cotacao!AJ8/Cotacao!AJ7),R6)</f>
        <v>2.3671104074100113E-2</v>
      </c>
      <c r="S7" s="6">
        <f>IFERROR(LN(Cotacao!AL8/Cotacao!AL7),S6)</f>
        <v>2.70286723879192E-2</v>
      </c>
      <c r="T7" s="6">
        <f>IFERROR(LN(Cotacao!AN8/Cotacao!AN7),T6)</f>
        <v>-4.6327018659515183E-3</v>
      </c>
      <c r="U7" s="6">
        <f>IFERROR(LN(Cotacao!AP8/Cotacao!AP7),U6)</f>
        <v>-1.858265590909403E-3</v>
      </c>
      <c r="V7" s="6">
        <f>IFERROR(LN(Cotacao!AR8/Cotacao!AR7),V6)</f>
        <v>7.8775024430944585E-3</v>
      </c>
      <c r="W7" s="6">
        <f>IFERROR(LN(Cotacao!AT8/Cotacao!AT7),W6)</f>
        <v>-4.6439711944507049E-3</v>
      </c>
      <c r="X7" s="6">
        <f>IFERROR(LN(Cotacao!AV8/Cotacao!AV7),X6)</f>
        <v>-1.3045155815112956E-2</v>
      </c>
      <c r="Y7" s="6">
        <f>IFERROR(LN(Cotacao!AX8/Cotacao!AX7),Y6)</f>
        <v>-1.6652793190612089E-3</v>
      </c>
      <c r="Z7" s="6">
        <f>IFERROR(LN(Cotacao!AZ8/Cotacao!AZ7),Z6)</f>
        <v>-5.5096558109695845E-3</v>
      </c>
      <c r="AA7" s="6">
        <f>IFERROR(LN(Cotacao!BB8/Cotacao!BB7),AA6)</f>
        <v>-2.674583283262073E-3</v>
      </c>
      <c r="AB7" s="6">
        <f>IFERROR(LN(Cotacao!BD8/Cotacao!BD7),AB6)</f>
        <v>4.3654575096399983E-3</v>
      </c>
      <c r="AC7" s="6">
        <f>IFERROR(LN(Cotacao!BF8/Cotacao!BF7),AC6)</f>
        <v>-4.9726606693784887E-3</v>
      </c>
      <c r="AD7" s="6">
        <f>IFERROR(LN(Cotacao!BH8/Cotacao!BH7),AD6)</f>
        <v>4.0271889313689101E-3</v>
      </c>
      <c r="AE7" s="6">
        <f>IFERROR(LN(Cotacao!BJ8/Cotacao!BJ7),AE6)</f>
        <v>-1.9418085857101627E-2</v>
      </c>
      <c r="AF7" s="6">
        <f>IFERROR(LN(Cotacao!BL8/Cotacao!BL7),AF6)</f>
        <v>2.2780028331819906E-2</v>
      </c>
      <c r="AG7" s="6">
        <f>IFERROR(LN(Cotacao!BN8/Cotacao!BN7),AG6)</f>
        <v>3.4300777529989633E-2</v>
      </c>
      <c r="AH7" s="6">
        <f>IFERROR(LN(Cotacao!BP8/Cotacao!BP7),AH6)</f>
        <v>9.5378566041465634E-3</v>
      </c>
      <c r="AI7" s="6">
        <f>IFERROR(LN(Cotacao!BR8/Cotacao!BR7),AI6)</f>
        <v>-2.4891114282668669E-3</v>
      </c>
      <c r="AJ7" s="6">
        <f>IFERROR(LN(Profit!C7/Profit!C6),AJ6)</f>
        <v>5.6657375356772999E-3</v>
      </c>
      <c r="AK7" s="6">
        <f>IFERROR(LN(Cotacao!BV8/Cotacao!BV7),AK6)</f>
        <v>1.549102911438815E-2</v>
      </c>
      <c r="AL7" s="6">
        <f>IFERROR(LN(Cotacao!BX8/Cotacao!BX7),AL6)</f>
        <v>1.5867624664625008E-2</v>
      </c>
      <c r="AN7" s="7" t="s">
        <v>213</v>
      </c>
      <c r="AO7" s="8">
        <f ca="1">STDEV(B$3:INDIRECT("B"&amp;$AT$17))</f>
        <v>3.0888240077181765E-2</v>
      </c>
      <c r="AP7" s="8">
        <f>STDEV(C$3:C$247)</f>
        <v>2.5932405472795371E-2</v>
      </c>
      <c r="AQ7" s="8">
        <f t="shared" ref="AQ7:AS7" si="69">STDEV(D$3:D$247)</f>
        <v>2.1809910378411183E-2</v>
      </c>
      <c r="AR7" s="8">
        <f t="shared" si="69"/>
        <v>4.5687932549761057E-2</v>
      </c>
      <c r="AS7" s="8">
        <f t="shared" si="69"/>
        <v>2.4619210993571141E-2</v>
      </c>
      <c r="AT7" s="8">
        <f t="shared" ref="AT7" si="70">STDEV(G$3:G$247)</f>
        <v>2.6403489528635988E-2</v>
      </c>
      <c r="AU7" s="8">
        <f t="shared" ref="AU7:AV7" si="71">STDEV(H$3:H$247)</f>
        <v>2.5801550677679613E-2</v>
      </c>
      <c r="AV7" s="8">
        <f t="shared" si="71"/>
        <v>2.877072417296541E-2</v>
      </c>
      <c r="AW7" s="8">
        <f t="shared" ref="AW7" si="72">STDEV(J$3:J$247)</f>
        <v>4.2944425673647618E-2</v>
      </c>
      <c r="AX7" s="8">
        <f t="shared" ref="AX7:AY7" si="73">STDEV(K$3:K$247)</f>
        <v>3.3257824808773782E-2</v>
      </c>
      <c r="AY7" s="8">
        <f t="shared" si="73"/>
        <v>2.661181013393946E-2</v>
      </c>
      <c r="AZ7" s="8">
        <f t="shared" ref="AZ7" si="74">STDEV(M$3:M$247)</f>
        <v>1.5678892764579785E-2</v>
      </c>
      <c r="BA7" s="8">
        <f t="shared" ref="BA7:BB7" si="75">STDEV(N$3:N$247)</f>
        <v>1.9226884347929667E-2</v>
      </c>
      <c r="BB7" s="8">
        <f t="shared" si="75"/>
        <v>3.2587693586377517E-2</v>
      </c>
      <c r="BC7" s="8">
        <f t="shared" ref="BC7" si="76">STDEV(P$3:P$247)</f>
        <v>4.2585431917902566E-2</v>
      </c>
      <c r="BD7" s="8">
        <f t="shared" ref="BD7:BE7" si="77">STDEV(Q$3:Q$247)</f>
        <v>3.3945948765926916E-2</v>
      </c>
      <c r="BE7" s="8">
        <f t="shared" si="77"/>
        <v>2.6316163978627308E-2</v>
      </c>
      <c r="BF7" s="8">
        <f t="shared" ref="BF7" si="78">STDEV(S$3:S$247)</f>
        <v>3.6285529545969968E-2</v>
      </c>
      <c r="BG7" s="8">
        <f t="shared" ref="BG7:BH7" si="79">STDEV(T$3:T$247)</f>
        <v>2.2404282637538898E-2</v>
      </c>
      <c r="BH7" s="8">
        <f t="shared" si="79"/>
        <v>1.4914707523285903E-2</v>
      </c>
      <c r="BI7" s="8">
        <f t="shared" ref="BI7" si="80">STDEV(V$3:V$247)</f>
        <v>1.6083428303413683E-2</v>
      </c>
      <c r="BJ7" s="8">
        <f t="shared" ref="BJ7:BK7" si="81">STDEV(W$3:W$247)</f>
        <v>1.7772013062109477E-2</v>
      </c>
      <c r="BK7" s="8">
        <f t="shared" si="81"/>
        <v>1.7834991509470779E-2</v>
      </c>
      <c r="BL7" s="8">
        <f t="shared" ref="BL7" si="82">STDEV(Y$3:Y$247)</f>
        <v>1.6067220847092445E-2</v>
      </c>
      <c r="BM7" s="8">
        <f t="shared" ref="BM7:BN7" si="83">STDEV(Z$3:Z$247)</f>
        <v>2.925165263612612E-2</v>
      </c>
      <c r="BN7" s="8">
        <f t="shared" si="83"/>
        <v>2.2342255876278316E-2</v>
      </c>
      <c r="BO7" s="8">
        <f t="shared" ref="BO7" si="84">STDEV(AB$3:AB$247)</f>
        <v>4.9967957743243682E-2</v>
      </c>
      <c r="BP7" s="8">
        <f t="shared" ref="BP7:BQ7" si="85">STDEV(AC$3:AC$247)</f>
        <v>4.2534168185193878E-2</v>
      </c>
      <c r="BQ7" s="8">
        <f t="shared" si="85"/>
        <v>3.2800767608899786E-2</v>
      </c>
      <c r="BR7" s="8">
        <f t="shared" ref="BR7" si="86">STDEV(AE$3:AE$247)</f>
        <v>1.6509582702654832E-2</v>
      </c>
      <c r="BS7" s="8">
        <f t="shared" ref="BS7:BT7" si="87">STDEV(AF$3:AF$247)</f>
        <v>3.4168274914639724E-2</v>
      </c>
      <c r="BT7" s="8">
        <f t="shared" si="87"/>
        <v>3.4572417056243261E-2</v>
      </c>
      <c r="BU7" s="8">
        <f t="shared" ref="BU7" si="88">STDEV(AH$3:AH$247)</f>
        <v>4.3180794351955036E-2</v>
      </c>
      <c r="BV7" s="8">
        <f t="shared" ref="BV7:BW7" si="89">STDEV(AI$3:AI$247)</f>
        <v>6.7977481454001967E-2</v>
      </c>
      <c r="BW7" s="8">
        <f t="shared" si="89"/>
        <v>2.9436619943028694E-2</v>
      </c>
      <c r="BX7" s="8">
        <f t="shared" ref="BX7" si="90">STDEV(AK$3:AK$247)</f>
        <v>2.8077071015149623E-2</v>
      </c>
      <c r="BY7" s="8">
        <f t="shared" ref="BY7" si="91">STDEV(AL$3:AL$247)</f>
        <v>2.6958566999704114E-2</v>
      </c>
    </row>
    <row r="8" spans="1:77">
      <c r="A8" s="3" t="str">
        <f>Cotacao!C8</f>
        <v>7/4/2019 16:56:00</v>
      </c>
      <c r="B8" s="6">
        <f>IFERROR(LN(Cotacao!D9/Cotacao!D8),B7)</f>
        <v>-2.6179505581771054E-2</v>
      </c>
      <c r="C8" s="6">
        <f>IFERROR(LN(Cotacao!F9/Cotacao!F8),C7)</f>
        <v>2.2707877424763191E-2</v>
      </c>
      <c r="D8" s="6">
        <f>IFERROR(LN(Cotacao!H9/Cotacao!H8),D7)</f>
        <v>4.7249497286527831E-3</v>
      </c>
      <c r="E8" s="6">
        <f>IFERROR(LN(Cotacao!J9/Cotacao!J8),E7)</f>
        <v>9.9732318787533417E-3</v>
      </c>
      <c r="F8" s="6">
        <f>IFERROR(LN(Cotacao!L9/Cotacao!L8),F7)</f>
        <v>-7.1611559228280646E-3</v>
      </c>
      <c r="G8" s="6">
        <f>IFERROR(LN(Cotacao!N9/Cotacao!N8),G7)</f>
        <v>9.0840897203425287E-3</v>
      </c>
      <c r="H8" s="6">
        <f>IFERROR(LN(Cotacao!P9/Cotacao!P8),H7)</f>
        <v>8.5268162291617985E-3</v>
      </c>
      <c r="I8" s="6">
        <f>IFERROR(LN(Cotacao!R9/Cotacao!R8),I7)</f>
        <v>3.9085402100088522E-4</v>
      </c>
      <c r="J8" s="6">
        <f>IFERROR(LN(Cotacao!T9/Cotacao!T8),J7)</f>
        <v>9.345862418237599E-3</v>
      </c>
      <c r="K8" s="6">
        <f>IFERROR(LN(Cotacao!V9/Cotacao!V8),K7)</f>
        <v>-1.8237587549781015E-2</v>
      </c>
      <c r="L8" s="6">
        <f>IFERROR(LN(Cotacao!X9/Cotacao!X8),L7)</f>
        <v>2.7030679986176091E-4</v>
      </c>
      <c r="M8" s="6">
        <f>IFERROR(LN(Profit!B8/Profit!B7),M7)</f>
        <v>3.3170536938486019E-2</v>
      </c>
      <c r="N8" s="6">
        <f>IFERROR(LN(Cotacao!AB9/Cotacao!AB8),N7)</f>
        <v>1.6890205849144711E-2</v>
      </c>
      <c r="O8" s="6">
        <f>IFERROR(LN(Cotacao!AD9/Cotacao!AD8),O7)</f>
        <v>-4.7881255403653481E-4</v>
      </c>
      <c r="P8" s="6">
        <f>IFERROR(LN(Cotacao!AF9/Cotacao!AF8),P7)</f>
        <v>-2.8485970852067723E-4</v>
      </c>
      <c r="Q8" s="6">
        <f>IFERROR(LN(Cotacao!AH9/Cotacao!AH8),Q7)</f>
        <v>-2.5680133122946883E-2</v>
      </c>
      <c r="R8" s="6">
        <f>IFERROR(LN(Cotacao!AJ9/Cotacao!AJ8),R7)</f>
        <v>-8.6679374820513647E-3</v>
      </c>
      <c r="S8" s="6">
        <f>IFERROR(LN(Cotacao!AL9/Cotacao!AL8),S7)</f>
        <v>-8.9286307443013184E-3</v>
      </c>
      <c r="T8" s="6">
        <f>IFERROR(LN(Cotacao!AN9/Cotacao!AN8),T7)</f>
        <v>6.6312999777540596E-4</v>
      </c>
      <c r="U8" s="6">
        <f>IFERROR(LN(Cotacao!AP9/Cotacao!AP8),U7)</f>
        <v>2.786105056907821E-3</v>
      </c>
      <c r="V8" s="6">
        <f>IFERROR(LN(Cotacao!AR9/Cotacao!AR8),V7)</f>
        <v>1.3853035389293729E-2</v>
      </c>
      <c r="W8" s="6">
        <f>IFERROR(LN(Cotacao!AT9/Cotacao!AT8),W7)</f>
        <v>6.9021946289550985E-4</v>
      </c>
      <c r="X8" s="6">
        <f>IFERROR(LN(Cotacao!AV9/Cotacao!AV8),X7)</f>
        <v>-6.9132391277382276E-4</v>
      </c>
      <c r="Y8" s="6">
        <f>IFERROR(LN(Cotacao!AX9/Cotacao!AX8),Y7)</f>
        <v>2.4968801985871458E-3</v>
      </c>
      <c r="Z8" s="6">
        <f>IFERROR(LN(Cotacao!AZ9/Cotacao!AZ8),Z7)</f>
        <v>2.7586224390796607E-3</v>
      </c>
      <c r="AA8" s="6">
        <f>IFERROR(LN(Cotacao!BB9/Cotacao!BB8),AA7)</f>
        <v>0</v>
      </c>
      <c r="AB8" s="6">
        <f>IFERROR(LN(Cotacao!BD9/Cotacao!BD8),AB7)</f>
        <v>3.6656517013281577E-2</v>
      </c>
      <c r="AC8" s="6">
        <f>IFERROR(LN(Cotacao!BF9/Cotacao!BF8),AC7)</f>
        <v>2.07210176375177E-2</v>
      </c>
      <c r="AD8" s="6">
        <f>IFERROR(LN(Cotacao!BH9/Cotacao!BH8),AD7)</f>
        <v>-9.5911891226900369E-3</v>
      </c>
      <c r="AE8" s="6">
        <f>IFERROR(LN(Cotacao!BJ9/Cotacao!BJ8),AE7)</f>
        <v>-6.5361613147858983E-5</v>
      </c>
      <c r="AF8" s="6">
        <f>IFERROR(LN(Cotacao!BL9/Cotacao!BL8),AF7)</f>
        <v>8.9686699827603161E-3</v>
      </c>
      <c r="AG8" s="6">
        <f>IFERROR(LN(Cotacao!BN9/Cotacao!BN8),AG7)</f>
        <v>1.6471547843433607E-2</v>
      </c>
      <c r="AH8" s="6">
        <f>IFERROR(LN(Cotacao!BP9/Cotacao!BP8),AH7)</f>
        <v>3.6503011903761312E-4</v>
      </c>
      <c r="AI8" s="6">
        <f>IFERROR(LN(Cotacao!BR9/Cotacao!BR8),AI7)</f>
        <v>2.1572485254127763E-2</v>
      </c>
      <c r="AJ8" s="6">
        <f>IFERROR(LN(Profit!C8/Profit!C7),AJ7)</f>
        <v>2.3267685319325215E-2</v>
      </c>
      <c r="AK8" s="6">
        <f>IFERROR(LN(Cotacao!BV9/Cotacao!BV8),AK7)</f>
        <v>4.3644175995154726E-3</v>
      </c>
      <c r="AL8" s="6">
        <f>IFERROR(LN(Cotacao!BX9/Cotacao!BX8),AL7)</f>
        <v>1.8433701688837966E-2</v>
      </c>
      <c r="AN8" s="7" t="s">
        <v>214</v>
      </c>
      <c r="AO8" s="9">
        <f ca="1">VAR(B$3:INDIRECT("B"&amp;$AT$17))</f>
        <v>9.5408337506561777E-4</v>
      </c>
      <c r="AP8" s="9">
        <f>VAR(C$3:C$247)</f>
        <v>6.7248965360546735E-4</v>
      </c>
      <c r="AQ8" s="9">
        <f t="shared" ref="AQ8:AS8" si="92">VAR(D$3:D$247)</f>
        <v>4.7567219071432775E-4</v>
      </c>
      <c r="AR8" s="9">
        <f t="shared" si="92"/>
        <v>2.087387180671516E-3</v>
      </c>
      <c r="AS8" s="9">
        <f t="shared" si="92"/>
        <v>6.0610554994597419E-4</v>
      </c>
      <c r="AT8" s="9">
        <f t="shared" ref="AT8" si="93">VAR(G$3:G$247)</f>
        <v>6.9714425928879033E-4</v>
      </c>
      <c r="AU8" s="9">
        <f t="shared" ref="AU8:AV8" si="94">VAR(H$3:H$247)</f>
        <v>6.6572001737286927E-4</v>
      </c>
      <c r="AV8" s="9">
        <f t="shared" si="94"/>
        <v>8.2775456943685616E-4</v>
      </c>
      <c r="AW8" s="9">
        <f t="shared" ref="AW8" si="95">VAR(J$3:J$247)</f>
        <v>1.8442236964394448E-3</v>
      </c>
      <c r="AX8" s="9">
        <f t="shared" ref="AX8:AY8" si="96">VAR(K$3:K$247)</f>
        <v>1.106082911011089E-3</v>
      </c>
      <c r="AY8" s="9">
        <f t="shared" si="96"/>
        <v>7.0818843860484299E-4</v>
      </c>
      <c r="AZ8" s="9">
        <f t="shared" ref="AZ8" si="97">VAR(M$3:M$247)</f>
        <v>2.4582767832319232E-4</v>
      </c>
      <c r="BA8" s="9">
        <f t="shared" ref="BA8:BB8" si="98">VAR(N$3:N$247)</f>
        <v>3.696730817286629E-4</v>
      </c>
      <c r="BB8" s="9">
        <f t="shared" si="98"/>
        <v>1.0619577732796305E-3</v>
      </c>
      <c r="BC8" s="9">
        <f t="shared" ref="BC8" si="99">VAR(P$3:P$247)</f>
        <v>1.8135190116343148E-3</v>
      </c>
      <c r="BD8" s="9">
        <f t="shared" ref="BD8:BE8" si="100">VAR(Q$3:Q$247)</f>
        <v>1.1523274376189349E-3</v>
      </c>
      <c r="BE8" s="9">
        <f t="shared" si="100"/>
        <v>6.9254048655000141E-4</v>
      </c>
      <c r="BF8" s="9">
        <f t="shared" ref="BF8" si="101">VAR(S$3:S$247)</f>
        <v>1.3166396544314596E-3</v>
      </c>
      <c r="BG8" s="9">
        <f t="shared" ref="BG8:BH8" si="102">VAR(T$3:T$247)</f>
        <v>5.0195188050272687E-4</v>
      </c>
      <c r="BH8" s="9">
        <f t="shared" si="102"/>
        <v>2.2244850050516112E-4</v>
      </c>
      <c r="BI8" s="9">
        <f t="shared" ref="BI8" si="103">VAR(V$3:V$247)</f>
        <v>2.5867666599104834E-4</v>
      </c>
      <c r="BJ8" s="9">
        <f t="shared" ref="BJ8:BK8" si="104">VAR(W$3:W$247)</f>
        <v>3.1584444827978983E-4</v>
      </c>
      <c r="BK8" s="9">
        <f t="shared" si="104"/>
        <v>3.1808692214289479E-4</v>
      </c>
      <c r="BL8" s="9">
        <f t="shared" ref="BL8" si="105">VAR(Y$3:Y$247)</f>
        <v>2.5815558574924206E-4</v>
      </c>
      <c r="BM8" s="9">
        <f t="shared" ref="BM8:BN8" si="106">VAR(Z$3:Z$247)</f>
        <v>8.5565918194458422E-4</v>
      </c>
      <c r="BN8" s="9">
        <f t="shared" si="106"/>
        <v>4.9917639764109295E-4</v>
      </c>
      <c r="BO8" s="9">
        <f t="shared" ref="BO8" si="107">VAR(AB$3:AB$247)</f>
        <v>2.496796801030586E-3</v>
      </c>
      <c r="BP8" s="9">
        <f t="shared" ref="BP8:BQ8" si="108">VAR(AC$3:AC$247)</f>
        <v>1.8091554632063593E-3</v>
      </c>
      <c r="BQ8" s="9">
        <f t="shared" si="108"/>
        <v>1.0758903557330495E-3</v>
      </c>
      <c r="BR8" s="9">
        <f t="shared" ref="BR8" si="109">VAR(AE$3:AE$247)</f>
        <v>2.7256632101579963E-4</v>
      </c>
      <c r="BS8" s="9">
        <f t="shared" ref="BS8:BT8" si="110">VAR(AF$3:AF$247)</f>
        <v>1.1674710106423982E-3</v>
      </c>
      <c r="BT8" s="9">
        <f t="shared" si="110"/>
        <v>1.1952520211108199E-3</v>
      </c>
      <c r="BU8" s="9">
        <f t="shared" ref="BU8" si="111">VAR(AH$3:AH$247)</f>
        <v>1.8645810008658318E-3</v>
      </c>
      <c r="BV8" s="9">
        <f t="shared" ref="BV8:BW8" si="112">VAR(AI$3:AI$247)</f>
        <v>4.6209379848291812E-3</v>
      </c>
      <c r="BW8" s="9">
        <f t="shared" si="112"/>
        <v>8.665145936703146E-4</v>
      </c>
      <c r="BX8" s="9">
        <f t="shared" ref="BX8" si="113">VAR(AK$3:AK$247)</f>
        <v>7.8832191678975515E-4</v>
      </c>
      <c r="BY8" s="9">
        <f t="shared" ref="BY8" si="114">VAR(AL$3:AL$247)</f>
        <v>7.2676433467753565E-4</v>
      </c>
    </row>
    <row r="9" spans="1:77">
      <c r="A9" s="3" t="str">
        <f>Cotacao!C9</f>
        <v>7/5/2019 16:56:00</v>
      </c>
      <c r="B9" s="6">
        <f>IFERROR(LN(Cotacao!D10/Cotacao!D9),B8)</f>
        <v>0</v>
      </c>
      <c r="C9" s="6">
        <f>IFERROR(LN(Cotacao!F10/Cotacao!F9),C8)</f>
        <v>-1.0095097609065027E-2</v>
      </c>
      <c r="D9" s="6">
        <f>IFERROR(LN(Cotacao!H10/Cotacao!H9),D8)</f>
        <v>1.382099574969459E-2</v>
      </c>
      <c r="E9" s="6">
        <f>IFERROR(LN(Cotacao!J10/Cotacao!J9),E8)</f>
        <v>6.6445099408152755E-2</v>
      </c>
      <c r="F9" s="6">
        <f>IFERROR(LN(Cotacao!L10/Cotacao!L9),F8)</f>
        <v>8.6890401008811492E-3</v>
      </c>
      <c r="G9" s="6">
        <f>IFERROR(LN(Cotacao!N10/Cotacao!N9),G8)</f>
        <v>7.5329570417155946E-4</v>
      </c>
      <c r="H9" s="6">
        <f>IFERROR(LN(Cotacao!P10/Cotacao!P9),H8)</f>
        <v>1.8850146957712041E-3</v>
      </c>
      <c r="I9" s="6">
        <f>IFERROR(LN(Cotacao!R10/Cotacao!R9),I8)</f>
        <v>-2.739191695108376E-3</v>
      </c>
      <c r="J9" s="6">
        <f>IFERROR(LN(Cotacao!T10/Cotacao!T9),J8)</f>
        <v>1.4366588812578792E-2</v>
      </c>
      <c r="K9" s="6">
        <f>IFERROR(LN(Cotacao!V10/Cotacao!V9),K8)</f>
        <v>5.1804411188864183E-2</v>
      </c>
      <c r="L9" s="6">
        <f>IFERROR(LN(Cotacao!X10/Cotacao!X9),L8)</f>
        <v>0</v>
      </c>
      <c r="M9" s="6">
        <f>IFERROR(LN(Profit!B9/Profit!B8),M8)</f>
        <v>-3.2679767646159995E-3</v>
      </c>
      <c r="N9" s="6">
        <f>IFERROR(LN(Cotacao!AB10/Cotacao!AB9),N8)</f>
        <v>2.5807883955872721E-2</v>
      </c>
      <c r="O9" s="6">
        <f>IFERROR(LN(Cotacao!AD10/Cotacao!AD9),O8)</f>
        <v>-1.9831363341239808E-2</v>
      </c>
      <c r="P9" s="6">
        <f>IFERROR(LN(Cotacao!AF10/Cotacao!AF9),P8)</f>
        <v>2.5317807984289786E-2</v>
      </c>
      <c r="Q9" s="6">
        <f>IFERROR(LN(Cotacao!AH10/Cotacao!AH9),Q8)</f>
        <v>1.1647550492587536E-2</v>
      </c>
      <c r="R9" s="6">
        <f>IFERROR(LN(Cotacao!AJ10/Cotacao!AJ9),R8)</f>
        <v>1.5458366471350892E-2</v>
      </c>
      <c r="S9" s="6">
        <f>IFERROR(LN(Cotacao!AL10/Cotacao!AL9),S8)</f>
        <v>9.5446058600647712E-2</v>
      </c>
      <c r="T9" s="6">
        <f>IFERROR(LN(Cotacao!AN10/Cotacao!AN9),T8)</f>
        <v>-5.8729184260532122E-3</v>
      </c>
      <c r="U9" s="6">
        <f>IFERROR(LN(Cotacao!AP10/Cotacao!AP9),U8)</f>
        <v>2.4420036555518089E-3</v>
      </c>
      <c r="V9" s="6">
        <f>IFERROR(LN(Cotacao!AR10/Cotacao!AR9),V8)</f>
        <v>-1.721170820773027E-3</v>
      </c>
      <c r="W9" s="6">
        <f>IFERROR(LN(Cotacao!AT10/Cotacao!AT9),W8)</f>
        <v>2.6324158311770338E-3</v>
      </c>
      <c r="X9" s="6">
        <f>IFERROR(LN(Cotacao!AV10/Cotacao!AV9),X8)</f>
        <v>-1.1896206243785668E-2</v>
      </c>
      <c r="Y9" s="6">
        <f>IFERROR(LN(Cotacao!AX10/Cotacao!AX9),Y8)</f>
        <v>0</v>
      </c>
      <c r="Z9" s="6">
        <f>IFERROR(LN(Cotacao!AZ10/Cotacao!AZ9),Z8)</f>
        <v>2.7510333718900187E-3</v>
      </c>
      <c r="AA9" s="6">
        <f>IFERROR(LN(Cotacao!BB10/Cotacao!BB9),AA8)</f>
        <v>-6.4877844787426244E-3</v>
      </c>
      <c r="AB9" s="6">
        <f>IFERROR(LN(Cotacao!BD10/Cotacao!BD9),AB8)</f>
        <v>3.5360195395884496E-2</v>
      </c>
      <c r="AC9" s="6">
        <f>IFERROR(LN(Cotacao!BF10/Cotacao!BF9),AC8)</f>
        <v>3.2663806818791594E-2</v>
      </c>
      <c r="AD9" s="6">
        <f>IFERROR(LN(Cotacao!BH10/Cotacao!BH9),AD8)</f>
        <v>-1.8428983299979093E-2</v>
      </c>
      <c r="AE9" s="6">
        <f>IFERROR(LN(Cotacao!BJ10/Cotacao!BJ9),AE8)</f>
        <v>-1.8973475547010108E-3</v>
      </c>
      <c r="AF9" s="6">
        <f>IFERROR(LN(Cotacao!BL10/Cotacao!BL9),AF8)</f>
        <v>5.7867955831590445E-3</v>
      </c>
      <c r="AG9" s="6">
        <f>IFERROR(LN(Cotacao!BN10/Cotacao!BN9),AG8)</f>
        <v>-2.4783160144670898E-3</v>
      </c>
      <c r="AH9" s="6">
        <f>IFERROR(LN(Cotacao!BP10/Cotacao!BP9),AH8)</f>
        <v>9.0827145743192263E-3</v>
      </c>
      <c r="AI9" s="6">
        <f>IFERROR(LN(Cotacao!BR10/Cotacao!BR9),AI8)</f>
        <v>9.3090423066012035E-2</v>
      </c>
      <c r="AJ9" s="6">
        <f>IFERROR(LN(Profit!C9/Profit!C8),AJ8)</f>
        <v>-1.2031612052399372E-2</v>
      </c>
      <c r="AK9" s="6">
        <f>IFERROR(LN(Cotacao!BV10/Cotacao!BV9),AK8)</f>
        <v>4.2253984344627071E-3</v>
      </c>
      <c r="AL9" s="6">
        <f>IFERROR(LN(Cotacao!BX10/Cotacao!BX9),AL8)</f>
        <v>1.0531859846586405E-3</v>
      </c>
      <c r="AN9" s="11" t="s">
        <v>216</v>
      </c>
      <c r="AO9" s="12">
        <f ca="1">VAR(AK$3:INDIRECT("AK"&amp;AT17))</f>
        <v>7.8832191678975515E-4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</row>
    <row r="10" spans="1:77">
      <c r="A10" s="3" t="str">
        <f>Cotacao!C10</f>
        <v>7/8/2019 16:56:00</v>
      </c>
      <c r="B10" s="6">
        <f>IFERROR(LN(Cotacao!D11/Cotacao!D10),B9)</f>
        <v>1.839736513971588E-2</v>
      </c>
      <c r="C10" s="6">
        <f>IFERROR(LN(Cotacao!F11/Cotacao!F10),C9)</f>
        <v>6.8401753686033072E-3</v>
      </c>
      <c r="D10" s="6">
        <f>IFERROR(LN(Cotacao!H11/Cotacao!H10),D9)</f>
        <v>2.1680472533331312E-2</v>
      </c>
      <c r="E10" s="6">
        <f>IFERROR(LN(Cotacao!J11/Cotacao!J10),E9)</f>
        <v>-7.168489478612516E-3</v>
      </c>
      <c r="F10" s="6">
        <f>IFERROR(LN(Cotacao!L11/Cotacao!L10),F9)</f>
        <v>1.5652932568047867E-2</v>
      </c>
      <c r="G10" s="6">
        <f>IFERROR(LN(Cotacao!N11/Cotacao!N10),G9)</f>
        <v>4.5078964391899222E-3</v>
      </c>
      <c r="H10" s="6">
        <f>IFERROR(LN(Cotacao!P11/Cotacao!P10),H9)</f>
        <v>-9.1440019120021653E-3</v>
      </c>
      <c r="I10" s="6">
        <f>IFERROR(LN(Cotacao!R11/Cotacao!R10),I9)</f>
        <v>-7.0782835835961474E-3</v>
      </c>
      <c r="J10" s="6">
        <f>IFERROR(LN(Cotacao!T11/Cotacao!T10),J9)</f>
        <v>2.3163170538473467E-2</v>
      </c>
      <c r="K10" s="6">
        <f>IFERROR(LN(Cotacao!V11/Cotacao!V10),K9)</f>
        <v>3.8759738446929397E-3</v>
      </c>
      <c r="L10" s="6">
        <f>IFERROR(LN(Cotacao!X11/Cotacao!X10),L9)</f>
        <v>-2.2547923870890937E-3</v>
      </c>
      <c r="M10" s="6">
        <f>IFERROR(LN(Profit!B10/Profit!B9),M9)</f>
        <v>4.0833049793707809E-3</v>
      </c>
      <c r="N10" s="6">
        <f>IFERROR(LN(Cotacao!AB11/Cotacao!AB10),N9)</f>
        <v>1.7364287909336071E-2</v>
      </c>
      <c r="O10" s="6">
        <f>IFERROR(LN(Cotacao!AD11/Cotacao!AD10),O9)</f>
        <v>4.3870409137661695E-3</v>
      </c>
      <c r="P10" s="6">
        <f>IFERROR(LN(Cotacao!AF11/Cotacao!AF10),P9)</f>
        <v>-8.3682496705165792E-3</v>
      </c>
      <c r="Q10" s="6">
        <f>IFERROR(LN(Cotacao!AH11/Cotacao!AH10),Q9)</f>
        <v>2.2895839111280757E-2</v>
      </c>
      <c r="R10" s="6">
        <f>IFERROR(LN(Cotacao!AJ11/Cotacao!AJ10),R9)</f>
        <v>3.4803468309537219E-2</v>
      </c>
      <c r="S10" s="6">
        <f>IFERROR(LN(Cotacao!AL11/Cotacao!AL10),S9)</f>
        <v>-5.449604767564703E-3</v>
      </c>
      <c r="T10" s="6">
        <f>IFERROR(LN(Cotacao!AN11/Cotacao!AN10),T9)</f>
        <v>-3.3346301648415046E-4</v>
      </c>
      <c r="U10" s="6">
        <f>IFERROR(LN(Cotacao!AP11/Cotacao!AP10),U9)</f>
        <v>-3.2854584963788818E-3</v>
      </c>
      <c r="V10" s="6">
        <f>IFERROR(LN(Cotacao!AR11/Cotacao!AR10),V9)</f>
        <v>-8.6169759748111973E-4</v>
      </c>
      <c r="W10" s="6">
        <f>IFERROR(LN(Cotacao!AT11/Cotacao!AT10),W9)</f>
        <v>-1.5813039675853451E-2</v>
      </c>
      <c r="X10" s="6">
        <f>IFERROR(LN(Cotacao!AV11/Cotacao!AV10),X9)</f>
        <v>-2.5225996139389699E-3</v>
      </c>
      <c r="Y10" s="6">
        <f>IFERROR(LN(Cotacao!AX11/Cotacao!AX10),Y9)</f>
        <v>-2.8302690998248856E-3</v>
      </c>
      <c r="Z10" s="6">
        <f>IFERROR(LN(Cotacao!AZ11/Cotacao!AZ10),Z9)</f>
        <v>0</v>
      </c>
      <c r="AA10" s="6">
        <f>IFERROR(LN(Cotacao!BB11/Cotacao!BB10),AA9)</f>
        <v>-5.8024691351233632E-3</v>
      </c>
      <c r="AB10" s="6">
        <f>IFERROR(LN(Cotacao!BD11/Cotacao!BD10),AB9)</f>
        <v>-4.0615083391798441E-3</v>
      </c>
      <c r="AC10" s="6">
        <f>IFERROR(LN(Cotacao!BF11/Cotacao!BF10),AC9)</f>
        <v>6.0513418035391627E-2</v>
      </c>
      <c r="AD10" s="6">
        <f>IFERROR(LN(Cotacao!BH11/Cotacao!BH10),AD9)</f>
        <v>2.9275350195091938E-2</v>
      </c>
      <c r="AE10" s="6">
        <f>IFERROR(LN(Cotacao!BJ11/Cotacao!BJ10),AE9)</f>
        <v>-1.5073568407709648E-3</v>
      </c>
      <c r="AF10" s="6">
        <f>IFERROR(LN(Cotacao!BL11/Cotacao!BL10),AF9)</f>
        <v>5.0205263726541112E-2</v>
      </c>
      <c r="AG10" s="6">
        <f>IFERROR(LN(Cotacao!BN11/Cotacao!BN10),AG9)</f>
        <v>4.3696271735698629E-2</v>
      </c>
      <c r="AH10" s="6">
        <f>IFERROR(LN(Cotacao!BP11/Cotacao!BP10),AH9)</f>
        <v>1.5075662405447396E-2</v>
      </c>
      <c r="AI10" s="6">
        <f>IFERROR(LN(Cotacao!BR11/Cotacao!BR10),AI9)</f>
        <v>9.4001245119152681E-3</v>
      </c>
      <c r="AJ10" s="6">
        <f>IFERROR(LN(Profit!C10/Profit!C9),AJ9)</f>
        <v>1.0189990905749945E-2</v>
      </c>
      <c r="AK10" s="6">
        <f>IFERROR(LN(Cotacao!BV11/Cotacao!BV10),AK9)</f>
        <v>1.223553786089648E-2</v>
      </c>
      <c r="AL10" s="6">
        <f>IFERROR(LN(Cotacao!BX11/Cotacao!BX10),AL9)</f>
        <v>3.5081564997587248E-4</v>
      </c>
      <c r="AN10" s="7" t="s">
        <v>254</v>
      </c>
      <c r="AO10" s="9">
        <f ca="1">COVAR(B$3:INDIRECT("B"&amp;$AT$17),AK$3:INDIRECT("AK"&amp;AT17))</f>
        <v>6.8887473035235186E-4</v>
      </c>
      <c r="AP10" s="9">
        <f>COVAR(C$3:C$247,$AK$3:$AK$247)</f>
        <v>4.7732870512656571E-4</v>
      </c>
      <c r="AQ10" s="9">
        <f t="shared" ref="AQ10:AS10" si="115">COVAR(D$3:D$247,$AK$3:$AK$247)</f>
        <v>4.4125631844263799E-4</v>
      </c>
      <c r="AR10" s="9">
        <f t="shared" si="115"/>
        <v>7.5214717818651718E-4</v>
      </c>
      <c r="AS10" s="9">
        <f t="shared" si="115"/>
        <v>5.3369797992797391E-4</v>
      </c>
      <c r="AT10" s="9">
        <f t="shared" ref="AT10" si="116">COVAR(G$3:G$247,$AK$3:$AK$247)</f>
        <v>6.2620300135871455E-4</v>
      </c>
      <c r="AU10" s="9">
        <f t="shared" ref="AU10:AV10" si="117">COVAR(H$3:H$247,$AK$3:$AK$247)</f>
        <v>5.9124674009463274E-4</v>
      </c>
      <c r="AV10" s="9">
        <f t="shared" si="117"/>
        <v>5.7479429378014452E-4</v>
      </c>
      <c r="AW10" s="9">
        <f t="shared" ref="AW10" si="118">COVAR(J$3:J$247,$AK$3:$AK$247)</f>
        <v>8.9561599261926467E-4</v>
      </c>
      <c r="AX10" s="9">
        <f t="shared" ref="AX10:AY10" si="119">COVAR(K$3:K$247,$AK$3:$AK$247)</f>
        <v>6.5432583271238058E-4</v>
      </c>
      <c r="AY10" s="9">
        <f t="shared" si="119"/>
        <v>3.154557310793942E-4</v>
      </c>
      <c r="AZ10" s="9">
        <f t="shared" ref="AZ10" si="120">COVAR(M$3:M$247,$AK$3:$AK$247)</f>
        <v>1.9680485522321716E-5</v>
      </c>
      <c r="BA10" s="9">
        <f t="shared" ref="BA10:BB10" si="121">COVAR(N$3:N$247,$AK$3:$AK$247)</f>
        <v>-3.6305129597975816E-5</v>
      </c>
      <c r="BB10" s="9">
        <f t="shared" si="121"/>
        <v>5.5275221028529091E-4</v>
      </c>
      <c r="BC10" s="9">
        <f t="shared" ref="BC10" si="122">COVAR(P$3:P$247,$AK$3:$AK$247)</f>
        <v>8.4114784399273127E-4</v>
      </c>
      <c r="BD10" s="9">
        <f t="shared" ref="BD10:BE10" si="123">COVAR(Q$3:Q$247,$AK$3:$AK$247)</f>
        <v>7.4788725206360353E-4</v>
      </c>
      <c r="BE10" s="9">
        <f t="shared" si="123"/>
        <v>4.0920775345126804E-4</v>
      </c>
      <c r="BF10" s="9">
        <f t="shared" ref="BF10" si="124">COVAR(S$3:S$247,$AK$3:$AK$247)</f>
        <v>7.4935871175162952E-4</v>
      </c>
      <c r="BG10" s="9">
        <f t="shared" ref="BG10:BH10" si="125">COVAR(T$3:T$247,$AK$3:$AK$247)</f>
        <v>3.3495487082782288E-4</v>
      </c>
      <c r="BH10" s="9">
        <f t="shared" si="125"/>
        <v>2.0380184342231483E-4</v>
      </c>
      <c r="BI10" s="9">
        <f t="shared" ref="BI10" si="126">COVAR(V$3:V$247,$AK$3:$AK$247)</f>
        <v>2.3352983351366023E-4</v>
      </c>
      <c r="BJ10" s="9">
        <f t="shared" ref="BJ10:BK10" si="127">COVAR(W$3:W$247,$AK$3:$AK$247)</f>
        <v>2.5707429677202063E-4</v>
      </c>
      <c r="BK10" s="9">
        <f t="shared" si="127"/>
        <v>2.5477566865504995E-4</v>
      </c>
      <c r="BL10" s="9">
        <f t="shared" ref="BL10" si="128">COVAR(Y$3:Y$247,$AK$3:$AK$247)</f>
        <v>2.1149662758312916E-4</v>
      </c>
      <c r="BM10" s="9">
        <f t="shared" ref="BM10:BN10" si="129">COVAR(Z$3:Z$247,$AK$3:$AK$247)</f>
        <v>4.2535345962863881E-4</v>
      </c>
      <c r="BN10" s="9">
        <f t="shared" si="129"/>
        <v>3.3883839123637863E-4</v>
      </c>
      <c r="BO10" s="9">
        <f t="shared" ref="BO10" si="130">COVAR(AB$3:AB$247,$AK$3:$AK$247)</f>
        <v>1.0903146281287567E-3</v>
      </c>
      <c r="BP10" s="9">
        <f t="shared" ref="BP10:BQ10" si="131">COVAR(AC$3:AC$247,$AK$3:$AK$247)</f>
        <v>7.4250458817117816E-4</v>
      </c>
      <c r="BQ10" s="9">
        <f t="shared" si="131"/>
        <v>6.0871592326096693E-4</v>
      </c>
      <c r="BR10" s="9">
        <f t="shared" ref="BR10" si="132">COVAR(AE$3:AE$247,$AK$3:$AK$247)</f>
        <v>2.5804938464662938E-4</v>
      </c>
      <c r="BS10" s="9">
        <f t="shared" ref="BS10:BT10" si="133">COVAR(AF$3:AF$247,$AK$3:$AK$247)</f>
        <v>6.4117654610762562E-4</v>
      </c>
      <c r="BT10" s="9">
        <f t="shared" si="133"/>
        <v>8.1532965709192682E-4</v>
      </c>
      <c r="BU10" s="9">
        <f t="shared" ref="BU10" si="134">COVAR(AH$3:AH$247,$AK$3:$AK$247)</f>
        <v>1.050188541923865E-3</v>
      </c>
      <c r="BV10" s="9">
        <f t="shared" ref="BV10:BW10" si="135">COVAR(AI$3:AI$247,$AK$3:$AK$247)</f>
        <v>1.4415311441332253E-3</v>
      </c>
      <c r="BW10" s="9">
        <f t="shared" si="135"/>
        <v>9.6511347653705113E-7</v>
      </c>
      <c r="BX10" s="9">
        <f t="shared" ref="BX10" si="136">COVAR(AK$3:AK$247,$AK$3:$AK$247)</f>
        <v>7.8510427631306239E-4</v>
      </c>
      <c r="BY10" s="9">
        <f t="shared" ref="BY10" si="137">COVAR(AL$3:AL$247,$AK$3:$AK$247)</f>
        <v>5.8807905589340669E-4</v>
      </c>
    </row>
    <row r="11" spans="1:77">
      <c r="A11" s="3" t="str">
        <f>Cotacao!C11</f>
        <v>7/10/2019 16:56:00</v>
      </c>
      <c r="B11" s="6">
        <f>IFERROR(LN(Cotacao!D12/Cotacao!D11),B10)</f>
        <v>-2.7992321480104488E-2</v>
      </c>
      <c r="C11" s="6">
        <f>IFERROR(LN(Cotacao!F12/Cotacao!F11),C10)</f>
        <v>-1.7038224158861241E-2</v>
      </c>
      <c r="D11" s="6">
        <f>IFERROR(LN(Cotacao!H12/Cotacao!H11),D10)</f>
        <v>-2.8202643706939736E-3</v>
      </c>
      <c r="E11" s="6">
        <f>IFERROR(LN(Cotacao!J12/Cotacao!J11),E10)</f>
        <v>-1.0850016024065818E-2</v>
      </c>
      <c r="F11" s="6">
        <f>IFERROR(LN(Cotacao!L12/Cotacao!L11),F10)</f>
        <v>-3.0105391528712634E-3</v>
      </c>
      <c r="G11" s="6">
        <f>IFERROR(LN(Cotacao!N12/Cotacao!N11),G10)</f>
        <v>-1.0550210895152486E-2</v>
      </c>
      <c r="H11" s="6">
        <f>IFERROR(LN(Cotacao!P12/Cotacao!P11),H10)</f>
        <v>-6.3371358267811598E-4</v>
      </c>
      <c r="I11" s="6">
        <f>IFERROR(LN(Cotacao!R12/Cotacao!R11),I10)</f>
        <v>4.7244182362674242E-3</v>
      </c>
      <c r="J11" s="6">
        <f>IFERROR(LN(Cotacao!T12/Cotacao!T11),J10)</f>
        <v>-5.4904056064355566E-3</v>
      </c>
      <c r="K11" s="6">
        <f>IFERROR(LN(Cotacao!V12/Cotacao!V11),K10)</f>
        <v>9.6247133742094725E-3</v>
      </c>
      <c r="L11" s="6">
        <f>IFERROR(LN(Cotacao!X12/Cotacao!X11),L10)</f>
        <v>-8.8881412260199185E-3</v>
      </c>
      <c r="M11" s="6">
        <f>IFERROR(LN(Profit!B11/Profit!B10),M10)</f>
        <v>4.0666993825536129E-3</v>
      </c>
      <c r="N11" s="6">
        <f>IFERROR(LN(Cotacao!AB12/Cotacao!AB11),N10)</f>
        <v>2.7349108666456703E-3</v>
      </c>
      <c r="O11" s="6">
        <f>IFERROR(LN(Cotacao!AD12/Cotacao!AD11),O10)</f>
        <v>-5.8536752514605408E-3</v>
      </c>
      <c r="P11" s="6">
        <f>IFERROR(LN(Cotacao!AF12/Cotacao!AF11),P10)</f>
        <v>-1.6820861829849375E-3</v>
      </c>
      <c r="Q11" s="6">
        <f>IFERROR(LN(Cotacao!AH12/Cotacao!AH11),Q10)</f>
        <v>-1.5358037190368158E-3</v>
      </c>
      <c r="R11" s="6">
        <f>IFERROR(LN(Cotacao!AJ12/Cotacao!AJ11),R10)</f>
        <v>-1.8470182062401027E-2</v>
      </c>
      <c r="S11" s="6">
        <f>IFERROR(LN(Cotacao!AL12/Cotacao!AL11),S10)</f>
        <v>-2.7359798188748602E-3</v>
      </c>
      <c r="T11" s="6">
        <f>IFERROR(LN(Cotacao!AN12/Cotacao!AN11),T10)</f>
        <v>4.9903070015886852E-3</v>
      </c>
      <c r="U11" s="6">
        <f>IFERROR(LN(Cotacao!AP12/Cotacao!AP11),U10)</f>
        <v>4.126147911171987E-3</v>
      </c>
      <c r="V11" s="6">
        <f>IFERROR(LN(Cotacao!AR12/Cotacao!AR11),V10)</f>
        <v>-7.7888753785276734E-3</v>
      </c>
      <c r="W11" s="6">
        <f>IFERROR(LN(Cotacao!AT12/Cotacao!AT11),W10)</f>
        <v>1.5698590351200523E-3</v>
      </c>
      <c r="X11" s="6">
        <f>IFERROR(LN(Cotacao!AV12/Cotacao!AV11),X10)</f>
        <v>6.7128424933755532E-3</v>
      </c>
      <c r="Y11" s="6">
        <f>IFERROR(LN(Cotacao!AX12/Cotacao!AX11),Y10)</f>
        <v>-1.0474809815365735E-2</v>
      </c>
      <c r="Z11" s="6">
        <f>IFERROR(LN(Cotacao!AZ12/Cotacao!AZ11),Z10)</f>
        <v>2.7434859457508339E-3</v>
      </c>
      <c r="AA11" s="6">
        <f>IFERROR(LN(Cotacao!BB12/Cotacao!BB11),AA10)</f>
        <v>1.0575017508974889E-3</v>
      </c>
      <c r="AB11" s="6">
        <f>IFERROR(LN(Cotacao!BD12/Cotacao!BD11),AB10)</f>
        <v>4.6403795565023009E-3</v>
      </c>
      <c r="AC11" s="6">
        <f>IFERROR(LN(Cotacao!BF12/Cotacao!BF11),AC10)</f>
        <v>-1.7809443709946974E-3</v>
      </c>
      <c r="AD11" s="6">
        <f>IFERROR(LN(Cotacao!BH12/Cotacao!BH11),AD10)</f>
        <v>3.2822193663340729E-2</v>
      </c>
      <c r="AE11" s="6">
        <f>IFERROR(LN(Cotacao!BJ12/Cotacao!BJ11),AE10)</f>
        <v>-7.0425143804671853E-3</v>
      </c>
      <c r="AF11" s="6">
        <f>IFERROR(LN(Cotacao!BL12/Cotacao!BL11),AF10)</f>
        <v>-3.8063061391296581E-3</v>
      </c>
      <c r="AG11" s="6">
        <f>IFERROR(LN(Cotacao!BN12/Cotacao!BN11),AG10)</f>
        <v>-2.2580829722486973E-2</v>
      </c>
      <c r="AH11" s="6">
        <f>IFERROR(LN(Cotacao!BP12/Cotacao!BP11),AH10)</f>
        <v>1.1687754793369216E-2</v>
      </c>
      <c r="AI11" s="6">
        <f>IFERROR(LN(Cotacao!BR12/Cotacao!BR11),AI10)</f>
        <v>6.0356836179240791E-3</v>
      </c>
      <c r="AJ11" s="6">
        <f>IFERROR(LN(Profit!C11/Profit!C10),AJ10)</f>
        <v>-1.8450189735692395E-3</v>
      </c>
      <c r="AK11" s="6">
        <f>IFERROR(LN(Cotacao!BV12/Cotacao!BV11),AK10)</f>
        <v>-6.3577088823043157E-3</v>
      </c>
      <c r="AL11" s="6">
        <f>IFERROR(LN(Cotacao!BX12/Cotacao!BX11),AL10)</f>
        <v>9.4257985346411863E-3</v>
      </c>
      <c r="AN11" s="7" t="s">
        <v>253</v>
      </c>
      <c r="AO11" s="13">
        <f ca="1">AO10/$AO$9</f>
        <v>0.87384952223277368</v>
      </c>
      <c r="AP11" s="13">
        <f t="shared" ref="AP11:AQ11" ca="1" si="138">AP10/$AO$9</f>
        <v>0.60549972664767215</v>
      </c>
      <c r="AQ11" s="13">
        <f t="shared" ca="1" si="138"/>
        <v>0.55974127960255693</v>
      </c>
      <c r="AR11" s="13">
        <f t="shared" ref="AR11" ca="1" si="139">AR10/$AO$9</f>
        <v>0.95411171777317749</v>
      </c>
      <c r="AS11" s="13">
        <f t="shared" ref="AS11" ca="1" si="140">AS10/$AO$9</f>
        <v>0.67700512767845666</v>
      </c>
      <c r="AT11" s="13">
        <f ca="1">AT10/$AO$9</f>
        <v>0.79434934894207998</v>
      </c>
      <c r="AU11" s="13">
        <f t="shared" ref="AU11" ca="1" si="141">AU10/$AO$9</f>
        <v>0.75000672631599286</v>
      </c>
      <c r="AV11" s="13">
        <f t="shared" ref="AV11" ca="1" si="142">AV10/$AO$9</f>
        <v>0.7291365133178731</v>
      </c>
      <c r="AW11" s="13">
        <f t="shared" ref="AW11" ca="1" si="143">AW10/$AO$9</f>
        <v>1.1361043928176422</v>
      </c>
      <c r="AX11" s="13">
        <f t="shared" ref="AX11" ca="1" si="144">AX10/$AO$9</f>
        <v>0.83002364741673007</v>
      </c>
      <c r="AY11" s="13">
        <f t="shared" ref="AY11" ca="1" si="145">AY10/$AO$9</f>
        <v>0.40016105649327771</v>
      </c>
      <c r="AZ11" s="13">
        <f t="shared" ref="AZ11" ca="1" si="146">AZ10/$AO$9</f>
        <v>2.4965036621670492E-2</v>
      </c>
      <c r="BA11" s="13">
        <f ca="1">BA10/$AO$9</f>
        <v>-4.605368546116214E-2</v>
      </c>
      <c r="BB11" s="13">
        <f t="shared" ref="BB11" ca="1" si="147">BB10/$AO$9</f>
        <v>0.70117574878069699</v>
      </c>
      <c r="BC11" s="13">
        <f t="shared" ref="BC11" ca="1" si="148">BC10/$AO$9</f>
        <v>1.0670106032546913</v>
      </c>
      <c r="BD11" s="13">
        <f t="shared" ref="BD11" ca="1" si="149">BD10/$AO$9</f>
        <v>0.94870792773235113</v>
      </c>
      <c r="BE11" s="13">
        <f ca="1">BE10/$AO$9</f>
        <v>0.51908712004058544</v>
      </c>
      <c r="BF11" s="13">
        <f ca="1">BF10/$AO$9</f>
        <v>0.95057449982261866</v>
      </c>
      <c r="BG11" s="13">
        <f t="shared" ref="BG11" ca="1" si="150">BG10/$AO$9</f>
        <v>0.42489605286104848</v>
      </c>
      <c r="BH11" s="13">
        <f t="shared" ref="BH11" ca="1" si="151">BH10/$AO$9</f>
        <v>0.25852616688908908</v>
      </c>
      <c r="BI11" s="13">
        <f t="shared" ref="BI11" ca="1" si="152">BI10/$AO$9</f>
        <v>0.29623663701328051</v>
      </c>
      <c r="BJ11" s="13">
        <f t="shared" ref="BJ11" ca="1" si="153">BJ10/$AO$9</f>
        <v>0.3261031962918039</v>
      </c>
      <c r="BK11" s="13">
        <f t="shared" ref="BK11" ca="1" si="154">BK10/$AO$9</f>
        <v>0.32318734672830163</v>
      </c>
      <c r="BL11" s="13">
        <f t="shared" ref="BL11" ca="1" si="155">BL10/$AO$9</f>
        <v>0.26828713382014868</v>
      </c>
      <c r="BM11" s="13">
        <f t="shared" ref="BM11" ca="1" si="156">BM10/$AO$9</f>
        <v>0.53956822786404945</v>
      </c>
      <c r="BN11" s="13">
        <f t="shared" ref="BN11" ca="1" si="157">BN10/$AO$9</f>
        <v>0.42982236573633986</v>
      </c>
      <c r="BO11" s="13">
        <f t="shared" ref="BO11" ca="1" si="158">BO10/$AO$9</f>
        <v>1.3830829828616102</v>
      </c>
      <c r="BP11" s="13">
        <f t="shared" ref="BP11" ca="1" si="159">BP10/$AO$9</f>
        <v>0.94187992539246324</v>
      </c>
      <c r="BQ11" s="13">
        <f t="shared" ref="BQ11" ca="1" si="160">BQ10/$AO$9</f>
        <v>0.77216668761387619</v>
      </c>
      <c r="BR11" s="13">
        <f t="shared" ref="BR11" ca="1" si="161">BR10/$AO$9</f>
        <v>0.32734011214285563</v>
      </c>
      <c r="BS11" s="13">
        <f t="shared" ref="BS11" ca="1" si="162">BS10/$AO$9</f>
        <v>0.81334354969941414</v>
      </c>
      <c r="BT11" s="13">
        <f t="shared" ref="BT11" ca="1" si="163">BT10/$AO$9</f>
        <v>1.0342597861697844</v>
      </c>
      <c r="BU11" s="13">
        <f ca="1">BU10/$AO$9</f>
        <v>1.3321823477907306</v>
      </c>
      <c r="BV11" s="13">
        <f t="shared" ref="BV11" ca="1" si="164">BV10/$AO$9</f>
        <v>1.8286072141740042</v>
      </c>
      <c r="BW11" s="13">
        <f t="shared" ref="BW11" ca="1" si="165">BW10/$AO$9</f>
        <v>1.2242631544068135E-3</v>
      </c>
      <c r="BX11" s="13">
        <f t="shared" ref="BX11" ca="1" si="166">BX10/$AO$9</f>
        <v>0.99591836734693895</v>
      </c>
      <c r="BY11" s="13">
        <f t="shared" ref="BY11" ca="1" si="167">BY10/$AO$9</f>
        <v>0.74598846406327546</v>
      </c>
    </row>
    <row r="12" spans="1:77">
      <c r="A12" s="3" t="str">
        <f>Cotacao!C12</f>
        <v>7/11/2019 16:56:00</v>
      </c>
      <c r="B12" s="6">
        <f>IFERROR(LN(Cotacao!D13/Cotacao!D12),B11)</f>
        <v>-3.2188868994719299E-3</v>
      </c>
      <c r="C12" s="6">
        <f>IFERROR(LN(Cotacao!F13/Cotacao!F12),C11)</f>
        <v>7.5086702082865862E-3</v>
      </c>
      <c r="D12" s="6">
        <f>IFERROR(LN(Cotacao!H13/Cotacao!H12),D11)</f>
        <v>1.0158954764160602E-2</v>
      </c>
      <c r="E12" s="6">
        <f>IFERROR(LN(Cotacao!J13/Cotacao!J12),E11)</f>
        <v>1.9446057493863769E-2</v>
      </c>
      <c r="F12" s="6">
        <f>IFERROR(LN(Cotacao!L13/Cotacao!L12),F11)</f>
        <v>-1.3151428804126782E-2</v>
      </c>
      <c r="G12" s="6">
        <f>IFERROR(LN(Cotacao!N13/Cotacao!N12),G11)</f>
        <v>-1.5267472130788421E-2</v>
      </c>
      <c r="H12" s="6">
        <f>IFERROR(LN(Cotacao!P13/Cotacao!P12),H11)</f>
        <v>-5.4028416823356552E-3</v>
      </c>
      <c r="I12" s="6">
        <f>IFERROR(LN(Cotacao!R13/Cotacao!R12),I11)</f>
        <v>-9.4712625924870484E-3</v>
      </c>
      <c r="J12" s="6">
        <f>IFERROR(LN(Cotacao!T13/Cotacao!T12),J11)</f>
        <v>-2.7913509831058732E-2</v>
      </c>
      <c r="K12" s="6">
        <f>IFERROR(LN(Cotacao!V13/Cotacao!V12),K11)</f>
        <v>-2.1297997678934127E-2</v>
      </c>
      <c r="L12" s="6">
        <f>IFERROR(LN(Cotacao!X13/Cotacao!X12),L11)</f>
        <v>1.0692381679377791E-2</v>
      </c>
      <c r="M12" s="6">
        <f>IFERROR(LN(Profit!B12/Profit!B11),M11)</f>
        <v>2.0486757880429203E-2</v>
      </c>
      <c r="N12" s="6">
        <f>IFERROR(LN(Cotacao!AB13/Cotacao!AB12),N11)</f>
        <v>-7.8064016454585197E-4</v>
      </c>
      <c r="O12" s="6">
        <f>IFERROR(LN(Cotacao!AD13/Cotacao!AD12),O11)</f>
        <v>-1.4687885137503289E-3</v>
      </c>
      <c r="P12" s="6">
        <f>IFERROR(LN(Cotacao!AF13/Cotacao!AF12),P11)</f>
        <v>-9.8689649154299567E-3</v>
      </c>
      <c r="Q12" s="6">
        <f>IFERROR(LN(Cotacao!AH13/Cotacao!AH12),Q11)</f>
        <v>-4.6216142342808235E-3</v>
      </c>
      <c r="R12" s="6">
        <f>IFERROR(LN(Cotacao!AJ13/Cotacao!AJ12),R11)</f>
        <v>-5.1173768367503078E-3</v>
      </c>
      <c r="S12" s="6">
        <f>IFERROR(LN(Cotacao!AL13/Cotacao!AL12),S11)</f>
        <v>-2.7779564107075706E-2</v>
      </c>
      <c r="T12" s="6">
        <f>IFERROR(LN(Cotacao!AN13/Cotacao!AN12),T11)</f>
        <v>3.2028300613454047E-3</v>
      </c>
      <c r="U12" s="6">
        <f>IFERROR(LN(Cotacao!AP13/Cotacao!AP12),U11)</f>
        <v>0</v>
      </c>
      <c r="V12" s="6">
        <f>IFERROR(LN(Cotacao!AR13/Cotacao!AR12),V11)</f>
        <v>5.1993184717938927E-3</v>
      </c>
      <c r="W12" s="6">
        <f>IFERROR(LN(Cotacao!AT13/Cotacao!AT12),W11)</f>
        <v>2.8508344678715904E-3</v>
      </c>
      <c r="X12" s="6">
        <f>IFERROR(LN(Cotacao!AV13/Cotacao!AV12),X11)</f>
        <v>-1.1142762194318302E-2</v>
      </c>
      <c r="Y12" s="6">
        <f>IFERROR(LN(Cotacao!AX13/Cotacao!AX12),Y11)</f>
        <v>3.195965714462008E-3</v>
      </c>
      <c r="Z12" s="6">
        <f>IFERROR(LN(Cotacao!AZ13/Cotacao!AZ12),Z11)</f>
        <v>5.4644944720787453E-3</v>
      </c>
      <c r="AA12" s="6">
        <f>IFERROR(LN(Cotacao!BB13/Cotacao!BB12),AA11)</f>
        <v>4.0872889652549529E-3</v>
      </c>
      <c r="AB12" s="6">
        <f>IFERROR(LN(Cotacao!BD13/Cotacao!BD12),AB11)</f>
        <v>-4.0591531524615159E-3</v>
      </c>
      <c r="AC12" s="6">
        <f>IFERROR(LN(Cotacao!BF13/Cotacao!BF12),AC11)</f>
        <v>1.780944370994692E-3</v>
      </c>
      <c r="AD12" s="6">
        <f>IFERROR(LN(Cotacao!BH13/Cotacao!BH12),AD11)</f>
        <v>-2.931605433405296E-2</v>
      </c>
      <c r="AE12" s="6">
        <f>IFERROR(LN(Cotacao!BJ13/Cotacao!BJ12),AE11)</f>
        <v>5.9269188977677661E-3</v>
      </c>
      <c r="AF12" s="6">
        <f>IFERROR(LN(Cotacao!BL13/Cotacao!BL12),AF11)</f>
        <v>-2.1847088665160472E-2</v>
      </c>
      <c r="AG12" s="6">
        <f>IFERROR(LN(Cotacao!BN13/Cotacao!BN12),AG11)</f>
        <v>-3.6115723272703987E-2</v>
      </c>
      <c r="AH12" s="6">
        <f>IFERROR(LN(Cotacao!BP13/Cotacao!BP12),AH11)</f>
        <v>4.5670200582483217E-3</v>
      </c>
      <c r="AI12" s="6">
        <f>IFERROR(LN(Cotacao!BR13/Cotacao!BR12),AI11)</f>
        <v>2.6452284572413325E-2</v>
      </c>
      <c r="AJ12" s="6">
        <f>IFERROR(LN(Profit!C12/Profit!C11),AJ11)</f>
        <v>1.2844213274239732E-2</v>
      </c>
      <c r="AK12" s="6">
        <f>IFERROR(LN(Cotacao!BV13/Cotacao!BV12),AK11)</f>
        <v>-1.1867497148484488E-2</v>
      </c>
      <c r="AL12" s="6">
        <f>IFERROR(LN(Cotacao!BX13/Cotacao!BX12),AL11)</f>
        <v>1.2774211337279589E-2</v>
      </c>
      <c r="AN12" s="17" t="s">
        <v>255</v>
      </c>
    </row>
    <row r="13" spans="1:77">
      <c r="A13" s="3" t="str">
        <f>Cotacao!C13</f>
        <v>7/12/2019 16:56:00</v>
      </c>
      <c r="B13" s="6">
        <f>IFERROR(LN(Cotacao!D14/Cotacao!D13),B12)</f>
        <v>-2.5579625967168753E-2</v>
      </c>
      <c r="C13" s="6">
        <f>IFERROR(LN(Cotacao!F14/Cotacao!F13),C12)</f>
        <v>-1.4972304039651868E-3</v>
      </c>
      <c r="D13" s="6">
        <f>IFERROR(LN(Cotacao!H14/Cotacao!H13),D12)</f>
        <v>-1.1028331041478084E-2</v>
      </c>
      <c r="E13" s="6">
        <f>IFERROR(LN(Cotacao!J14/Cotacao!J13),E12)</f>
        <v>-1.2199648973096491E-2</v>
      </c>
      <c r="F13" s="6">
        <f>IFERROR(LN(Cotacao!L14/Cotacao!L13),F12)</f>
        <v>-1.2295236857037466E-2</v>
      </c>
      <c r="G13" s="6">
        <f>IFERROR(LN(Cotacao!N14/Cotacao!N13),G12)</f>
        <v>-3.8535693159900777E-3</v>
      </c>
      <c r="H13" s="6">
        <f>IFERROR(LN(Cotacao!P14/Cotacao!P13),H12)</f>
        <v>-1.0571938925398667E-2</v>
      </c>
      <c r="I13" s="6">
        <f>IFERROR(LN(Cotacao!R14/Cotacao!R13),I12)</f>
        <v>-8.761505668572719E-3</v>
      </c>
      <c r="J13" s="6">
        <f>IFERROR(LN(Cotacao!T14/Cotacao!T13),J12)</f>
        <v>-8.268780963073678E-3</v>
      </c>
      <c r="K13" s="6">
        <f>IFERROR(LN(Cotacao!V14/Cotacao!V13),K12)</f>
        <v>3.9062549670649893E-3</v>
      </c>
      <c r="L13" s="6">
        <f>IFERROR(LN(Cotacao!X14/Cotacao!X13),L12)</f>
        <v>-5.9663890605473049E-3</v>
      </c>
      <c r="M13" s="6">
        <f>IFERROR(LN(Profit!B13/Profit!B12),M12)</f>
        <v>8.7094770654424485E-3</v>
      </c>
      <c r="N13" s="6">
        <f>IFERROR(LN(Cotacao!AB14/Cotacao!AB13),N12)</f>
        <v>-1.6138905694056242E-2</v>
      </c>
      <c r="O13" s="6">
        <f>IFERROR(LN(Cotacao!AD14/Cotacao!AD13),O12)</f>
        <v>6.8359641204901525E-3</v>
      </c>
      <c r="P13" s="6">
        <f>IFERROR(LN(Cotacao!AF14/Cotacao!AF13),P12)</f>
        <v>-5.3985072153585585E-3</v>
      </c>
      <c r="Q13" s="6">
        <f>IFERROR(LN(Cotacao!AH14/Cotacao!AH13),Q12)</f>
        <v>1.6842503394497482E-2</v>
      </c>
      <c r="R13" s="6">
        <f>IFERROR(LN(Cotacao!AJ14/Cotacao!AJ13),R12)</f>
        <v>2.0095630427287139E-2</v>
      </c>
      <c r="S13" s="6">
        <f>IFERROR(LN(Cotacao!AL14/Cotacao!AL13),S12)</f>
        <v>-1.9915309700941432E-2</v>
      </c>
      <c r="T13" s="6">
        <f>IFERROR(LN(Cotacao!AN14/Cotacao!AN13),T12)</f>
        <v>1.2121881477711494E-3</v>
      </c>
      <c r="U13" s="6">
        <f>IFERROR(LN(Cotacao!AP14/Cotacao!AP13),U12)</f>
        <v>-2.2714854338285314E-3</v>
      </c>
      <c r="V13" s="6">
        <f>IFERROR(LN(Cotacao!AR14/Cotacao!AR13),V12)</f>
        <v>5.1724253249879138E-3</v>
      </c>
      <c r="W13" s="6">
        <f>IFERROR(LN(Cotacao!AT14/Cotacao!AT13),W12)</f>
        <v>-1.8661440494513817E-2</v>
      </c>
      <c r="X13" s="6">
        <f>IFERROR(LN(Cotacao!AV14/Cotacao!AV13),X12)</f>
        <v>-5.0869121986708947E-3</v>
      </c>
      <c r="Y13" s="6">
        <f>IFERROR(LN(Cotacao!AX14/Cotacao!AX13),Y12)</f>
        <v>-7.5601666837506317E-4</v>
      </c>
      <c r="Z13" s="6">
        <f>IFERROR(LN(Cotacao!AZ14/Cotacao!AZ13),Z12)</f>
        <v>8.1411575836998658E-3</v>
      </c>
      <c r="AA13" s="6">
        <f>IFERROR(LN(Cotacao!BB14/Cotacao!BB13),AA12)</f>
        <v>6.4266730474435993E-3</v>
      </c>
      <c r="AB13" s="6">
        <f>IFERROR(LN(Cotacao!BD14/Cotacao!BD13),AB12)</f>
        <v>-1.6994256045370762E-2</v>
      </c>
      <c r="AC13" s="6">
        <f>IFERROR(LN(Cotacao!BF14/Cotacao!BF13),AC12)</f>
        <v>4.010999733816524E-2</v>
      </c>
      <c r="AD13" s="6">
        <f>IFERROR(LN(Cotacao!BH14/Cotacao!BH13),AD12)</f>
        <v>-3.0459207484708574E-2</v>
      </c>
      <c r="AE13" s="6">
        <f>IFERROR(LN(Cotacao!BJ14/Cotacao!BJ13),AE12)</f>
        <v>1.3123361463500893E-3</v>
      </c>
      <c r="AF13" s="6">
        <f>IFERROR(LN(Cotacao!BL14/Cotacao!BL13),AF12)</f>
        <v>-3.033866450540984E-2</v>
      </c>
      <c r="AG13" s="6">
        <f>IFERROR(LN(Cotacao!BN14/Cotacao!BN13),AG12)</f>
        <v>1.0070494305260034E-3</v>
      </c>
      <c r="AH13" s="6">
        <f>IFERROR(LN(Cotacao!BP14/Cotacao!BP13),AH12)</f>
        <v>-1.2343658754874469E-2</v>
      </c>
      <c r="AI13" s="6">
        <f>IFERROR(LN(Cotacao!BR14/Cotacao!BR13),AI12)</f>
        <v>2.5770555771562235E-2</v>
      </c>
      <c r="AJ13" s="6">
        <f>IFERROR(LN(Profit!C13/Profit!C12),AJ12)</f>
        <v>4.5475294376295158E-3</v>
      </c>
      <c r="AK13" s="6">
        <f>IFERROR(LN(Cotacao!BV14/Cotacao!BV13),AK12)</f>
        <v>-9.9466241388358723E-4</v>
      </c>
      <c r="AL13" s="6">
        <f>IFERROR(LN(Cotacao!BX14/Cotacao!BX13),AL12)</f>
        <v>5.1326032265202161E-3</v>
      </c>
      <c r="AN13" s="16" t="s">
        <v>256</v>
      </c>
    </row>
    <row r="14" spans="1:77">
      <c r="A14" s="3" t="str">
        <f>Cotacao!C14</f>
        <v>7/15/2019 16:56:00</v>
      </c>
      <c r="B14" s="6">
        <f>IFERROR(LN(Cotacao!D15/Cotacao!D14),B13)</f>
        <v>2.2026440623420965E-3</v>
      </c>
      <c r="C14" s="6">
        <f>IFERROR(LN(Cotacao!F15/Cotacao!F14),C13)</f>
        <v>5.9916119228052729E-4</v>
      </c>
      <c r="D14" s="6">
        <f>IFERROR(LN(Cotacao!H15/Cotacao!H14),D13)</f>
        <v>8.8754776803770755E-3</v>
      </c>
      <c r="E14" s="6">
        <f>IFERROR(LN(Cotacao!J15/Cotacao!J14),E13)</f>
        <v>-7.2464085207671978E-3</v>
      </c>
      <c r="F14" s="6">
        <f>IFERROR(LN(Cotacao!L15/Cotacao!L14),F13)</f>
        <v>-1.2970350442627404E-2</v>
      </c>
      <c r="G14" s="6">
        <f>IFERROR(LN(Cotacao!N15/Cotacao!N14),G13)</f>
        <v>-4.643971194450593E-3</v>
      </c>
      <c r="H14" s="6">
        <f>IFERROR(LN(Cotacao!P15/Cotacao!P14),H13)</f>
        <v>3.5364126230597146E-3</v>
      </c>
      <c r="I14" s="6">
        <f>IFERROR(LN(Cotacao!R15/Cotacao!R14),I13)</f>
        <v>-2.0020026706730793E-3</v>
      </c>
      <c r="J14" s="6">
        <f>IFERROR(LN(Cotacao!T15/Cotacao!T14),J13)</f>
        <v>1.4425804005099786E-2</v>
      </c>
      <c r="K14" s="6">
        <f>IFERROR(LN(Cotacao!V15/Cotacao!V14),K13)</f>
        <v>0</v>
      </c>
      <c r="L14" s="6">
        <f>IFERROR(LN(Cotacao!X15/Cotacao!X14),L13)</f>
        <v>9.9687352493930243E-4</v>
      </c>
      <c r="M14" s="6">
        <f>IFERROR(LN(Profit!B14/Profit!B13),M13)</f>
        <v>-1.9727763352151506E-3</v>
      </c>
      <c r="N14" s="6">
        <f>IFERROR(LN(Cotacao!AB15/Cotacao!AB14),N13)</f>
        <v>5.9347355198145265E-3</v>
      </c>
      <c r="O14" s="6">
        <f>IFERROR(LN(Cotacao!AD15/Cotacao!AD14),O13)</f>
        <v>-2.463178718966539E-2</v>
      </c>
      <c r="P14" s="6">
        <f>IFERROR(LN(Cotacao!AF15/Cotacao!AF14),P13)</f>
        <v>-1.75317035230706E-2</v>
      </c>
      <c r="Q14" s="6">
        <f>IFERROR(LN(Cotacao!AH15/Cotacao!AH14),Q13)</f>
        <v>6.8091808387977766E-3</v>
      </c>
      <c r="R14" s="6">
        <f>IFERROR(LN(Cotacao!AJ15/Cotacao!AJ14),R13)</f>
        <v>9.3570479242625158E-3</v>
      </c>
      <c r="S14" s="6">
        <f>IFERROR(LN(Cotacao!AL15/Cotacao!AL14),S13)</f>
        <v>2.8694424279529607E-3</v>
      </c>
      <c r="T14" s="6">
        <f>IFERROR(LN(Cotacao!AN15/Cotacao!AN14),T13)</f>
        <v>2.2002209096025592E-3</v>
      </c>
      <c r="U14" s="6">
        <f>IFERROR(LN(Cotacao!AP15/Cotacao!AP14),U13)</f>
        <v>-3.2056717177080044E-3</v>
      </c>
      <c r="V14" s="6">
        <f>IFERROR(LN(Cotacao!AR15/Cotacao!AR14),V13)</f>
        <v>4.2900108695079131E-3</v>
      </c>
      <c r="W14" s="6">
        <f>IFERROR(LN(Cotacao!AT15/Cotacao!AT14),W13)</f>
        <v>9.5084360642812577E-3</v>
      </c>
      <c r="X14" s="6">
        <f>IFERROR(LN(Cotacao!AV15/Cotacao!AV14),X13)</f>
        <v>4.5229759085244322E-3</v>
      </c>
      <c r="Y14" s="6">
        <f>IFERROR(LN(Cotacao!AX15/Cotacao!AX14),Y13)</f>
        <v>4.1928782600359578E-3</v>
      </c>
      <c r="Z14" s="6">
        <f>IFERROR(LN(Cotacao!AZ15/Cotacao!AZ14),Z13)</f>
        <v>2.6990569691649835E-3</v>
      </c>
      <c r="AA14" s="6">
        <f>IFERROR(LN(Cotacao!BB15/Cotacao!BB14),AA13)</f>
        <v>2.1981748802647978E-2</v>
      </c>
      <c r="AB14" s="6">
        <f>IFERROR(LN(Cotacao!BD15/Cotacao!BD14),AB13)</f>
        <v>2.2210147325656019E-2</v>
      </c>
      <c r="AC14" s="6">
        <f>IFERROR(LN(Cotacao!BF15/Cotacao!BF14),AC13)</f>
        <v>1.9467394306114241E-2</v>
      </c>
      <c r="AD14" s="6">
        <f>IFERROR(LN(Cotacao!BH15/Cotacao!BH14),AD13)</f>
        <v>-1.9782008952038129E-2</v>
      </c>
      <c r="AE14" s="6">
        <f>IFERROR(LN(Cotacao!BJ15/Cotacao!BJ14),AE13)</f>
        <v>0</v>
      </c>
      <c r="AF14" s="6">
        <f>IFERROR(LN(Cotacao!BL15/Cotacao!BL14),AF13)</f>
        <v>4.8986960576467443E-3</v>
      </c>
      <c r="AG14" s="6">
        <f>IFERROR(LN(Cotacao!BN15/Cotacao!BN14),AG13)</f>
        <v>3.1213829580636881E-2</v>
      </c>
      <c r="AH14" s="6">
        <f>IFERROR(LN(Cotacao!BP15/Cotacao!BP14),AH13)</f>
        <v>-1.2497930932734854E-2</v>
      </c>
      <c r="AI14" s="6">
        <f>IFERROR(LN(Cotacao!BR15/Cotacao!BR14),AI13)</f>
        <v>-5.1129346522604244E-2</v>
      </c>
      <c r="AJ14" s="6">
        <f>IFERROR(LN(Profit!C14/Profit!C13),AJ13)</f>
        <v>-9.0785299017978279E-4</v>
      </c>
      <c r="AK14" s="6">
        <f>IFERROR(LN(Cotacao!BV15/Cotacao!BV14),AK13)</f>
        <v>-2.6284083106118626E-4</v>
      </c>
      <c r="AL14" s="6">
        <f>IFERROR(LN(Cotacao!BX15/Cotacao!BX14),AL13)</f>
        <v>-2.0498811414439871E-3</v>
      </c>
      <c r="AN14" s="7" t="s">
        <v>267</v>
      </c>
      <c r="AO14" s="8">
        <f ca="1">$AP$19+AO11*$AP$20</f>
        <v>9.24079617786219E-2</v>
      </c>
      <c r="AP14" s="8">
        <f t="shared" ref="AP14:BY14" ca="1" si="168">$AP$19+AP11*$AP$20</f>
        <v>7.0939978131813769E-2</v>
      </c>
      <c r="AQ14" s="8">
        <f t="shared" ca="1" si="168"/>
        <v>6.7279302368204563E-2</v>
      </c>
      <c r="AR14" s="8">
        <f t="shared" ca="1" si="168"/>
        <v>9.8828937421854196E-2</v>
      </c>
      <c r="AS14" s="8">
        <f t="shared" ca="1" si="168"/>
        <v>7.6660410214276525E-2</v>
      </c>
      <c r="AT14" s="8">
        <f ca="1">$AP$19+AT11*$AP$20</f>
        <v>8.6047947915366407E-2</v>
      </c>
      <c r="AU14" s="8">
        <f t="shared" ca="1" si="168"/>
        <v>8.2500538105279436E-2</v>
      </c>
      <c r="AV14" s="8">
        <f t="shared" ca="1" si="168"/>
        <v>8.0830921065429856E-2</v>
      </c>
      <c r="AW14" s="8">
        <f t="shared" ca="1" si="168"/>
        <v>0.11338835142541137</v>
      </c>
      <c r="AX14" s="8">
        <f t="shared" ca="1" si="168"/>
        <v>8.8901891793338406E-2</v>
      </c>
      <c r="AY14" s="8">
        <f t="shared" ca="1" si="168"/>
        <v>5.4512884519462214E-2</v>
      </c>
      <c r="AZ14" s="8">
        <f t="shared" ca="1" si="168"/>
        <v>2.449720292973364E-2</v>
      </c>
      <c r="BA14" s="8">
        <f t="shared" ca="1" si="168"/>
        <v>1.8815705163107026E-2</v>
      </c>
      <c r="BB14" s="8">
        <f t="shared" ca="1" si="168"/>
        <v>7.8594059902455757E-2</v>
      </c>
      <c r="BC14" s="8">
        <f t="shared" ca="1" si="168"/>
        <v>0.10786084826037531</v>
      </c>
      <c r="BD14" s="8">
        <f t="shared" ca="1" si="168"/>
        <v>9.8396634218588103E-2</v>
      </c>
      <c r="BE14" s="8">
        <f t="shared" ca="1" si="168"/>
        <v>6.4026969603246831E-2</v>
      </c>
      <c r="BF14" s="8">
        <f t="shared" ca="1" si="168"/>
        <v>9.8545959985809506E-2</v>
      </c>
      <c r="BG14" s="8">
        <f t="shared" ca="1" si="168"/>
        <v>5.6491684228883877E-2</v>
      </c>
      <c r="BH14" s="8">
        <f t="shared" ca="1" si="168"/>
        <v>4.3182093351127125E-2</v>
      </c>
      <c r="BI14" s="8">
        <f t="shared" ca="1" si="168"/>
        <v>4.6198930961062437E-2</v>
      </c>
      <c r="BJ14" s="8">
        <f t="shared" ca="1" si="168"/>
        <v>4.858825570334431E-2</v>
      </c>
      <c r="BK14" s="8">
        <f t="shared" ca="1" si="168"/>
        <v>4.8354987738264132E-2</v>
      </c>
      <c r="BL14" s="8">
        <f t="shared" ca="1" si="168"/>
        <v>4.3962970705611892E-2</v>
      </c>
      <c r="BM14" s="8">
        <f t="shared" ca="1" si="168"/>
        <v>6.5665458229123952E-2</v>
      </c>
      <c r="BN14" s="8">
        <f t="shared" ca="1" si="168"/>
        <v>5.6885789258907186E-2</v>
      </c>
      <c r="BO14" s="8">
        <f t="shared" ca="1" si="168"/>
        <v>0.13314663862892881</v>
      </c>
      <c r="BP14" s="8">
        <f t="shared" ca="1" si="168"/>
        <v>9.7850394031397059E-2</v>
      </c>
      <c r="BQ14" s="8">
        <f t="shared" ca="1" si="168"/>
        <v>8.4273335009110092E-2</v>
      </c>
      <c r="BR14" s="8">
        <f t="shared" ca="1" si="168"/>
        <v>4.8687208971428447E-2</v>
      </c>
      <c r="BS14" s="8">
        <f t="shared" ca="1" si="168"/>
        <v>8.7567483975953125E-2</v>
      </c>
      <c r="BT14" s="8">
        <f t="shared" ca="1" si="168"/>
        <v>0.10524078289358277</v>
      </c>
      <c r="BU14" s="8">
        <f t="shared" ca="1" si="168"/>
        <v>0.12907458782325845</v>
      </c>
      <c r="BV14" s="8">
        <f t="shared" ca="1" si="168"/>
        <v>0.16878857713392034</v>
      </c>
      <c r="BW14" s="8">
        <f t="shared" ca="1" si="168"/>
        <v>2.2597941052352546E-2</v>
      </c>
      <c r="BX14" s="8">
        <f t="shared" ca="1" si="168"/>
        <v>0.10217346938775512</v>
      </c>
      <c r="BY14" s="8">
        <f t="shared" ca="1" si="168"/>
        <v>8.2179077125062033E-2</v>
      </c>
    </row>
    <row r="15" spans="1:77">
      <c r="A15" s="3" t="str">
        <f>Cotacao!C15</f>
        <v>7/16/2019 16:56:00</v>
      </c>
      <c r="B15" s="6">
        <f>IFERROR(LN(Cotacao!D16/Cotacao!D15),B14)</f>
        <v>-1.1007155761855161E-3</v>
      </c>
      <c r="C15" s="6">
        <f>IFERROR(LN(Cotacao!F16/Cotacao!F15),C14)</f>
        <v>1.2500162764231468E-2</v>
      </c>
      <c r="D15" s="6">
        <f>IFERROR(LN(Cotacao!H16/Cotacao!H15),D14)</f>
        <v>6.4447054426421835E-3</v>
      </c>
      <c r="E15" s="6">
        <f>IFERROR(LN(Cotacao!J16/Cotacao!J15),E14)</f>
        <v>-1.8349138668196541E-2</v>
      </c>
      <c r="F15" s="6">
        <f>IFERROR(LN(Cotacao!L16/Cotacao!L15),F14)</f>
        <v>5.2083451071382597E-3</v>
      </c>
      <c r="G15" s="6">
        <f>IFERROR(LN(Cotacao!N16/Cotacao!N15),G14)</f>
        <v>3.0983758326700727E-3</v>
      </c>
      <c r="H15" s="6">
        <f>IFERROR(LN(Cotacao!P16/Cotacao!P15),H14)</f>
        <v>-5.1480165174012443E-3</v>
      </c>
      <c r="I15" s="6">
        <f>IFERROR(LN(Cotacao!R16/Cotacao!R15),I14)</f>
        <v>1.5904907839664514E-2</v>
      </c>
      <c r="J15" s="6">
        <f>IFERROR(LN(Cotacao!T16/Cotacao!T15),J14)</f>
        <v>-1.1834457647002909E-2</v>
      </c>
      <c r="K15" s="6">
        <f>IFERROR(LN(Cotacao!V16/Cotacao!V15),K14)</f>
        <v>3.8910554929667217E-3</v>
      </c>
      <c r="L15" s="6">
        <f>IFERROR(LN(Cotacao!X16/Cotacao!X15),L14)</f>
        <v>8.9274230141034028E-3</v>
      </c>
      <c r="M15" s="6">
        <f>IFERROR(LN(Profit!B15/Profit!B14),M14)</f>
        <v>-1.1120051044077702E-2</v>
      </c>
      <c r="N15" s="6">
        <f>IFERROR(LN(Cotacao!AB16/Cotacao!AB15),N14)</f>
        <v>1.9704439872985169E-3</v>
      </c>
      <c r="O15" s="6">
        <f>IFERROR(LN(Cotacao!AD16/Cotacao!AD15),O14)</f>
        <v>-1.2547216052088641E-2</v>
      </c>
      <c r="P15" s="6">
        <f>IFERROR(LN(Cotacao!AF16/Cotacao!AF15),P14)</f>
        <v>-1.160429489081891E-3</v>
      </c>
      <c r="Q15" s="6">
        <f>IFERROR(LN(Cotacao!AH16/Cotacao!AH15),Q14)</f>
        <v>-6.8091808387977723E-3</v>
      </c>
      <c r="R15" s="6">
        <f>IFERROR(LN(Cotacao!AJ16/Cotacao!AJ15),R14)</f>
        <v>1.0342690774455283E-2</v>
      </c>
      <c r="S15" s="6">
        <f>IFERROR(LN(Cotacao!AL16/Cotacao!AL15),S14)</f>
        <v>2.5461064198273091E-2</v>
      </c>
      <c r="T15" s="6">
        <f>IFERROR(LN(Cotacao!AN16/Cotacao!AN15),T14)</f>
        <v>1.092907053219023E-2</v>
      </c>
      <c r="U15" s="6">
        <f>IFERROR(LN(Cotacao!AP16/Cotacao!AP15),U14)</f>
        <v>-2.9617114943281068E-3</v>
      </c>
      <c r="V15" s="6">
        <f>IFERROR(LN(Cotacao!AR16/Cotacao!AR15),V14)</f>
        <v>5.1238369998694664E-3</v>
      </c>
      <c r="W15" s="6">
        <f>IFERROR(LN(Cotacao!AT16/Cotacao!AT15),W14)</f>
        <v>-1.3500457333818697E-2</v>
      </c>
      <c r="X15" s="6">
        <f>IFERROR(LN(Cotacao!AV16/Cotacao!AV15),X14)</f>
        <v>8.285982384056801E-3</v>
      </c>
      <c r="Y15" s="6">
        <f>IFERROR(LN(Cotacao!AX16/Cotacao!AX15),Y14)</f>
        <v>-2.6814160527324905E-3</v>
      </c>
      <c r="Z15" s="6">
        <f>IFERROR(LN(Cotacao!AZ16/Cotacao!AZ15),Z14)</f>
        <v>4.9944676516256871E-2</v>
      </c>
      <c r="AA15" s="6">
        <f>IFERROR(LN(Cotacao!BB16/Cotacao!BB15),AA14)</f>
        <v>-3.0741666326370106E-3</v>
      </c>
      <c r="AB15" s="6">
        <f>IFERROR(LN(Cotacao!BD16/Cotacao!BD15),AB14)</f>
        <v>-1.7356093451461119E-3</v>
      </c>
      <c r="AC15" s="6">
        <f>IFERROR(LN(Cotacao!BF16/Cotacao!BF15),AC14)</f>
        <v>2.891568660917164E-2</v>
      </c>
      <c r="AD15" s="6">
        <f>IFERROR(LN(Cotacao!BH16/Cotacao!BH15),AD14)</f>
        <v>-5.007257793731742E-3</v>
      </c>
      <c r="AE15" s="6">
        <f>IFERROR(LN(Cotacao!BJ16/Cotacao!BJ15),AE14)</f>
        <v>-3.2792261320256644E-4</v>
      </c>
      <c r="AF15" s="6">
        <f>IFERROR(LN(Cotacao!BL16/Cotacao!BL15),AF14)</f>
        <v>8.8809952551215229E-4</v>
      </c>
      <c r="AG15" s="6">
        <f>IFERROR(LN(Cotacao!BN16/Cotacao!BN15),AG14)</f>
        <v>7.0482731936910691E-3</v>
      </c>
      <c r="AH15" s="6">
        <f>IFERROR(LN(Cotacao!BP16/Cotacao!BP15),AH14)</f>
        <v>-5.4044447883305324E-3</v>
      </c>
      <c r="AI15" s="6">
        <f>IFERROR(LN(Cotacao!BR16/Cotacao!BR15),AI14)</f>
        <v>-3.8324711568036127E-3</v>
      </c>
      <c r="AJ15" s="6">
        <f>IFERROR(LN(Profit!C15/Profit!C14),AJ14)</f>
        <v>-3.6396764474496595E-3</v>
      </c>
      <c r="AK15" s="6">
        <f>IFERROR(LN(Cotacao!BV16/Cotacao!BV15),AK14)</f>
        <v>7.7175399751727854E-4</v>
      </c>
      <c r="AL15" s="6">
        <f>IFERROR(LN(Cotacao!BX16/Cotacao!BX15),AL14)</f>
        <v>-1.1696039763191298E-2</v>
      </c>
      <c r="AN15" s="7" t="s">
        <v>268</v>
      </c>
      <c r="AO15" s="6">
        <f ca="1">(1+$AQ$19+AO11*$AQ$20+$AQ$21)*(1+$AQ$22)/(1+$AQ$23)-1</f>
        <v>0.12603702026338492</v>
      </c>
      <c r="AP15" s="6">
        <f t="shared" ref="AP15:BY15" ca="1" si="169">(1+$AQ$19+AP11*$AQ$20+$AQ$21)*(1+$AQ$22)/(1+$AQ$23)-1</f>
        <v>0.10774092069746533</v>
      </c>
      <c r="AQ15" s="6">
        <f t="shared" ca="1" si="169"/>
        <v>0.10462110798699209</v>
      </c>
      <c r="AR15" s="6">
        <f t="shared" ca="1" si="169"/>
        <v>0.13150929989670734</v>
      </c>
      <c r="AS15" s="6">
        <f t="shared" ca="1" si="169"/>
        <v>0.11261616173839006</v>
      </c>
      <c r="AT15" s="6">
        <f ca="1">(1+$AQ$19+AT11*$AQ$20+$AQ$21)*(1+$AQ$22)/(1+$AQ$23)-1</f>
        <v>0.1206166953368728</v>
      </c>
      <c r="AU15" s="6">
        <f t="shared" ca="1" si="169"/>
        <v>0.11759341359070286</v>
      </c>
      <c r="AV15" s="6">
        <f t="shared" ca="1" si="169"/>
        <v>0.11617048165165289</v>
      </c>
      <c r="AW15" s="6">
        <f t="shared" ca="1" si="169"/>
        <v>0.1439175676042399</v>
      </c>
      <c r="AX15" s="6">
        <f t="shared" ca="1" si="169"/>
        <v>0.12304897040312879</v>
      </c>
      <c r="AY15" s="6">
        <f t="shared" ca="1" si="169"/>
        <v>9.374092212960039E-2</v>
      </c>
      <c r="AZ15" s="6">
        <f t="shared" ca="1" si="169"/>
        <v>6.8160042809978227E-2</v>
      </c>
      <c r="BA15" s="6">
        <f t="shared" ca="1" si="169"/>
        <v>6.3317983558773161E-2</v>
      </c>
      <c r="BB15" s="6">
        <f t="shared" ca="1" si="169"/>
        <v>0.11426411563115346</v>
      </c>
      <c r="BC15" s="6">
        <f t="shared" ca="1" si="169"/>
        <v>0.13920675032758001</v>
      </c>
      <c r="BD15" s="6">
        <f t="shared" ca="1" si="169"/>
        <v>0.13114086928022517</v>
      </c>
      <c r="BE15" s="6">
        <f t="shared" ca="1" si="169"/>
        <v>0.10184930579689611</v>
      </c>
      <c r="BF15" s="6">
        <f t="shared" ca="1" si="169"/>
        <v>0.13126813223839529</v>
      </c>
      <c r="BG15" s="6">
        <f t="shared" ca="1" si="169"/>
        <v>9.5427355150056403E-2</v>
      </c>
      <c r="BH15" s="6">
        <f t="shared" ca="1" si="169"/>
        <v>8.4084249812946599E-2</v>
      </c>
      <c r="BI15" s="6">
        <f t="shared" ca="1" si="169"/>
        <v>8.66553511419621E-2</v>
      </c>
      <c r="BJ15" s="6">
        <f t="shared" ca="1" si="169"/>
        <v>8.8691654322517133E-2</v>
      </c>
      <c r="BK15" s="6">
        <f t="shared" ca="1" si="169"/>
        <v>8.8492851585154408E-2</v>
      </c>
      <c r="BL15" s="6">
        <f t="shared" ca="1" si="169"/>
        <v>8.474975292034026E-2</v>
      </c>
      <c r="BM15" s="6">
        <f t="shared" ca="1" si="169"/>
        <v>0.10324570852990878</v>
      </c>
      <c r="BN15" s="6">
        <f t="shared" ca="1" si="169"/>
        <v>9.5763231354704326E-2</v>
      </c>
      <c r="BO15" s="6">
        <f t="shared" ca="1" si="169"/>
        <v>0.16075657753991868</v>
      </c>
      <c r="BP15" s="6">
        <f t="shared" ca="1" si="169"/>
        <v>0.13067533581345092</v>
      </c>
      <c r="BQ15" s="6">
        <f t="shared" ca="1" si="169"/>
        <v>0.11910428061930989</v>
      </c>
      <c r="BR15" s="6">
        <f t="shared" ca="1" si="169"/>
        <v>8.8775987293653769E-2</v>
      </c>
      <c r="BS15" s="6">
        <f t="shared" ca="1" si="169"/>
        <v>0.12191172068792078</v>
      </c>
      <c r="BT15" s="6">
        <f t="shared" ca="1" si="169"/>
        <v>0.1369737983368986</v>
      </c>
      <c r="BU15" s="6">
        <f t="shared" ca="1" si="169"/>
        <v>0.15728617024858882</v>
      </c>
      <c r="BV15" s="6">
        <f t="shared" ca="1" si="169"/>
        <v>0.19113243706814531</v>
      </c>
      <c r="BW15" s="6">
        <f t="shared" ca="1" si="169"/>
        <v>6.6541395945791448E-2</v>
      </c>
      <c r="BX15" s="6">
        <f t="shared" ca="1" si="169"/>
        <v>0.13435967890091449</v>
      </c>
      <c r="BY15" s="6">
        <f t="shared" ca="1" si="169"/>
        <v>0.1173194483130422</v>
      </c>
    </row>
    <row r="16" spans="1:77">
      <c r="A16" s="3" t="str">
        <f>Cotacao!C16</f>
        <v>7/17/2019 16:56:00</v>
      </c>
      <c r="B16" s="6">
        <f>IFERROR(LN(Cotacao!D17/Cotacao!D16),B15)</f>
        <v>1.3129291441792581E-2</v>
      </c>
      <c r="C16" s="6">
        <f>IFERROR(LN(Cotacao!F17/Cotacao!F16),C15)</f>
        <v>-6.2305497506360864E-3</v>
      </c>
      <c r="D16" s="6">
        <f>IFERROR(LN(Cotacao!H17/Cotacao!H16),D15)</f>
        <v>8.5616443586027558E-4</v>
      </c>
      <c r="E16" s="6">
        <f>IFERROR(LN(Cotacao!J17/Cotacao!J16),E15)</f>
        <v>6.6445427186685108E-3</v>
      </c>
      <c r="F16" s="6">
        <f>IFERROR(LN(Cotacao!L17/Cotacao!L16),F15)</f>
        <v>-5.1961549623286596E-4</v>
      </c>
      <c r="G16" s="6">
        <f>IFERROR(LN(Cotacao!N17/Cotacao!N16),G15)</f>
        <v>2.1423925750467965E-2</v>
      </c>
      <c r="H16" s="6">
        <f>IFERROR(LN(Cotacao!P17/Cotacao!P16),H15)</f>
        <v>2.3275401109958072E-2</v>
      </c>
      <c r="I16" s="6">
        <f>IFERROR(LN(Cotacao!R17/Cotacao!R16),I15)</f>
        <v>-6.7287014209911414E-3</v>
      </c>
      <c r="J16" s="6">
        <f>IFERROR(LN(Cotacao!T17/Cotacao!T16),J15)</f>
        <v>2.8070227779353602E-2</v>
      </c>
      <c r="K16" s="6">
        <f>IFERROR(LN(Cotacao!V17/Cotacao!V16),K15)</f>
        <v>1.5414563401186793E-2</v>
      </c>
      <c r="L16" s="6">
        <f>IFERROR(LN(Cotacao!X17/Cotacao!X16),L15)</f>
        <v>-2.6936027098893188E-4</v>
      </c>
      <c r="M16" s="6">
        <f>IFERROR(LN(Profit!B16/Profit!B15),M15)</f>
        <v>-8.8247664554365456E-3</v>
      </c>
      <c r="N16" s="6">
        <f>IFERROR(LN(Cotacao!AB17/Cotacao!AB16),N15)</f>
        <v>9.794397592287625E-3</v>
      </c>
      <c r="O16" s="6">
        <f>IFERROR(LN(Cotacao!AD17/Cotacao!AD16),O15)</f>
        <v>-5.0517808601525189E-4</v>
      </c>
      <c r="P16" s="6">
        <f>IFERROR(LN(Cotacao!AF17/Cotacao!AF16),P15)</f>
        <v>6.9424635219906446E-3</v>
      </c>
      <c r="Q16" s="6">
        <f>IFERROR(LN(Cotacao!AH17/Cotacao!AH16),Q15)</f>
        <v>-1.8996966199415033E-3</v>
      </c>
      <c r="R16" s="6">
        <f>IFERROR(LN(Cotacao!AJ17/Cotacao!AJ16),R15)</f>
        <v>-1.9699738698717727E-2</v>
      </c>
      <c r="S16" s="6">
        <f>IFERROR(LN(Cotacao!AL17/Cotacao!AL16),S15)</f>
        <v>4.1045433243115166E-2</v>
      </c>
      <c r="T16" s="6">
        <f>IFERROR(LN(Cotacao!AN17/Cotacao!AN16),T15)</f>
        <v>-2.1762794225955173E-3</v>
      </c>
      <c r="U16" s="6">
        <f>IFERROR(LN(Cotacao!AP17/Cotacao!AP16),U15)</f>
        <v>4.2283361095211049E-3</v>
      </c>
      <c r="V16" s="6">
        <f>IFERROR(LN(Cotacao!AR17/Cotacao!AR16),V15)</f>
        <v>0</v>
      </c>
      <c r="W16" s="6">
        <f>IFERROR(LN(Cotacao!AT17/Cotacao!AT16),W15)</f>
        <v>-2.4028846163103149E-3</v>
      </c>
      <c r="X16" s="6">
        <f>IFERROR(LN(Cotacao!AV17/Cotacao!AV16),X15)</f>
        <v>-3.5026305512021118E-3</v>
      </c>
      <c r="Y16" s="6">
        <f>IFERROR(LN(Cotacao!AX17/Cotacao!AX16),Y15)</f>
        <v>-1.6782747375139711E-4</v>
      </c>
      <c r="Z16" s="6">
        <f>IFERROR(LN(Cotacao!AZ17/Cotacao!AZ16),Z15)</f>
        <v>-2.5673955052458097E-3</v>
      </c>
      <c r="AA16" s="6">
        <f>IFERROR(LN(Cotacao!BB17/Cotacao!BB16),AA15)</f>
        <v>-5.7745983446758748E-4</v>
      </c>
      <c r="AB16" s="6">
        <f>IFERROR(LN(Cotacao!BD17/Cotacao!BD16),AB15)</f>
        <v>3.4682115689273572E-3</v>
      </c>
      <c r="AC16" s="6">
        <f>IFERROR(LN(Cotacao!BF17/Cotacao!BF16),AC15)</f>
        <v>7.4515055407868042E-2</v>
      </c>
      <c r="AD16" s="6">
        <f>IFERROR(LN(Cotacao!BH17/Cotacao!BH16),AD15)</f>
        <v>4.2183031176996066E-3</v>
      </c>
      <c r="AE16" s="6">
        <f>IFERROR(LN(Cotacao!BJ17/Cotacao!BJ16),AE15)</f>
        <v>3.2792261320255364E-4</v>
      </c>
      <c r="AF16" s="6">
        <f>IFERROR(LN(Cotacao!BL17/Cotacao!BL16),AF15)</f>
        <v>9.7173909528062916E-3</v>
      </c>
      <c r="AG16" s="6">
        <f>IFERROR(LN(Cotacao!BN17/Cotacao!BN16),AG15)</f>
        <v>-6.3168334439041556E-3</v>
      </c>
      <c r="AH16" s="6">
        <f>IFERROR(LN(Cotacao!BP17/Cotacao!BP16),AH15)</f>
        <v>-6.1605558129856301E-3</v>
      </c>
      <c r="AI16" s="6">
        <f>IFERROR(LN(Cotacao!BR17/Cotacao!BR16),AI15)</f>
        <v>-3.2967062824917548E-3</v>
      </c>
      <c r="AJ16" s="6">
        <f>IFERROR(LN(Profit!C16/Profit!C15),AJ15)</f>
        <v>-2.7384772933037988E-3</v>
      </c>
      <c r="AK16" s="6">
        <f>IFERROR(LN(Cotacao!BV17/Cotacao!BV16),AK15)</f>
        <v>8.2567592622166588E-3</v>
      </c>
      <c r="AL16" s="6">
        <f>IFERROR(LN(Cotacao!BX17/Cotacao!BX16),AL15)</f>
        <v>1.0327114155849524E-2</v>
      </c>
    </row>
    <row r="17" spans="1:76" ht="18">
      <c r="A17" s="3" t="str">
        <f>Cotacao!C17</f>
        <v>7/18/2019 16:56:00</v>
      </c>
      <c r="B17" s="6">
        <f>IFERROR(LN(Cotacao!D18/Cotacao!D17),B16)</f>
        <v>-5.9962022121656001E-3</v>
      </c>
      <c r="C17" s="6">
        <f>IFERROR(LN(Cotacao!F18/Cotacao!F17),C16)</f>
        <v>-2.7150989065950745E-2</v>
      </c>
      <c r="D17" s="6">
        <f>IFERROR(LN(Cotacao!H18/Cotacao!H17),D16)</f>
        <v>3.4173463415217678E-3</v>
      </c>
      <c r="E17" s="6">
        <f>IFERROR(LN(Cotacao!J18/Cotacao!J17),E16)</f>
        <v>-1.557317346296992E-2</v>
      </c>
      <c r="F17" s="6">
        <f>IFERROR(LN(Cotacao!L18/Cotacao!L17),F16)</f>
        <v>-2.6021352179517077E-3</v>
      </c>
      <c r="G17" s="6">
        <f>IFERROR(LN(Cotacao!N18/Cotacao!N17),G16)</f>
        <v>-1.2185984765531548E-2</v>
      </c>
      <c r="H17" s="6">
        <f>IFERROR(LN(Cotacao!P18/Cotacao!P17),H16)</f>
        <v>-1.9733294685558542E-2</v>
      </c>
      <c r="I17" s="6">
        <f>IFERROR(LN(Cotacao!R18/Cotacao!R17),I16)</f>
        <v>-1.5206375445264569E-2</v>
      </c>
      <c r="J17" s="6">
        <f>IFERROR(LN(Cotacao!T18/Cotacao!T17),J16)</f>
        <v>-4.3719999446481292E-2</v>
      </c>
      <c r="K17" s="6">
        <f>IFERROR(LN(Cotacao!V18/Cotacao!V17),K16)</f>
        <v>-1.9138761822842757E-3</v>
      </c>
      <c r="L17" s="6">
        <f>IFERROR(LN(Cotacao!X18/Cotacao!X17),L16)</f>
        <v>-2.1420314356965786E-2</v>
      </c>
      <c r="M17" s="6">
        <f>IFERROR(LN(Profit!B17/Profit!B16),M16)</f>
        <v>4.0281974361409175E-4</v>
      </c>
      <c r="N17" s="6">
        <f>IFERROR(LN(Cotacao!AB18/Cotacao!AB17),N16)</f>
        <v>-1.9512201312616936E-3</v>
      </c>
      <c r="O17" s="6">
        <f>IFERROR(LN(Cotacao!AD18/Cotacao!AD17),O16)</f>
        <v>-6.082127213506555E-3</v>
      </c>
      <c r="P17" s="6">
        <f>IFERROR(LN(Cotacao!AF18/Cotacao!AF17),P16)</f>
        <v>-1.4423772874238385E-3</v>
      </c>
      <c r="Q17" s="6">
        <f>IFERROR(LN(Cotacao!AH18/Cotacao!AH17),Q16)</f>
        <v>2.4689025929988946E-3</v>
      </c>
      <c r="R17" s="6">
        <f>IFERROR(LN(Cotacao!AJ18/Cotacao!AJ17),R16)</f>
        <v>-8.1220949187626491E-3</v>
      </c>
      <c r="S17" s="6">
        <f>IFERROR(LN(Cotacao!AL18/Cotacao!AL17),S16)</f>
        <v>-1.4855100990924184E-2</v>
      </c>
      <c r="T17" s="6">
        <f>IFERROR(LN(Cotacao!AN18/Cotacao!AN17),T16)</f>
        <v>1.0834342165710146E-2</v>
      </c>
      <c r="U17" s="6">
        <f>IFERROR(LN(Cotacao!AP18/Cotacao!AP17),U16)</f>
        <v>-4.2283361095210642E-3</v>
      </c>
      <c r="V17" s="6">
        <f>IFERROR(LN(Cotacao!AR18/Cotacao!AR17),V16)</f>
        <v>8.5142619021752355E-4</v>
      </c>
      <c r="W17" s="6">
        <f>IFERROR(LN(Cotacao!AT18/Cotacao!AT17),W16)</f>
        <v>2.4828814164808821E-3</v>
      </c>
      <c r="X17" s="6">
        <f>IFERROR(LN(Cotacao!AV18/Cotacao!AV17),X16)</f>
        <v>1.0471299867295437E-2</v>
      </c>
      <c r="Y17" s="6">
        <f>IFERROR(LN(Cotacao!AX18/Cotacao!AX17),Y16)</f>
        <v>-1.3436347335520761E-3</v>
      </c>
      <c r="Z17" s="6">
        <f>IFERROR(LN(Cotacao!AZ18/Cotacao!AZ17),Z16)</f>
        <v>2.5673955052457334E-3</v>
      </c>
      <c r="AA17" s="6">
        <f>IFERROR(LN(Cotacao!BB18/Cotacao!BB17),AA16)</f>
        <v>-8.3784970669364533E-3</v>
      </c>
      <c r="AB17" s="6">
        <f>IFERROR(LN(Cotacao!BD18/Cotacao!BD17),AB16)</f>
        <v>-2.0992024481379754E-2</v>
      </c>
      <c r="AC17" s="6">
        <f>IFERROR(LN(Cotacao!BF18/Cotacao!BF17),AC16)</f>
        <v>6.3687819257258207E-2</v>
      </c>
      <c r="AD17" s="6">
        <f>IFERROR(LN(Cotacao!BH18/Cotacao!BH17),AD16)</f>
        <v>1.6697492032273706E-2</v>
      </c>
      <c r="AE17" s="6">
        <f>IFERROR(LN(Cotacao!BJ18/Cotacao!BJ17),AE16)</f>
        <v>-6.559527949203843E-4</v>
      </c>
      <c r="AF17" s="6">
        <f>IFERROR(LN(Cotacao!BL18/Cotacao!BL17),AF16)</f>
        <v>1.7566978606335054E-3</v>
      </c>
      <c r="AG17" s="6">
        <f>IFERROR(LN(Cotacao!BN18/Cotacao!BN17),AG16)</f>
        <v>-1.5968893569403259E-2</v>
      </c>
      <c r="AH17" s="6">
        <f>IFERROR(LN(Cotacao!BP18/Cotacao!BP17),AH16)</f>
        <v>-2.5477720787986644E-3</v>
      </c>
      <c r="AI17" s="6">
        <f>IFERROR(LN(Cotacao!BR18/Cotacao!BR17),AI16)</f>
        <v>-1.4971169561370727E-2</v>
      </c>
      <c r="AJ17" s="6">
        <f>IFERROR(LN(Profit!C17/Profit!C16),AJ16)</f>
        <v>7.2860067309333133E-3</v>
      </c>
      <c r="AK17" s="6">
        <f>IFERROR(LN(Cotacao!BV18/Cotacao!BV17),AK16)</f>
        <v>-1.2150497672995851E-2</v>
      </c>
      <c r="AL17" s="6">
        <f>IFERROR(LN(Cotacao!BX18/Cotacao!BX17),AL16)</f>
        <v>-2.1811493031554368E-2</v>
      </c>
      <c r="AN17" s="20"/>
      <c r="AO17" s="109" t="s">
        <v>257</v>
      </c>
      <c r="AP17" s="109"/>
      <c r="AQ17" s="109"/>
      <c r="AS17" s="53" t="s">
        <v>287</v>
      </c>
      <c r="AT17" s="53">
        <v>247</v>
      </c>
    </row>
    <row r="18" spans="1:76">
      <c r="A18" s="3" t="str">
        <f>Cotacao!C18</f>
        <v>7/19/2019 16:56:00</v>
      </c>
      <c r="B18" s="6">
        <f>IFERROR(LN(Cotacao!D19/Cotacao!D18),B17)</f>
        <v>8.1677557256735756E-3</v>
      </c>
      <c r="C18" s="6">
        <f>IFERROR(LN(Cotacao!F19/Cotacao!F18),C17)</f>
        <v>1.2762251613851071E-2</v>
      </c>
      <c r="D18" s="6">
        <f>IFERROR(LN(Cotacao!H19/Cotacao!H18),D17)</f>
        <v>3.1931905791549855E-3</v>
      </c>
      <c r="E18" s="6">
        <f>IFERROR(LN(Cotacao!J19/Cotacao!J18),E17)</f>
        <v>5.9612695164994456E-3</v>
      </c>
      <c r="F18" s="6">
        <f>IFERROR(LN(Cotacao!L19/Cotacao!L18),F17)</f>
        <v>2.2160144117608523E-2</v>
      </c>
      <c r="G18" s="6">
        <f>IFERROR(LN(Cotacao!N19/Cotacao!N18),G17)</f>
        <v>1.5209418663528708E-2</v>
      </c>
      <c r="H18" s="6">
        <f>IFERROR(LN(Cotacao!P19/Cotacao!P18),H17)</f>
        <v>1.4044278077676655E-2</v>
      </c>
      <c r="I18" s="6">
        <f>IFERROR(LN(Cotacao!R19/Cotacao!R18),I17)</f>
        <v>1.6116038943413912E-3</v>
      </c>
      <c r="J18" s="6">
        <f>IFERROR(LN(Cotacao!T19/Cotacao!T18),J17)</f>
        <v>-2.9343262906095697E-2</v>
      </c>
      <c r="K18" s="6">
        <f>IFERROR(LN(Cotacao!V19/Cotacao!V18),K17)</f>
        <v>0</v>
      </c>
      <c r="L18" s="6">
        <f>IFERROR(LN(Cotacao!X19/Cotacao!X18),L17)</f>
        <v>1.8331810816609117E-3</v>
      </c>
      <c r="M18" s="6">
        <f>IFERROR(LN(Profit!B18/Profit!B17),M17)</f>
        <v>-1.0526412986987392E-2</v>
      </c>
      <c r="N18" s="6">
        <f>IFERROR(LN(Cotacao!AB19/Cotacao!AB18),N17)</f>
        <v>1.9726031225520555E-2</v>
      </c>
      <c r="O18" s="6">
        <f>IFERROR(LN(Cotacao!AD19/Cotacao!AD18),O17)</f>
        <v>3.5524016043677006E-3</v>
      </c>
      <c r="P18" s="6">
        <f>IFERROR(LN(Cotacao!AF19/Cotacao!AF18),P17)</f>
        <v>1.442377287423845E-3</v>
      </c>
      <c r="Q18" s="6">
        <f>IFERROR(LN(Cotacao!AH19/Cotacao!AH18),Q17)</f>
        <v>-5.1345553519455082E-3</v>
      </c>
      <c r="R18" s="6">
        <f>IFERROR(LN(Cotacao!AJ19/Cotacao!AJ18),R17)</f>
        <v>-1.9856597809449045E-3</v>
      </c>
      <c r="S18" s="6">
        <f>IFERROR(LN(Cotacao!AL19/Cotacao!AL18),S17)</f>
        <v>-9.5694510161506725E-3</v>
      </c>
      <c r="T18" s="6">
        <f>IFERROR(LN(Cotacao!AN19/Cotacao!AN18),T17)</f>
        <v>-5.4024982833484206E-3</v>
      </c>
      <c r="U18" s="6">
        <f>IFERROR(LN(Cotacao!AP19/Cotacao!AP18),U17)</f>
        <v>4.481468625744253E-3</v>
      </c>
      <c r="V18" s="6">
        <f>IFERROR(LN(Cotacao!AR19/Cotacao!AR18),V17)</f>
        <v>5.939771387784158E-3</v>
      </c>
      <c r="W18" s="6">
        <f>IFERROR(LN(Cotacao!AT19/Cotacao!AT18),W17)</f>
        <v>-1.6209378730054218E-2</v>
      </c>
      <c r="X18" s="6">
        <f>IFERROR(LN(Cotacao!AV19/Cotacao!AV18),X17)</f>
        <v>6.9420342947567031E-4</v>
      </c>
      <c r="Y18" s="6">
        <f>IFERROR(LN(Cotacao!AX19/Cotacao!AX18),Y17)</f>
        <v>2.52069068259106E-4</v>
      </c>
      <c r="Z18" s="6">
        <f>IFERROR(LN(Cotacao!AZ19/Cotacao!AZ18),Z17)</f>
        <v>1.2739025777429932E-2</v>
      </c>
      <c r="AA18" s="6">
        <f>IFERROR(LN(Cotacao!BB19/Cotacao!BB18),AA17)</f>
        <v>1.6623726099248653E-2</v>
      </c>
      <c r="AB18" s="6">
        <f>IFERROR(LN(Cotacao!BD19/Cotacao!BD18),AB17)</f>
        <v>-5.8944888237780148E-4</v>
      </c>
      <c r="AC18" s="6">
        <f>IFERROR(LN(Cotacao!BF19/Cotacao!BF18),AC17)</f>
        <v>-6.0668949040006484E-2</v>
      </c>
      <c r="AD18" s="6">
        <f>IFERROR(LN(Cotacao!BH19/Cotacao!BH18),AD17)</f>
        <v>9.0148710962155796E-3</v>
      </c>
      <c r="AE18" s="6">
        <f>IFERROR(LN(Cotacao!BJ19/Cotacao!BJ18),AE17)</f>
        <v>0</v>
      </c>
      <c r="AF18" s="6">
        <f>IFERROR(LN(Cotacao!BL19/Cotacao!BL18),AF17)</f>
        <v>-8.3719369793526267E-3</v>
      </c>
      <c r="AG18" s="6">
        <f>IFERROR(LN(Cotacao!BN19/Cotacao!BN18),AG17)</f>
        <v>2.3737808585008801E-2</v>
      </c>
      <c r="AH18" s="6">
        <f>IFERROR(LN(Cotacao!BP19/Cotacao!BP18),AH17)</f>
        <v>1.8204993194697089E-3</v>
      </c>
      <c r="AI18" s="6">
        <f>IFERROR(LN(Cotacao!BR19/Cotacao!BR18),AI17)</f>
        <v>1.1166947000753762E-3</v>
      </c>
      <c r="AJ18" s="6">
        <f>IFERROR(LN(Profit!C18/Profit!C17),AJ17)</f>
        <v>6.3319976375073262E-3</v>
      </c>
      <c r="AK18" s="6">
        <f>IFERROR(LN(Cotacao!BV19/Cotacao!BV18),AK17)</f>
        <v>4.7977591120823785E-3</v>
      </c>
      <c r="AL18" s="6">
        <f>IFERROR(LN(Cotacao!BX19/Cotacao!BX18),AL17)</f>
        <v>4.5399065228937229E-3</v>
      </c>
      <c r="AN18" s="20"/>
      <c r="AO18" s="22"/>
      <c r="AP18" s="23" t="s">
        <v>258</v>
      </c>
      <c r="AQ18" s="23" t="s">
        <v>259</v>
      </c>
      <c r="AS18" t="s">
        <v>291</v>
      </c>
      <c r="AT18">
        <v>501</v>
      </c>
    </row>
    <row r="19" spans="1:76">
      <c r="A19" s="3" t="str">
        <f>Cotacao!C19</f>
        <v>7/22/2019 16:56:00</v>
      </c>
      <c r="B19" s="6">
        <f>IFERROR(LN(Cotacao!D20/Cotacao!D19),B18)</f>
        <v>3.7889084569583012E-3</v>
      </c>
      <c r="C19" s="6">
        <f>IFERROR(LN(Cotacao!F20/Cotacao!F19),C18)</f>
        <v>-7.5769418409308825E-3</v>
      </c>
      <c r="D19" s="6">
        <f>IFERROR(LN(Cotacao!H20/Cotacao!H19),D18)</f>
        <v>-9.6103248997884052E-3</v>
      </c>
      <c r="E19" s="6">
        <f>IFERROR(LN(Cotacao!J20/Cotacao!J19),E18)</f>
        <v>2.9673612278020081E-3</v>
      </c>
      <c r="F19" s="6">
        <f>IFERROR(LN(Cotacao!L20/Cotacao!L19),F18)</f>
        <v>2.5451782637506749E-3</v>
      </c>
      <c r="G19" s="6">
        <f>IFERROR(LN(Cotacao!N20/Cotacao!N19),G18)</f>
        <v>5.2691126800118171E-3</v>
      </c>
      <c r="H19" s="6">
        <f>IFERROR(LN(Cotacao!P20/Cotacao!P19),H18)</f>
        <v>6.3371358267805874E-4</v>
      </c>
      <c r="I19" s="6">
        <f>IFERROR(LN(Cotacao!R20/Cotacao!R19),I18)</f>
        <v>2.4125464053839259E-3</v>
      </c>
      <c r="J19" s="6">
        <f>IFERROR(LN(Cotacao!T20/Cotacao!T19),J18)</f>
        <v>1.3978722244848711E-2</v>
      </c>
      <c r="K19" s="6">
        <f>IFERROR(LN(Cotacao!V20/Cotacao!V19),K18)</f>
        <v>9.5329606587234664E-3</v>
      </c>
      <c r="L19" s="6">
        <f>IFERROR(LN(Cotacao!X20/Cotacao!X19),L18)</f>
        <v>-1.8331810816609605E-3</v>
      </c>
      <c r="M19" s="6">
        <f>IFERROR(LN(Profit!B19/Profit!B18),M18)</f>
        <v>-3.2613155690114008E-3</v>
      </c>
      <c r="N19" s="6">
        <f>IFERROR(LN(Cotacao!AB20/Cotacao!AB19),N18)</f>
        <v>-1.5331547656271336E-3</v>
      </c>
      <c r="O19" s="6">
        <f>IFERROR(LN(Cotacao!AD20/Cotacao!AD19),O18)</f>
        <v>4.0444948965064438E-3</v>
      </c>
      <c r="P19" s="6">
        <f>IFERROR(LN(Cotacao!AF20/Cotacao!AF19),P18)</f>
        <v>-1.1306106809764183E-2</v>
      </c>
      <c r="Q19" s="6">
        <f>IFERROR(LN(Cotacao!AH20/Cotacao!AH19),Q18)</f>
        <v>-1.3242684649661185E-2</v>
      </c>
      <c r="R19" s="6">
        <f>IFERROR(LN(Cotacao!AJ20/Cotacao!AJ19),R18)</f>
        <v>2.4218484868724764E-2</v>
      </c>
      <c r="S19" s="6">
        <f>IFERROR(LN(Cotacao!AL20/Cotacao!AL19),S18)</f>
        <v>-1.1049836186584935E-2</v>
      </c>
      <c r="T19" s="6">
        <f>IFERROR(LN(Cotacao!AN20/Cotacao!AN19),T18)</f>
        <v>1.0775966344491739E-2</v>
      </c>
      <c r="U19" s="6">
        <f>IFERROR(LN(Cotacao!AP20/Cotacao!AP19),U18)</f>
        <v>9.9060581718692781E-3</v>
      </c>
      <c r="V19" s="6">
        <f>IFERROR(LN(Cotacao!AR20/Cotacao!AR19),V18)</f>
        <v>-2.5412974286726439E-3</v>
      </c>
      <c r="W19" s="6">
        <f>IFERROR(LN(Cotacao!AT20/Cotacao!AT19),W18)</f>
        <v>8.1267781799025782E-4</v>
      </c>
      <c r="X19" s="6">
        <f>IFERROR(LN(Cotacao!AV20/Cotacao!AV19),X18)</f>
        <v>-1.5278841780531757E-3</v>
      </c>
      <c r="Y19" s="6">
        <f>IFERROR(LN(Cotacao!AX20/Cotacao!AX19),Y18)</f>
        <v>2.6847906050506925E-3</v>
      </c>
      <c r="Z19" s="6">
        <f>IFERROR(LN(Cotacao!AZ20/Cotacao!AZ19),Z18)</f>
        <v>1.007565198874164E-2</v>
      </c>
      <c r="AA19" s="6">
        <f>IFERROR(LN(Cotacao!BB20/Cotacao!BB19),AA18)</f>
        <v>6.9142969489125556E-3</v>
      </c>
      <c r="AB19" s="6">
        <f>IFERROR(LN(Cotacao!BD20/Cotacao!BD19),AB18)</f>
        <v>-2.3612761856797088E-3</v>
      </c>
      <c r="AC19" s="6">
        <f>IFERROR(LN(Cotacao!BF20/Cotacao!BF19),AC18)</f>
        <v>-1.4421502315063409E-2</v>
      </c>
      <c r="AD19" s="6">
        <f>IFERROR(LN(Cotacao!BH20/Cotacao!BH19),AD18)</f>
        <v>-1.7850687417088795E-2</v>
      </c>
      <c r="AE19" s="6">
        <f>IFERROR(LN(Cotacao!BJ20/Cotacao!BJ19),AE18)</f>
        <v>-1.3131978249605835E-3</v>
      </c>
      <c r="AF19" s="6">
        <f>IFERROR(LN(Cotacao!BL20/Cotacao!BL19),AF18)</f>
        <v>-8.8534755672432558E-4</v>
      </c>
      <c r="AG19" s="6">
        <f>IFERROR(LN(Cotacao!BN20/Cotacao!BN19),AG18)</f>
        <v>-1.4616581782828661E-2</v>
      </c>
      <c r="AH19" s="6">
        <f>IFERROR(LN(Cotacao!BP20/Cotacao!BP19),AH18)</f>
        <v>1.0907108879885381E-3</v>
      </c>
      <c r="AI19" s="6">
        <f>IFERROR(LN(Cotacao!BR20/Cotacao!BR19),AI18)</f>
        <v>-1.1166947000752908E-3</v>
      </c>
      <c r="AJ19" s="6">
        <f>IFERROR(LN(Profit!C19/Profit!C18),AJ18)</f>
        <v>-9.021200431379089E-4</v>
      </c>
      <c r="AK19" s="6">
        <f>IFERROR(LN(Cotacao!BV20/Cotacao!BV19),AK18)</f>
        <v>-2.3614321989516586E-3</v>
      </c>
      <c r="AL19" s="6">
        <f>IFERROR(LN(Cotacao!BX20/Cotacao!BX19),AL18)</f>
        <v>-1.4035318116383481E-2</v>
      </c>
      <c r="AN19" s="23" t="s">
        <v>265</v>
      </c>
      <c r="AO19" s="24" t="s">
        <v>260</v>
      </c>
      <c r="AP19" s="21">
        <v>2.2499999999999999E-2</v>
      </c>
      <c r="AQ19" s="21">
        <v>2.5000000000000001E-2</v>
      </c>
      <c r="AS19" s="20" t="s">
        <v>288</v>
      </c>
      <c r="AT19" s="20">
        <v>252</v>
      </c>
    </row>
    <row r="20" spans="1:76">
      <c r="A20" s="3" t="str">
        <f>Cotacao!C20</f>
        <v>7/23/2019 16:56:00</v>
      </c>
      <c r="B20" s="6">
        <f>IFERROR(LN(Cotacao!D21/Cotacao!D20),B19)</f>
        <v>8.6068309682250585E-3</v>
      </c>
      <c r="C20" s="6">
        <f>IFERROR(LN(Cotacao!F21/Cotacao!F20),C19)</f>
        <v>-1.0397647190867786E-2</v>
      </c>
      <c r="D20" s="6">
        <f>IFERROR(LN(Cotacao!H21/Cotacao!H20),D19)</f>
        <v>7.4826645226718199E-3</v>
      </c>
      <c r="E20" s="6">
        <f>IFERROR(LN(Cotacao!J21/Cotacao!J20),E19)</f>
        <v>-2.5507759547212638E-2</v>
      </c>
      <c r="F20" s="6">
        <f>IFERROR(LN(Cotacao!L21/Cotacao!L20),F19)</f>
        <v>-6.1193459695930005E-3</v>
      </c>
      <c r="G20" s="6">
        <f>IFERROR(LN(Cotacao!N21/Cotacao!N20),G19)</f>
        <v>-1.5026298845350185E-3</v>
      </c>
      <c r="H20" s="6">
        <f>IFERROR(LN(Cotacao!P21/Cotacao!P20),H19)</f>
        <v>3.4782643763247925E-3</v>
      </c>
      <c r="I20" s="6">
        <f>IFERROR(LN(Cotacao!R21/Cotacao!R20),I19)</f>
        <v>-5.638355654266492E-3</v>
      </c>
      <c r="J20" s="6">
        <f>IFERROR(LN(Cotacao!T21/Cotacao!T20),J19)</f>
        <v>3.7303533799064093E-3</v>
      </c>
      <c r="K20" s="6">
        <f>IFERROR(LN(Cotacao!V21/Cotacao!V20),K19)</f>
        <v>-1.9157674032933145E-2</v>
      </c>
      <c r="L20" s="6">
        <f>IFERROR(LN(Cotacao!X21/Cotacao!X20),L19)</f>
        <v>-3.7292298511241682E-2</v>
      </c>
      <c r="M20" s="6">
        <f>IFERROR(LN(Profit!B20/Profit!B19),M19)</f>
        <v>7.7283280731107835E-3</v>
      </c>
      <c r="N20" s="6">
        <f>IFERROR(LN(Cotacao!AB21/Cotacao!AB20),N19)</f>
        <v>-4.6136183335127208E-3</v>
      </c>
      <c r="O20" s="6">
        <f>IFERROR(LN(Cotacao!AD21/Cotacao!AD20),O19)</f>
        <v>1.1537624850736202E-2</v>
      </c>
      <c r="P20" s="6">
        <f>IFERROR(LN(Cotacao!AF21/Cotacao!AF20),P19)</f>
        <v>1.1594332780919446E-2</v>
      </c>
      <c r="Q20" s="6">
        <f>IFERROR(LN(Cotacao!AH21/Cotacao!AH20),Q19)</f>
        <v>-2.1678419497952711E-2</v>
      </c>
      <c r="R20" s="6">
        <f>IFERROR(LN(Cotacao!AJ21/Cotacao!AJ20),R19)</f>
        <v>-2.1571813716350002E-2</v>
      </c>
      <c r="S20" s="6">
        <f>IFERROR(LN(Cotacao!AL21/Cotacao!AL20),S19)</f>
        <v>-1.6807118316381289E-2</v>
      </c>
      <c r="T20" s="6">
        <f>IFERROR(LN(Cotacao!AN21/Cotacao!AN20),T19)</f>
        <v>-5.5890085297004548E-3</v>
      </c>
      <c r="U20" s="6">
        <f>IFERROR(LN(Cotacao!AP21/Cotacao!AP20),U19)</f>
        <v>-3.5146479694239028E-3</v>
      </c>
      <c r="V20" s="6">
        <f>IFERROR(LN(Cotacao!AR21/Cotacao!AR20),V19)</f>
        <v>-8.4853632583886359E-4</v>
      </c>
      <c r="W20" s="6">
        <f>IFERROR(LN(Cotacao!AT21/Cotacao!AT20),W19)</f>
        <v>3.2441228776240246E-3</v>
      </c>
      <c r="X20" s="6">
        <f>IFERROR(LN(Cotacao!AV21/Cotacao!AV20),X19)</f>
        <v>-4.1788610749668329E-3</v>
      </c>
      <c r="Y20" s="6">
        <f>IFERROR(LN(Cotacao!AX21/Cotacao!AX20),Y19)</f>
        <v>2.7611614413280655E-3</v>
      </c>
      <c r="Z20" s="6">
        <f>IFERROR(LN(Cotacao!AZ21/Cotacao!AZ20),Z19)</f>
        <v>6.3127752034553272E-2</v>
      </c>
      <c r="AA20" s="6">
        <f>IFERROR(LN(Cotacao!BB21/Cotacao!BB20),AA19)</f>
        <v>2.5254133000214688E-3</v>
      </c>
      <c r="AB20" s="6">
        <f>IFERROR(LN(Cotacao!BD21/Cotacao!BD20),AB19)</f>
        <v>-1.4885657415374636E-2</v>
      </c>
      <c r="AC20" s="6">
        <f>IFERROR(LN(Cotacao!BF21/Cotacao!BF20),AC19)</f>
        <v>-2.7122933459737458E-2</v>
      </c>
      <c r="AD20" s="6">
        <f>IFERROR(LN(Cotacao!BH21/Cotacao!BH20),AD19)</f>
        <v>9.6117118725358632E-3</v>
      </c>
      <c r="AE20" s="6">
        <f>IFERROR(LN(Cotacao!BJ21/Cotacao!BJ20),AE19)</f>
        <v>1.7068211325424415E-3</v>
      </c>
      <c r="AF20" s="6">
        <f>IFERROR(LN(Cotacao!BL21/Cotacao!BL20),AF19)</f>
        <v>1.8429657207633815E-2</v>
      </c>
      <c r="AG20" s="6">
        <f>IFERROR(LN(Cotacao!BN21/Cotacao!BN20),AG19)</f>
        <v>4.2753869578670466E-2</v>
      </c>
      <c r="AH20" s="6">
        <f>IFERROR(LN(Cotacao!BP21/Cotacao!BP20),AH19)</f>
        <v>-6.1964841971526271E-3</v>
      </c>
      <c r="AI20" s="6">
        <f>IFERROR(LN(Cotacao!BR21/Cotacao!BR20),AI19)</f>
        <v>2.0459657543206042E-2</v>
      </c>
      <c r="AJ20" s="6">
        <f>IFERROR(LN(Profit!C20/Profit!C19),AJ19)</f>
        <v>-1.8066852249489244E-3</v>
      </c>
      <c r="AK20" s="6">
        <f>IFERROR(LN(Cotacao!BV21/Cotacao!BV20),AK19)</f>
        <v>3.9962748509681538E-3</v>
      </c>
      <c r="AL20" s="6">
        <f>IFERROR(LN(Cotacao!BX21/Cotacao!BX20),AL19)</f>
        <v>-2.8675799976666309E-2</v>
      </c>
      <c r="AN20" s="23" t="s">
        <v>266</v>
      </c>
      <c r="AO20" s="24" t="s">
        <v>261</v>
      </c>
      <c r="AP20" s="25">
        <v>0.08</v>
      </c>
      <c r="AQ20" s="21">
        <v>6.7000000000000004E-2</v>
      </c>
      <c r="AS20" s="8" t="s">
        <v>289</v>
      </c>
      <c r="AT20" s="20">
        <f>AT19/2</f>
        <v>126</v>
      </c>
    </row>
    <row r="21" spans="1:76">
      <c r="A21" s="3" t="str">
        <f>Cotacao!C21</f>
        <v>7/24/2019 16:56:00</v>
      </c>
      <c r="B21" s="6">
        <f>IFERROR(LN(Cotacao!D22/Cotacao!D21),B20)</f>
        <v>-2.7696584380484075E-2</v>
      </c>
      <c r="C21" s="6">
        <f>IFERROR(LN(Cotacao!F22/Cotacao!F21),C20)</f>
        <v>-1.2303908042511061E-3</v>
      </c>
      <c r="D21" s="6">
        <f>IFERROR(LN(Cotacao!H22/Cotacao!H21),D20)</f>
        <v>-4.6968489419372027E-3</v>
      </c>
      <c r="E21" s="6">
        <f>IFERROR(LN(Cotacao!J22/Cotacao!J21),E20)</f>
        <v>-3.044142381228244E-3</v>
      </c>
      <c r="F21" s="6">
        <f>IFERROR(LN(Cotacao!L22/Cotacao!L21),F20)</f>
        <v>-2.485886681904715E-2</v>
      </c>
      <c r="G21" s="6">
        <f>IFERROR(LN(Cotacao!N22/Cotacao!N21),G20)</f>
        <v>-3.053672386008165E-2</v>
      </c>
      <c r="H21" s="6">
        <f>IFERROR(LN(Cotacao!P22/Cotacao!P21),H20)</f>
        <v>-3.0120828835775371E-2</v>
      </c>
      <c r="I21" s="6">
        <f>IFERROR(LN(Cotacao!R22/Cotacao!R21),I20)</f>
        <v>5.6383556542663584E-3</v>
      </c>
      <c r="J21" s="6">
        <f>IFERROR(LN(Cotacao!T22/Cotacao!T21),J20)</f>
        <v>-1.0695289116747919E-2</v>
      </c>
      <c r="K21" s="6">
        <f>IFERROR(LN(Cotacao!V22/Cotacao!V21),K20)</f>
        <v>1.9323677510538603E-3</v>
      </c>
      <c r="L21" s="6">
        <f>IFERROR(LN(Cotacao!X22/Cotacao!X21),L20)</f>
        <v>2.9833356981579962E-2</v>
      </c>
      <c r="M21" s="6">
        <f>IFERROR(LN(Profit!B21/Profit!B20),M20)</f>
        <v>9.2761302369020384E-3</v>
      </c>
      <c r="N21" s="6">
        <f>IFERROR(LN(Cotacao!AB22/Cotacao!AB21),N20)</f>
        <v>-9.6806177107235068E-3</v>
      </c>
      <c r="O21" s="6">
        <f>IFERROR(LN(Cotacao!AD22/Cotacao!AD21),O20)</f>
        <v>-4.9887753591420071E-4</v>
      </c>
      <c r="P21" s="6">
        <f>IFERROR(LN(Cotacao!AF22/Cotacao!AF21),P20)</f>
        <v>-1.7442302663342485E-2</v>
      </c>
      <c r="Q21" s="6">
        <f>IFERROR(LN(Cotacao!AH22/Cotacao!AH21),Q20)</f>
        <v>-3.1639338238679902E-3</v>
      </c>
      <c r="R21" s="6">
        <f>IFERROR(LN(Cotacao!AJ22/Cotacao!AJ21),R20)</f>
        <v>-9.738899461866608E-3</v>
      </c>
      <c r="S21" s="6">
        <f>IFERROR(LN(Cotacao!AL22/Cotacao!AL21),S20)</f>
        <v>-1.1363758650315095E-2</v>
      </c>
      <c r="T21" s="6">
        <f>IFERROR(LN(Cotacao!AN22/Cotacao!AN21),T20)</f>
        <v>7.7303369710436977E-3</v>
      </c>
      <c r="U21" s="6">
        <f>IFERROR(LN(Cotacao!AP22/Cotacao!AP21),U20)</f>
        <v>-1.5800252657814678E-2</v>
      </c>
      <c r="V21" s="6">
        <f>IFERROR(LN(Cotacao!AR22/Cotacao!AR21),V20)</f>
        <v>-8.4925695125525041E-4</v>
      </c>
      <c r="W21" s="6">
        <f>IFERROR(LN(Cotacao!AT22/Cotacao!AT21),W20)</f>
        <v>-4.0568006956144299E-3</v>
      </c>
      <c r="X21" s="6">
        <f>IFERROR(LN(Cotacao!AV22/Cotacao!AV21),X20)</f>
        <v>-9.1145551412165765E-3</v>
      </c>
      <c r="Y21" s="6">
        <f>IFERROR(LN(Cotacao!AX22/Cotacao!AX21),Y20)</f>
        <v>1.7531414933950949E-3</v>
      </c>
      <c r="Z21" s="6">
        <f>IFERROR(LN(Cotacao!AZ22/Cotacao!AZ21),Z20)</f>
        <v>-1.1834457647002796E-2</v>
      </c>
      <c r="AA21" s="6">
        <f>IFERROR(LN(Cotacao!BB22/Cotacao!BB21),AA20)</f>
        <v>6.9337202185370216E-4</v>
      </c>
      <c r="AB21" s="6">
        <f>IFERROR(LN(Cotacao!BD22/Cotacao!BD21),AB20)</f>
        <v>-1.0856560191195269E-2</v>
      </c>
      <c r="AC21" s="6">
        <f>IFERROR(LN(Cotacao!BF22/Cotacao!BF21),AC20)</f>
        <v>2.0987944892221611E-2</v>
      </c>
      <c r="AD21" s="6">
        <f>IFERROR(LN(Cotacao!BH22/Cotacao!BH21),AD20)</f>
        <v>-7.2652109914124133E-3</v>
      </c>
      <c r="AE21" s="6">
        <f>IFERROR(LN(Cotacao!BJ22/Cotacao!BJ21),AE20)</f>
        <v>-1.620030801932891E-2</v>
      </c>
      <c r="AF21" s="6">
        <f>IFERROR(LN(Cotacao!BL22/Cotacao!BL21),AF20)</f>
        <v>-9.1723726715568828E-3</v>
      </c>
      <c r="AG21" s="6">
        <f>IFERROR(LN(Cotacao!BN22/Cotacao!BN21),AG20)</f>
        <v>-1.4923882337450215E-2</v>
      </c>
      <c r="AH21" s="6">
        <f>IFERROR(LN(Cotacao!BP22/Cotacao!BP21),AH20)</f>
        <v>-1.696205858721694E-2</v>
      </c>
      <c r="AI21" s="6">
        <f>IFERROR(LN(Cotacao!BR22/Cotacao!BR21),AI20)</f>
        <v>-2.6061913091875812E-2</v>
      </c>
      <c r="AJ21" s="6">
        <f>IFERROR(LN(Profit!C21/Profit!C20),AJ20)</f>
        <v>1.8066852249490513E-3</v>
      </c>
      <c r="AK21" s="6">
        <f>IFERROR(LN(Cotacao!BV22/Cotacao!BV21),AK20)</f>
        <v>-1.4169902035012389E-2</v>
      </c>
      <c r="AL21" s="6">
        <f>IFERROR(LN(Cotacao!BX22/Cotacao!BX21),AL20)</f>
        <v>-4.738481619937865E-3</v>
      </c>
      <c r="AN21" s="20"/>
      <c r="AO21" s="23" t="s">
        <v>262</v>
      </c>
      <c r="AP21" s="21"/>
      <c r="AQ21" s="21">
        <v>2.3E-2</v>
      </c>
      <c r="AS21" s="20" t="s">
        <v>290</v>
      </c>
      <c r="AT21" s="20">
        <f>AT20/2</f>
        <v>63</v>
      </c>
    </row>
    <row r="22" spans="1:76">
      <c r="A22" s="3" t="str">
        <f>Cotacao!C22</f>
        <v>7/25/2019 16:56:00</v>
      </c>
      <c r="B22" s="6">
        <f>IFERROR(LN(Cotacao!D23/Cotacao!D22),B21)</f>
        <v>7.6796866742281358E-3</v>
      </c>
      <c r="C22" s="6">
        <f>IFERROR(LN(Cotacao!F23/Cotacao!F22),C21)</f>
        <v>3.3799386916529926E-3</v>
      </c>
      <c r="D22" s="6">
        <f>IFERROR(LN(Cotacao!H23/Cotacao!H22),D21)</f>
        <v>2.2848465925677401E-2</v>
      </c>
      <c r="E22" s="6">
        <f>IFERROR(LN(Cotacao!J23/Cotacao!J22),E21)</f>
        <v>-9.9579528334346815E-3</v>
      </c>
      <c r="F22" s="6">
        <f>IFERROR(LN(Cotacao!L23/Cotacao!L22),F21)</f>
        <v>9.9139867576517587E-3</v>
      </c>
      <c r="G22" s="6">
        <f>IFERROR(LN(Cotacao!N23/Cotacao!N22),G21)</f>
        <v>8.490981156787359E-3</v>
      </c>
      <c r="H22" s="6">
        <f>IFERROR(LN(Cotacao!P23/Cotacao!P22),H21)</f>
        <v>1.1643081074738812E-2</v>
      </c>
      <c r="I22" s="6">
        <f>IFERROR(LN(Cotacao!R23/Cotacao!R22),I21)</f>
        <v>-4.0241502997253797E-3</v>
      </c>
      <c r="J22" s="6">
        <f>IFERROR(LN(Cotacao!T23/Cotacao!T22),J21)</f>
        <v>3.8496712501083802E-2</v>
      </c>
      <c r="K22" s="6">
        <f>IFERROR(LN(Cotacao!V23/Cotacao!V22),K21)</f>
        <v>3.8535693159899723E-3</v>
      </c>
      <c r="L22" s="6">
        <f>IFERROR(LN(Cotacao!X23/Cotacao!X22),L21)</f>
        <v>1.6591425092934105E-2</v>
      </c>
      <c r="M22" s="6">
        <f>IFERROR(LN(Profit!B22/Profit!B21),M21)</f>
        <v>-4.4256761031525715E-3</v>
      </c>
      <c r="N22" s="6">
        <f>IFERROR(LN(Cotacao!AB23/Cotacao!AB22),N21)</f>
        <v>-3.7665502886474786E-2</v>
      </c>
      <c r="O22" s="6">
        <f>IFERROR(LN(Cotacao!AD23/Cotacao!AD22),O21)</f>
        <v>-7.0105444862174123E-3</v>
      </c>
      <c r="P22" s="6">
        <f>IFERROR(LN(Cotacao!AF23/Cotacao!AF22),P21)</f>
        <v>-7.0630075844818879E-3</v>
      </c>
      <c r="Q22" s="6">
        <f>IFERROR(LN(Cotacao!AH23/Cotacao!AH22),Q21)</f>
        <v>-5.1628391088711263E-3</v>
      </c>
      <c r="R22" s="6">
        <f>IFERROR(LN(Cotacao!AJ23/Cotacao!AJ22),R21)</f>
        <v>-5.7997039659124817E-3</v>
      </c>
      <c r="S22" s="6">
        <f>IFERROR(LN(Cotacao!AL23/Cotacao!AL22),S21)</f>
        <v>-7.168489478612516E-3</v>
      </c>
      <c r="T22" s="6">
        <f>IFERROR(LN(Cotacao!AN23/Cotacao!AN22),T21)</f>
        <v>4.2689499195760145E-3</v>
      </c>
      <c r="U22" s="6">
        <f>IFERROR(LN(Cotacao!AP23/Cotacao!AP22),U21)</f>
        <v>6.8746292389822369E-3</v>
      </c>
      <c r="V22" s="6">
        <f>IFERROR(LN(Cotacao!AR23/Cotacao!AR22),V21)</f>
        <v>3.3927089370857089E-3</v>
      </c>
      <c r="W22" s="6">
        <f>IFERROR(LN(Cotacao!AT23/Cotacao!AT22),W21)</f>
        <v>4.0642146464744977E-4</v>
      </c>
      <c r="X22" s="6">
        <f>IFERROR(LN(Cotacao!AV23/Cotacao!AV22),X21)</f>
        <v>7.9972365892239921E-3</v>
      </c>
      <c r="Y22" s="6">
        <f>IFERROR(LN(Cotacao!AX23/Cotacao!AX22),Y21)</f>
        <v>9.1708706248373067E-4</v>
      </c>
      <c r="Z22" s="6">
        <f>IFERROR(LN(Cotacao!AZ23/Cotacao!AZ22),Z21)</f>
        <v>-4.1318149330730976E-2</v>
      </c>
      <c r="AA22" s="6">
        <f>IFERROR(LN(Cotacao!BB23/Cotacao!BB22),AA21)</f>
        <v>1.2594460103070671E-3</v>
      </c>
      <c r="AB22" s="6">
        <f>IFERROR(LN(Cotacao!BD23/Cotacao!BD22),AB21)</f>
        <v>-6.0827438157690841E-3</v>
      </c>
      <c r="AC22" s="6">
        <f>IFERROR(LN(Cotacao!BF23/Cotacao!BF22),AC21)</f>
        <v>6.1349885675159293E-3</v>
      </c>
      <c r="AD22" s="6">
        <f>IFERROR(LN(Cotacao!BH23/Cotacao!BH22),AD21)</f>
        <v>-9.1563752859863679E-3</v>
      </c>
      <c r="AE22" s="6">
        <f>IFERROR(LN(Cotacao!BJ23/Cotacao!BJ22),AE21)</f>
        <v>1.3178562305477428E-2</v>
      </c>
      <c r="AF22" s="6">
        <f>IFERROR(LN(Cotacao!BL23/Cotacao!BL22),AF21)</f>
        <v>2.4703314702433435E-2</v>
      </c>
      <c r="AG22" s="6">
        <f>IFERROR(LN(Cotacao!BN23/Cotacao!BN22),AG21)</f>
        <v>5.7115814479510021E-3</v>
      </c>
      <c r="AH22" s="6">
        <f>IFERROR(LN(Cotacao!BP23/Cotacao!BP22),AH21)</f>
        <v>-2.8287762084697382E-2</v>
      </c>
      <c r="AI22" s="6">
        <f>IFERROR(LN(Cotacao!BR23/Cotacao!BR22),AI21)</f>
        <v>-2.2497197340154416E-3</v>
      </c>
      <c r="AJ22" s="6">
        <f>IFERROR(LN(Profit!C22/Profit!C21),AJ21)</f>
        <v>1.8034269991507267E-3</v>
      </c>
      <c r="AK22" s="6">
        <f>IFERROR(LN(Cotacao!BV23/Cotacao!BV22),AK21)</f>
        <v>1.5997199351783975E-3</v>
      </c>
      <c r="AL22" s="6">
        <f>IFERROR(LN(Cotacao!BX23/Cotacao!BX22),AL21)</f>
        <v>2.2756987122616278E-2</v>
      </c>
      <c r="AN22" s="20"/>
      <c r="AO22" s="23" t="s">
        <v>263</v>
      </c>
      <c r="AP22" s="21"/>
      <c r="AQ22" s="21">
        <v>0.04</v>
      </c>
    </row>
    <row r="23" spans="1:76">
      <c r="A23" s="3" t="str">
        <f>Cotacao!C23</f>
        <v>7/26/2019 16:56:00</v>
      </c>
      <c r="B23" s="6">
        <f>IFERROR(LN(Cotacao!D24/Cotacao!D23),B22)</f>
        <v>0</v>
      </c>
      <c r="C23" s="6">
        <f>IFERROR(LN(Cotacao!F24/Cotacao!F23),C22)</f>
        <v>3.0670142856569426E-4</v>
      </c>
      <c r="D23" s="6">
        <f>IFERROR(LN(Cotacao!H24/Cotacao!H23),D22)</f>
        <v>1.4947340779112882E-2</v>
      </c>
      <c r="E23" s="6">
        <f>IFERROR(LN(Cotacao!J24/Cotacao!J23),E22)</f>
        <v>-1.551621509175689E-2</v>
      </c>
      <c r="F23" s="6">
        <f>IFERROR(LN(Cotacao!L24/Cotacao!L23),F22)</f>
        <v>2.0746895408602969E-3</v>
      </c>
      <c r="G23" s="6">
        <f>IFERROR(LN(Cotacao!N24/Cotacao!N23),G22)</f>
        <v>-1.538461841905731E-3</v>
      </c>
      <c r="H23" s="6">
        <f>IFERROR(LN(Cotacao!P24/Cotacao!P23),H22)</f>
        <v>6.4288012500235208E-4</v>
      </c>
      <c r="I23" s="6">
        <f>IFERROR(LN(Cotacao!R24/Cotacao!R23),I22)</f>
        <v>4.0314453277300304E-4</v>
      </c>
      <c r="J23" s="6">
        <f>IFERROR(LN(Cotacao!T24/Cotacao!T23),J22)</f>
        <v>1.3360938736209913E-2</v>
      </c>
      <c r="K23" s="6">
        <f>IFERROR(LN(Cotacao!V24/Cotacao!V23),K22)</f>
        <v>-3.8535693159900777E-3</v>
      </c>
      <c r="L23" s="6">
        <f>IFERROR(LN(Cotacao!X24/Cotacao!X23),L22)</f>
        <v>3.6297680505787311E-3</v>
      </c>
      <c r="M23" s="6">
        <f>IFERROR(LN(Profit!B23/Profit!B22),M22)</f>
        <v>1.1625707207394453E-2</v>
      </c>
      <c r="N23" s="6">
        <f>IFERROR(LN(Cotacao!AB24/Cotacao!AB23),N22)</f>
        <v>-1.1786358755672976E-2</v>
      </c>
      <c r="O23" s="6">
        <f>IFERROR(LN(Cotacao!AD24/Cotacao!AD23),O22)</f>
        <v>4.5124167818619927E-3</v>
      </c>
      <c r="P23" s="6">
        <f>IFERROR(LN(Cotacao!AF24/Cotacao!AF23),P22)</f>
        <v>-1.4876799214443199E-2</v>
      </c>
      <c r="Q23" s="6">
        <f>IFERROR(LN(Cotacao!AH24/Cotacao!AH23),Q22)</f>
        <v>5.9707435349287653E-4</v>
      </c>
      <c r="R23" s="6">
        <f>IFERROR(LN(Cotacao!AJ24/Cotacao!AJ23),R22)</f>
        <v>-9.6662548754735036E-3</v>
      </c>
      <c r="S23" s="6">
        <f>IFERROR(LN(Cotacao!AL24/Cotacao!AL23),S22)</f>
        <v>-1.888218772132998E-2</v>
      </c>
      <c r="T23" s="6">
        <f>IFERROR(LN(Cotacao!AN24/Cotacao!AN23),T22)</f>
        <v>1.0643960557865011E-3</v>
      </c>
      <c r="U23" s="6">
        <f>IFERROR(LN(Cotacao!AP24/Cotacao!AP23),U22)</f>
        <v>-1.1313011396999242E-2</v>
      </c>
      <c r="V23" s="6">
        <f>IFERROR(LN(Cotacao!AR24/Cotacao!AR23),V22)</f>
        <v>2.5369992465886526E-3</v>
      </c>
      <c r="W23" s="6">
        <f>IFERROR(LN(Cotacao!AT24/Cotacao!AT23),W22)</f>
        <v>-4.4715836202963224E-3</v>
      </c>
      <c r="X23" s="6">
        <f>IFERROR(LN(Cotacao!AV24/Cotacao!AV23),X22)</f>
        <v>6.1298603755367892E-3</v>
      </c>
      <c r="Y23" s="6">
        <f>IFERROR(LN(Cotacao!AX24/Cotacao!AX23),Y22)</f>
        <v>3.0785896095974338E-3</v>
      </c>
      <c r="Z23" s="6">
        <f>IFERROR(LN(Cotacao!AZ24/Cotacao!AZ23),Z22)</f>
        <v>2.9341958284015375E-2</v>
      </c>
      <c r="AA23" s="6">
        <f>IFERROR(LN(Cotacao!BB24/Cotacao!BB23),AA22)</f>
        <v>5.3350197149737884E-3</v>
      </c>
      <c r="AB23" s="6">
        <f>IFERROR(LN(Cotacao!BD24/Cotacao!BD23),AB22)</f>
        <v>1.3935396671563786E-2</v>
      </c>
      <c r="AC23" s="6">
        <f>IFERROR(LN(Cotacao!BF24/Cotacao!BF23),AC22)</f>
        <v>-1.2307847674596814E-2</v>
      </c>
      <c r="AD23" s="6">
        <f>IFERROR(LN(Cotacao!BH24/Cotacao!BH23),AD22)</f>
        <v>2.6709742866887161E-2</v>
      </c>
      <c r="AE23" s="6">
        <f>IFERROR(LN(Cotacao!BJ24/Cotacao!BJ23),AE22)</f>
        <v>4.2671983346104069E-3</v>
      </c>
      <c r="AF23" s="6">
        <f>IFERROR(LN(Cotacao!BL24/Cotacao!BL23),AF22)</f>
        <v>9.3737371491985147E-3</v>
      </c>
      <c r="AG23" s="6">
        <f>IFERROR(LN(Cotacao!BN24/Cotacao!BN23),AG22)</f>
        <v>1.132621829442796E-2</v>
      </c>
      <c r="AH23" s="6">
        <f>IFERROR(LN(Cotacao!BP24/Cotacao!BP23),AH22)</f>
        <v>9.139439093092493E-3</v>
      </c>
      <c r="AI23" s="6">
        <f>IFERROR(LN(Cotacao!BR24/Cotacao!BR23),AI22)</f>
        <v>-5.6465423882101603E-3</v>
      </c>
      <c r="AJ23" s="6">
        <f>IFERROR(LN(Profit!C23/Profit!C22),AJ22)</f>
        <v>4.4943895878392674E-3</v>
      </c>
      <c r="AK23" s="6">
        <f>IFERROR(LN(Cotacao!BV24/Cotacao!BV23),AK22)</f>
        <v>6.4342924965770983E-3</v>
      </c>
      <c r="AL23" s="6">
        <f>IFERROR(LN(Cotacao!BX24/Cotacao!BX23),AL22)</f>
        <v>2.5389234004819378E-2</v>
      </c>
      <c r="AN23" s="20"/>
      <c r="AO23" s="23" t="s">
        <v>264</v>
      </c>
      <c r="AP23" s="21"/>
      <c r="AQ23" s="21">
        <v>2.1999999999999999E-2</v>
      </c>
    </row>
    <row r="24" spans="1:76">
      <c r="A24" s="3" t="str">
        <f>Cotacao!C24</f>
        <v>7/29/2019 16:56:00</v>
      </c>
      <c r="B24" s="6">
        <f>IFERROR(LN(Cotacao!D25/Cotacao!D24),B23)</f>
        <v>-2.1881846805527827E-3</v>
      </c>
      <c r="C24" s="6">
        <f>IFERROR(LN(Cotacao!F25/Cotacao!F24),C23)</f>
        <v>-2.7637051216178555E-3</v>
      </c>
      <c r="D24" s="6">
        <f>IFERROR(LN(Cotacao!H25/Cotacao!H24),D23)</f>
        <v>6.5722150716669477E-3</v>
      </c>
      <c r="E24" s="6">
        <f>IFERROR(LN(Cotacao!J25/Cotacao!J24),E23)</f>
        <v>3.3067218832788944E-2</v>
      </c>
      <c r="F24" s="6">
        <f>IFERROR(LN(Cotacao!L25/Cotacao!L24),F23)</f>
        <v>-1.0368067284402492E-3</v>
      </c>
      <c r="G24" s="6">
        <f>IFERROR(LN(Cotacao!N25/Cotacao!N24),G23)</f>
        <v>-1.6298381733119531E-2</v>
      </c>
      <c r="H24" s="6">
        <f>IFERROR(LN(Cotacao!P25/Cotacao!P24),H23)</f>
        <v>-2.4395420252533485E-2</v>
      </c>
      <c r="I24" s="6">
        <f>IFERROR(LN(Cotacao!R25/Cotacao!R24),I23)</f>
        <v>-4.0314453277301958E-4</v>
      </c>
      <c r="J24" s="6">
        <f>IFERROR(LN(Cotacao!T25/Cotacao!T24),J23)</f>
        <v>2.3708550577340025E-2</v>
      </c>
      <c r="K24" s="6">
        <f>IFERROR(LN(Cotacao!V25/Cotacao!V24),K23)</f>
        <v>2.2901764286684414E-2</v>
      </c>
      <c r="L24" s="6">
        <f>IFERROR(LN(Cotacao!X25/Cotacao!X24),L23)</f>
        <v>1.5281196235119084E-2</v>
      </c>
      <c r="M24" s="6">
        <f>IFERROR(LN(Profit!B24/Profit!B23),M23)</f>
        <v>-1.283611687706275E-2</v>
      </c>
      <c r="N24" s="6">
        <f>IFERROR(LN(Cotacao!AB25/Cotacao!AB24),N23)</f>
        <v>1.6339872916549549E-3</v>
      </c>
      <c r="O24" s="6">
        <f>IFERROR(LN(Cotacao!AD25/Cotacao!AD24),O23)</f>
        <v>5.9850552722520017E-3</v>
      </c>
      <c r="P24" s="6">
        <f>IFERROR(LN(Cotacao!AF25/Cotacao!AF24),P23)</f>
        <v>1.1622839827992859E-2</v>
      </c>
      <c r="Q24" s="6">
        <f>IFERROR(LN(Cotacao!AH25/Cotacao!AH24),Q23)</f>
        <v>-4.9865466846338146E-3</v>
      </c>
      <c r="R24" s="6">
        <f>IFERROR(LN(Cotacao!AJ25/Cotacao!AJ24),R23)</f>
        <v>-1.5824576603972534E-3</v>
      </c>
      <c r="S24" s="6">
        <f>IFERROR(LN(Cotacao!AL25/Cotacao!AL24),S23)</f>
        <v>2.4621084390348137E-2</v>
      </c>
      <c r="T24" s="6">
        <f>IFERROR(LN(Cotacao!AN25/Cotacao!AN24),T23)</f>
        <v>5.3050522296930981E-3</v>
      </c>
      <c r="U24" s="6">
        <f>IFERROR(LN(Cotacao!AP25/Cotacao!AP24),U23)</f>
        <v>-8.1598047764821092E-3</v>
      </c>
      <c r="V24" s="6">
        <f>IFERROR(LN(Cotacao!AR25/Cotacao!AR24),V23)</f>
        <v>7.572606653965086E-3</v>
      </c>
      <c r="W24" s="6">
        <f>IFERROR(LN(Cotacao!AT25/Cotacao!AT24),W23)</f>
        <v>-4.1640981859180195E-4</v>
      </c>
      <c r="X24" s="6">
        <f>IFERROR(LN(Cotacao!AV25/Cotacao!AV24),X23)</f>
        <v>2.21975673831281E-3</v>
      </c>
      <c r="Y24" s="6">
        <f>IFERROR(LN(Cotacao!AX25/Cotacao!AX24),Y23)</f>
        <v>6.6439666923696363E-4</v>
      </c>
      <c r="Z24" s="6">
        <f>IFERROR(LN(Cotacao!AZ25/Cotacao!AZ24),Z23)</f>
        <v>-2.4125464053841011E-3</v>
      </c>
      <c r="AA24" s="6">
        <f>IFERROR(LN(Cotacao!BB25/Cotacao!BB24),AA23)</f>
        <v>3.1294007453015608E-4</v>
      </c>
      <c r="AB24" s="6">
        <f>IFERROR(LN(Cotacao!BD25/Cotacao!BD24),AB23)</f>
        <v>2.4038473113944595E-3</v>
      </c>
      <c r="AC24" s="6">
        <f>IFERROR(LN(Cotacao!BF25/Cotacao!BF24),AC23)</f>
        <v>-2.1119283180926568E-2</v>
      </c>
      <c r="AD24" s="6">
        <f>IFERROR(LN(Cotacao!BH25/Cotacao!BH24),AD23)</f>
        <v>1.0183387390698871E-2</v>
      </c>
      <c r="AE24" s="6">
        <f>IFERROR(LN(Cotacao!BJ25/Cotacao!BJ24),AE23)</f>
        <v>1.3093291559566687E-3</v>
      </c>
      <c r="AF24" s="6">
        <f>IFERROR(LN(Cotacao!BL25/Cotacao!BL24),AF23)</f>
        <v>1.7654935238720745E-2</v>
      </c>
      <c r="AG24" s="6">
        <f>IFERROR(LN(Cotacao!BN25/Cotacao!BN24),AG23)</f>
        <v>1.1895183989280852E-2</v>
      </c>
      <c r="AH24" s="6">
        <f>IFERROR(LN(Cotacao!BP25/Cotacao!BP24),AH23)</f>
        <v>-5.3211832132802721E-3</v>
      </c>
      <c r="AI24" s="6">
        <f>IFERROR(LN(Cotacao!BR25/Cotacao!BR24),AI23)</f>
        <v>1.0140931976049435E-2</v>
      </c>
      <c r="AJ24" s="6">
        <f>IFERROR(LN(Profit!C24/Profit!C23),AJ23)</f>
        <v>-1.2635547171539229E-2</v>
      </c>
      <c r="AK24" s="6">
        <f>IFERROR(LN(Cotacao!BV25/Cotacao!BV24),AK23)</f>
        <v>-5.3278130152811009E-3</v>
      </c>
      <c r="AL24" s="6">
        <f>IFERROR(LN(Cotacao!BX25/Cotacao!BX24),AL23)</f>
        <v>-1.7424642847448282E-3</v>
      </c>
    </row>
    <row r="25" spans="1:76" ht="14.4" customHeight="1">
      <c r="A25" s="3" t="str">
        <f>Cotacao!C25</f>
        <v>7/30/2019 16:56:00</v>
      </c>
      <c r="B25" s="6">
        <f>IFERROR(LN(Cotacao!D26/Cotacao!D25),B24)</f>
        <v>-1.8237587549781015E-2</v>
      </c>
      <c r="C25" s="6">
        <f>IFERROR(LN(Cotacao!F26/Cotacao!F25),C24)</f>
        <v>-2.1548415295108677E-3</v>
      </c>
      <c r="D25" s="6">
        <f>IFERROR(LN(Cotacao!H26/Cotacao!H25),D24)</f>
        <v>-1.1944128816390179E-2</v>
      </c>
      <c r="E25" s="6">
        <f>IFERROR(LN(Cotacao!J26/Cotacao!J25),E24)</f>
        <v>2.2667180086910102E-3</v>
      </c>
      <c r="F25" s="6">
        <f>IFERROR(LN(Cotacao!L26/Cotacao!L25),F24)</f>
        <v>5.1853773523815314E-4</v>
      </c>
      <c r="G25" s="6">
        <f>IFERROR(LN(Cotacao!N26/Cotacao!N25),G24)</f>
        <v>-2.4555689257443565E-2</v>
      </c>
      <c r="H25" s="6">
        <f>IFERROR(LN(Cotacao!P26/Cotacao!P25),H24)</f>
        <v>-1.5596798661016688E-2</v>
      </c>
      <c r="I25" s="6">
        <f>IFERROR(LN(Cotacao!R26/Cotacao!R25),I24)</f>
        <v>-6.87844103849004E-3</v>
      </c>
      <c r="J25" s="6">
        <f>IFERROR(LN(Cotacao!T26/Cotacao!T25),J24)</f>
        <v>1.0907396189193171E-2</v>
      </c>
      <c r="K25" s="6">
        <f>IFERROR(LN(Cotacao!V26/Cotacao!V25),K24)</f>
        <v>1.8850146957712041E-3</v>
      </c>
      <c r="L25" s="6">
        <f>IFERROR(LN(Cotacao!X26/Cotacao!X25),L24)</f>
        <v>1.6807118316381191E-2</v>
      </c>
      <c r="M25" s="6">
        <f>IFERROR(LN(Profit!B25/Profit!B24),M24)</f>
        <v>6.4386540341984273E-3</v>
      </c>
      <c r="N25" s="6">
        <f>IFERROR(LN(Cotacao!AB26/Cotacao!AB25),N24)</f>
        <v>-1.2320484388040624E-2</v>
      </c>
      <c r="O25" s="6">
        <f>IFERROR(LN(Cotacao!AD26/Cotacao!AD25),O24)</f>
        <v>-4.5786227004095299E-2</v>
      </c>
      <c r="P25" s="6">
        <f>IFERROR(LN(Cotacao!AF26/Cotacao!AF25),P24)</f>
        <v>-1.1858880725694649E-3</v>
      </c>
      <c r="Q25" s="6">
        <f>IFERROR(LN(Cotacao!AH26/Cotacao!AH25),Q24)</f>
        <v>-4.0072183456202086E-3</v>
      </c>
      <c r="R25" s="6">
        <f>IFERROR(LN(Cotacao!AJ26/Cotacao!AJ25),R24)</f>
        <v>1.7937700686667252E-2</v>
      </c>
      <c r="S25" s="6">
        <f>IFERROR(LN(Cotacao!AL26/Cotacao!AL25),S24)</f>
        <v>1.5614227801550798E-2</v>
      </c>
      <c r="T25" s="6">
        <f>IFERROR(LN(Cotacao!AN26/Cotacao!AN25),T24)</f>
        <v>2.6008045905754333E-2</v>
      </c>
      <c r="U25" s="6">
        <f>IFERROR(LN(Cotacao!AP26/Cotacao!AP25),U24)</f>
        <v>8.6206901890532428E-4</v>
      </c>
      <c r="V25" s="6">
        <f>IFERROR(LN(Cotacao!AR26/Cotacao!AR25),V24)</f>
        <v>2.511512412660994E-3</v>
      </c>
      <c r="W25" s="6">
        <f>IFERROR(LN(Cotacao!AT26/Cotacao!AT25),W24)</f>
        <v>8.5383726698550436E-3</v>
      </c>
      <c r="X25" s="6">
        <f>IFERROR(LN(Cotacao!AV26/Cotacao!AV25),X24)</f>
        <v>4.0107930123232868E-3</v>
      </c>
      <c r="Y25" s="6">
        <f>IFERROR(LN(Cotacao!AX26/Cotacao!AX25),Y24)</f>
        <v>1.1720173774530713E-2</v>
      </c>
      <c r="Z25" s="6">
        <f>IFERROR(LN(Cotacao!AZ26/Cotacao!AZ25),Z24)</f>
        <v>2.6223195099102561E-2</v>
      </c>
      <c r="AA25" s="6">
        <f>IFERROR(LN(Cotacao!BB26/Cotacao!BB25),AA24)</f>
        <v>3.1284217367611849E-4</v>
      </c>
      <c r="AB25" s="6">
        <f>IFERROR(LN(Cotacao!BD26/Cotacao!BD25),AB24)</f>
        <v>6.0006002400612676E-4</v>
      </c>
      <c r="AC25" s="6">
        <f>IFERROR(LN(Cotacao!BF26/Cotacao!BF25),AC24)</f>
        <v>-5.5489639012347436E-3</v>
      </c>
      <c r="AD25" s="6">
        <f>IFERROR(LN(Cotacao!BH26/Cotacao!BH25),AD24)</f>
        <v>-8.9047783429596107E-3</v>
      </c>
      <c r="AE25" s="6">
        <f>IFERROR(LN(Cotacao!BJ26/Cotacao!BJ25),AE24)</f>
        <v>4.178369988473307E-3</v>
      </c>
      <c r="AF25" s="6">
        <f>IFERROR(LN(Cotacao!BL26/Cotacao!BL25),AF24)</f>
        <v>-7.5282664207915245E-3</v>
      </c>
      <c r="AG25" s="6">
        <f>IFERROR(LN(Cotacao!BN26/Cotacao!BN25),AG24)</f>
        <v>-2.2035584523504612E-2</v>
      </c>
      <c r="AH25" s="6">
        <f>IFERROR(LN(Cotacao!BP26/Cotacao!BP25),AH24)</f>
        <v>-6.1162270174360944E-3</v>
      </c>
      <c r="AI25" s="6">
        <f>IFERROR(LN(Cotacao!BR26/Cotacao!BR25),AI24)</f>
        <v>-1.3544225107757149E-2</v>
      </c>
      <c r="AJ25" s="6">
        <f>IFERROR(LN(Profit!C25/Profit!C24),AJ24)</f>
        <v>-9.1241508896091686E-3</v>
      </c>
      <c r="AK25" s="6">
        <f>IFERROR(LN(Cotacao!BV26/Cotacao!BV25),AK24)</f>
        <v>-1.0946707294521095E-2</v>
      </c>
      <c r="AL25" s="6">
        <f>IFERROR(LN(Cotacao!BX26/Cotacao!BX25),AL24)</f>
        <v>1.1099663038285624E-2</v>
      </c>
      <c r="AN25" s="110" t="s">
        <v>269</v>
      </c>
    </row>
    <row r="26" spans="1:76" ht="14.4" customHeight="1">
      <c r="A26" s="3" t="str">
        <f>Cotacao!C26</f>
        <v>7/31/2019 16:56:00</v>
      </c>
      <c r="B26" s="6">
        <f>IFERROR(LN(Cotacao!D27/Cotacao!D26),B25)</f>
        <v>-1.2910648037258089E-2</v>
      </c>
      <c r="C26" s="6">
        <f>IFERROR(LN(Cotacao!F27/Cotacao!F26),C25)</f>
        <v>-8.355301585861891E-3</v>
      </c>
      <c r="D26" s="6">
        <f>IFERROR(LN(Cotacao!H27/Cotacao!H26),D25)</f>
        <v>-3.5280725606860385E-3</v>
      </c>
      <c r="E26" s="6">
        <f>IFERROR(LN(Cotacao!J27/Cotacao!J26),E25)</f>
        <v>-4.239555896768573E-2</v>
      </c>
      <c r="F26" s="6">
        <f>IFERROR(LN(Cotacao!L27/Cotacao!L26),F25)</f>
        <v>1.5942739318834054E-2</v>
      </c>
      <c r="G26" s="6">
        <f>IFERROR(LN(Cotacao!N27/Cotacao!N26),G25)</f>
        <v>6.3949058858479204E-3</v>
      </c>
      <c r="H26" s="6">
        <f>IFERROR(LN(Cotacao!P27/Cotacao!P26),H25)</f>
        <v>3.0055123642769091E-3</v>
      </c>
      <c r="I26" s="6">
        <f>IFERROR(LN(Cotacao!R27/Cotacao!R26),I25)</f>
        <v>4.0592653287264133E-4</v>
      </c>
      <c r="J26" s="6">
        <f>IFERROR(LN(Cotacao!T27/Cotacao!T26),J25)</f>
        <v>3.2503467645164326E-2</v>
      </c>
      <c r="K26" s="6">
        <f>IFERROR(LN(Cotacao!V27/Cotacao!V26),K25)</f>
        <v>9.3721398288632522E-3</v>
      </c>
      <c r="L26" s="6">
        <f>IFERROR(LN(Cotacao!X27/Cotacao!X26),L25)</f>
        <v>0</v>
      </c>
      <c r="M26" s="6">
        <f>IFERROR(LN(Profit!B26/Profit!B25),M25)</f>
        <v>4.8019299954074326E-3</v>
      </c>
      <c r="N26" s="6">
        <f>IFERROR(LN(Cotacao!AB27/Cotacao!AB26),N25)</f>
        <v>1.435922107788888E-2</v>
      </c>
      <c r="O26" s="6">
        <f>IFERROR(LN(Cotacao!AD27/Cotacao!AD26),O25)</f>
        <v>-3.4422249422410893E-2</v>
      </c>
      <c r="P26" s="6">
        <f>IFERROR(LN(Cotacao!AF27/Cotacao!AF26),P25)</f>
        <v>-2.1286967779489161E-2</v>
      </c>
      <c r="Q26" s="6">
        <f>IFERROR(LN(Cotacao!AH27/Cotacao!AH26),Q25)</f>
        <v>-2.8715953362606121E-2</v>
      </c>
      <c r="R26" s="6">
        <f>IFERROR(LN(Cotacao!AJ27/Cotacao!AJ26),R25)</f>
        <v>2.2219753452146847E-4</v>
      </c>
      <c r="S26" s="6">
        <f>IFERROR(LN(Cotacao!AL27/Cotacao!AL26),S25)</f>
        <v>-5.6497325421190209E-3</v>
      </c>
      <c r="T26" s="6">
        <f>IFERROR(LN(Cotacao!AN27/Cotacao!AN26),T25)</f>
        <v>1.2364762008112568E-3</v>
      </c>
      <c r="U26" s="6">
        <f>IFERROR(LN(Cotacao!AP27/Cotacao!AP26),U25)</f>
        <v>-4.3094161408139468E-4</v>
      </c>
      <c r="V26" s="6">
        <f>IFERROR(LN(Cotacao!AR27/Cotacao!AR26),V25)</f>
        <v>-1.4316033973206278E-2</v>
      </c>
      <c r="W26" s="6">
        <f>IFERROR(LN(Cotacao!AT27/Cotacao!AT26),W25)</f>
        <v>-8.1004459674443262E-4</v>
      </c>
      <c r="X26" s="6">
        <f>IFERROR(LN(Cotacao!AV27/Cotacao!AV26),X25)</f>
        <v>-6.2305497506360864E-3</v>
      </c>
      <c r="Y26" s="6">
        <f>IFERROR(LN(Cotacao!AX27/Cotacao!AX26),Y25)</f>
        <v>-1.4630173749473183E-2</v>
      </c>
      <c r="Z26" s="6">
        <f>IFERROR(LN(Cotacao!AZ27/Cotacao!AZ26),Z25)</f>
        <v>7.0340266573799817E-3</v>
      </c>
      <c r="AA26" s="6">
        <f>IFERROR(LN(Cotacao!BB27/Cotacao!BB26),AA25)</f>
        <v>-3.0939799170046311E-2</v>
      </c>
      <c r="AB26" s="6">
        <f>IFERROR(LN(Cotacao!BD27/Cotacao!BD26),AB25)</f>
        <v>3.8828406964811817E-2</v>
      </c>
      <c r="AC26" s="6">
        <f>IFERROR(LN(Cotacao!BF27/Cotacao!BF26),AC25)</f>
        <v>2.3567469403913247E-2</v>
      </c>
      <c r="AD26" s="6">
        <f>IFERROR(LN(Cotacao!BH27/Cotacao!BH26),AD25)</f>
        <v>9.9174366573459242E-3</v>
      </c>
      <c r="AE26" s="6">
        <f>IFERROR(LN(Cotacao!BJ27/Cotacao!BJ26),AE25)</f>
        <v>-4.6364402121031514E-3</v>
      </c>
      <c r="AF26" s="6">
        <f>IFERROR(LN(Cotacao!BL27/Cotacao!BL26),AF25)</f>
        <v>-1.6508311407449825E-2</v>
      </c>
      <c r="AG26" s="6">
        <f>IFERROR(LN(Cotacao!BN27/Cotacao!BN26),AG25)</f>
        <v>1.5522418907541602E-2</v>
      </c>
      <c r="AH26" s="6">
        <f>IFERROR(LN(Cotacao!BP27/Cotacao!BP26),AH25)</f>
        <v>6.4972519791807043E-3</v>
      </c>
      <c r="AI26" s="6">
        <f>IFERROR(LN(Cotacao!BR27/Cotacao!BR26),AI25)</f>
        <v>-2.5900728432157353E-2</v>
      </c>
      <c r="AJ26" s="6">
        <f>IFERROR(LN(Profit!C26/Profit!C25),AJ25)</f>
        <v>1.0032003879788856E-2</v>
      </c>
      <c r="AK26" s="6">
        <f>IFERROR(LN(Cotacao!BV27/Cotacao!BV26),AK25)</f>
        <v>3.0775053198800065E-3</v>
      </c>
      <c r="AL26" s="6">
        <f>IFERROR(LN(Cotacao!BX27/Cotacao!BX26),AL25)</f>
        <v>1.3788351029745208E-3</v>
      </c>
      <c r="AN26" s="111"/>
      <c r="AO26" s="7" t="s">
        <v>3</v>
      </c>
      <c r="AP26" s="7" t="s">
        <v>4</v>
      </c>
      <c r="AQ26" s="7" t="s">
        <v>5</v>
      </c>
      <c r="AR26" s="7" t="s">
        <v>6</v>
      </c>
      <c r="AS26" s="7" t="s">
        <v>7</v>
      </c>
      <c r="AT26" s="7" t="s">
        <v>8</v>
      </c>
      <c r="AU26" s="7" t="s">
        <v>9</v>
      </c>
      <c r="AV26" s="7" t="s">
        <v>10</v>
      </c>
      <c r="AW26" s="7" t="s">
        <v>11</v>
      </c>
      <c r="AX26" s="7" t="s">
        <v>12</v>
      </c>
      <c r="AY26" s="7" t="s">
        <v>13</v>
      </c>
      <c r="AZ26" s="7" t="s">
        <v>14</v>
      </c>
      <c r="BA26" s="7" t="s">
        <v>15</v>
      </c>
      <c r="BB26" s="7" t="s">
        <v>16</v>
      </c>
      <c r="BC26" s="7" t="s">
        <v>17</v>
      </c>
      <c r="BD26" s="7" t="s">
        <v>18</v>
      </c>
      <c r="BE26" s="7" t="s">
        <v>19</v>
      </c>
      <c r="BF26" s="7" t="s">
        <v>20</v>
      </c>
      <c r="BG26" s="7" t="s">
        <v>21</v>
      </c>
      <c r="BH26" s="7" t="s">
        <v>22</v>
      </c>
      <c r="BI26" s="7" t="s">
        <v>23</v>
      </c>
      <c r="BJ26" s="7" t="s">
        <v>24</v>
      </c>
      <c r="BK26" s="7" t="s">
        <v>25</v>
      </c>
      <c r="BL26" s="7" t="s">
        <v>26</v>
      </c>
      <c r="BM26" s="7" t="s">
        <v>27</v>
      </c>
      <c r="BN26" s="7" t="s">
        <v>28</v>
      </c>
      <c r="BO26" s="7" t="s">
        <v>29</v>
      </c>
      <c r="BP26" s="7" t="s">
        <v>30</v>
      </c>
      <c r="BQ26" s="7" t="s">
        <v>31</v>
      </c>
      <c r="BR26" s="7" t="s">
        <v>32</v>
      </c>
      <c r="BS26" s="7" t="s">
        <v>33</v>
      </c>
      <c r="BT26" s="7" t="s">
        <v>34</v>
      </c>
      <c r="BU26" s="7" t="s">
        <v>35</v>
      </c>
      <c r="BV26" s="7" t="s">
        <v>36</v>
      </c>
      <c r="BW26" s="14" t="s">
        <v>37</v>
      </c>
      <c r="BX26" s="36"/>
    </row>
    <row r="27" spans="1:76" s="27" customFormat="1">
      <c r="A27" s="3" t="str">
        <f>Cotacao!C27</f>
        <v>8/1/2019 16:56:00</v>
      </c>
      <c r="B27" s="6">
        <f>IFERROR(LN(Cotacao!D28/Cotacao!D27),B26)</f>
        <v>8.9989358685695353E-3</v>
      </c>
      <c r="C27" s="6">
        <f>IFERROR(LN(Cotacao!F28/Cotacao!F27),C26)</f>
        <v>6.813281234046599E-3</v>
      </c>
      <c r="D27" s="6">
        <f>IFERROR(LN(Cotacao!H28/Cotacao!H27),D26)</f>
        <v>4.770308745277123E-3</v>
      </c>
      <c r="E27" s="6">
        <f>IFERROR(LN(Cotacao!J28/Cotacao!J27),E26)</f>
        <v>-6.3191363514785463E-3</v>
      </c>
      <c r="F27" s="6">
        <f>IFERROR(LN(Cotacao!L28/Cotacao!L27),F26)</f>
        <v>1.2674440896727861E-2</v>
      </c>
      <c r="G27" s="6">
        <f>IFERROR(LN(Cotacao!N28/Cotacao!N27),G26)</f>
        <v>-7.197152218485779E-3</v>
      </c>
      <c r="H27" s="6">
        <f>IFERROR(LN(Cotacao!P28/Cotacao!P27),H26)</f>
        <v>-1.0008341118988577E-3</v>
      </c>
      <c r="I27" s="6">
        <f>IFERROR(LN(Cotacao!R28/Cotacao!R27),I26)</f>
        <v>-1.624695727001922E-3</v>
      </c>
      <c r="J27" s="6">
        <f>IFERROR(LN(Cotacao!T28/Cotacao!T27),J26)</f>
        <v>-2.3894873973814672E-3</v>
      </c>
      <c r="K27" s="6">
        <f>IFERROR(LN(Cotacao!V28/Cotacao!V27),K26)</f>
        <v>-2.2642476749759891E-2</v>
      </c>
      <c r="L27" s="6">
        <f>IFERROR(LN(Cotacao!X28/Cotacao!X27),L26)</f>
        <v>1.7391742711869239E-2</v>
      </c>
      <c r="M27" s="6">
        <f>IFERROR(LN(Profit!B27/Profit!B26),M26)</f>
        <v>1.9940186068644495E-3</v>
      </c>
      <c r="N27" s="6">
        <f>IFERROR(LN(Cotacao!AB28/Cotacao!AB27),N26)</f>
        <v>7.709512723812267E-3</v>
      </c>
      <c r="O27" s="6">
        <f>IFERROR(LN(Cotacao!AD28/Cotacao!AD27),O26)</f>
        <v>-5.4024982833483087E-3</v>
      </c>
      <c r="P27" s="6">
        <f>IFERROR(LN(Cotacao!AF28/Cotacao!AF27),P26)</f>
        <v>-1.2195273093818243E-2</v>
      </c>
      <c r="Q27" s="6">
        <f>IFERROR(LN(Cotacao!AH28/Cotacao!AH27),Q26)</f>
        <v>-1.1637704080209598E-2</v>
      </c>
      <c r="R27" s="6">
        <f>IFERROR(LN(Cotacao!AJ28/Cotacao!AJ27),R26)</f>
        <v>1.2803706920508759E-2</v>
      </c>
      <c r="S27" s="6">
        <f>IFERROR(LN(Cotacao!AL28/Cotacao!AL27),S26)</f>
        <v>-1.2829826732718139E-2</v>
      </c>
      <c r="T27" s="6">
        <f>IFERROR(LN(Cotacao!AN28/Cotacao!AN27),T26)</f>
        <v>1.522690500232691E-2</v>
      </c>
      <c r="U27" s="6">
        <f>IFERROR(LN(Cotacao!AP28/Cotacao!AP27),U26)</f>
        <v>-1.8983524555060945E-3</v>
      </c>
      <c r="V27" s="6">
        <f>IFERROR(LN(Cotacao!AR28/Cotacao!AR27),V26)</f>
        <v>-1.6977932770942247E-3</v>
      </c>
      <c r="W27" s="6">
        <f>IFERROR(LN(Cotacao!AT28/Cotacao!AT27),W26)</f>
        <v>2.4281679271546926E-3</v>
      </c>
      <c r="X27" s="6">
        <f>IFERROR(LN(Cotacao!AV28/Cotacao!AV27),X26)</f>
        <v>-1.3986241974739839E-2</v>
      </c>
      <c r="Y27" s="6">
        <f>IFERROR(LN(Cotacao!AX28/Cotacao!AX27),Y26)</f>
        <v>-7.4965644258774881E-4</v>
      </c>
      <c r="Z27" s="6">
        <f>IFERROR(LN(Cotacao!AZ28/Cotacao!AZ27),Z26)</f>
        <v>0</v>
      </c>
      <c r="AA27" s="6">
        <f>IFERROR(LN(Cotacao!BB28/Cotacao!BB27),AA26)</f>
        <v>-6.2136122246999569E-3</v>
      </c>
      <c r="AB27" s="6">
        <f>IFERROR(LN(Cotacao!BD28/Cotacao!BD27),AB26)</f>
        <v>-1.1607791391486077E-2</v>
      </c>
      <c r="AC27" s="6">
        <f>IFERROR(LN(Cotacao!BF28/Cotacao!BF27),AC26)</f>
        <v>4.6475683965468756E-3</v>
      </c>
      <c r="AD27" s="6">
        <f>IFERROR(LN(Cotacao!BH28/Cotacao!BH27),AD26)</f>
        <v>2.022245380767649E-3</v>
      </c>
      <c r="AE27" s="6">
        <f>IFERROR(LN(Cotacao!BJ28/Cotacao!BJ27),AE26)</f>
        <v>8.6027642128562749E-3</v>
      </c>
      <c r="AF27" s="6">
        <f>IFERROR(LN(Cotacao!BL28/Cotacao!BL27),AF26)</f>
        <v>1.3144136661817579E-2</v>
      </c>
      <c r="AG27" s="6">
        <f>IFERROR(LN(Cotacao!BN28/Cotacao!BN27),AG26)</f>
        <v>6.2812815569528802E-3</v>
      </c>
      <c r="AH27" s="6">
        <f>IFERROR(LN(Cotacao!BP28/Cotacao!BP27),AH26)</f>
        <v>1.0233176280028953E-2</v>
      </c>
      <c r="AI27" s="6">
        <f>IFERROR(LN(Cotacao!BR28/Cotacao!BR27),AI26)</f>
        <v>3.7200283686090706E-2</v>
      </c>
      <c r="AJ27" s="6">
        <f>IFERROR(LN(Profit!C27/Profit!C26),AJ26)</f>
        <v>1.1727694181359343E-2</v>
      </c>
      <c r="AK27" s="6">
        <f>IFERROR(LN(Cotacao!BV28/Cotacao!BV27),AK26)</f>
        <v>5.3490461164678194E-3</v>
      </c>
      <c r="AL27" s="6">
        <f>IFERROR(LN(Cotacao!BX28/Cotacao!BX27),AL26)</f>
        <v>2.4083961409082171E-3</v>
      </c>
      <c r="AM27"/>
      <c r="AN27" s="7" t="s">
        <v>270</v>
      </c>
      <c r="AO27" s="27">
        <f>AO28*$AO$29</f>
        <v>19139.120000000003</v>
      </c>
      <c r="AP27" s="27">
        <f t="shared" ref="AP27:BW27" si="170">AP28*$AO$29</f>
        <v>24384.927536231884</v>
      </c>
      <c r="AQ27" s="27">
        <f t="shared" si="170"/>
        <v>6096.231884057971</v>
      </c>
      <c r="AR27" s="27">
        <f t="shared" si="170"/>
        <v>0</v>
      </c>
      <c r="AS27" s="27">
        <f t="shared" si="170"/>
        <v>6096.231884057971</v>
      </c>
      <c r="AT27" s="27">
        <f t="shared" si="170"/>
        <v>36577.391304347824</v>
      </c>
      <c r="AU27" s="27">
        <f t="shared" si="170"/>
        <v>0</v>
      </c>
      <c r="AV27" s="27">
        <f t="shared" si="170"/>
        <v>9144.347826086956</v>
      </c>
      <c r="AW27" s="27">
        <f t="shared" si="170"/>
        <v>0</v>
      </c>
      <c r="AX27" s="27">
        <f t="shared" si="170"/>
        <v>42064</v>
      </c>
      <c r="AY27" s="27">
        <f t="shared" si="170"/>
        <v>9144.347826086956</v>
      </c>
      <c r="AZ27" s="27">
        <f t="shared" si="170"/>
        <v>42064</v>
      </c>
      <c r="BA27" s="27">
        <f t="shared" si="170"/>
        <v>36577.391304347824</v>
      </c>
      <c r="BB27" s="27">
        <f t="shared" si="170"/>
        <v>9144.347826086956</v>
      </c>
      <c r="BC27" s="27">
        <f t="shared" si="170"/>
        <v>38609.468599033818</v>
      </c>
      <c r="BD27" s="27">
        <f t="shared" si="170"/>
        <v>0</v>
      </c>
      <c r="BE27" s="27">
        <f t="shared" si="170"/>
        <v>21032</v>
      </c>
      <c r="BF27" s="27">
        <f t="shared" si="170"/>
        <v>9144.347826086956</v>
      </c>
      <c r="BG27" s="27">
        <f t="shared" si="170"/>
        <v>36577.391304347824</v>
      </c>
      <c r="BH27" s="27">
        <f t="shared" si="170"/>
        <v>6096.231884057971</v>
      </c>
      <c r="BI27" s="27">
        <f t="shared" si="170"/>
        <v>5910.8089608287028</v>
      </c>
      <c r="BJ27" s="27">
        <f t="shared" si="170"/>
        <v>5511.9200125519183</v>
      </c>
      <c r="BK27" s="27">
        <f t="shared" si="170"/>
        <v>2405.4212335478783</v>
      </c>
      <c r="BL27" s="27">
        <f t="shared" si="170"/>
        <v>2381.2461457735262</v>
      </c>
      <c r="BM27" s="27">
        <f t="shared" si="170"/>
        <v>3048.1159420289855</v>
      </c>
      <c r="BN27" s="27">
        <f t="shared" si="170"/>
        <v>21032</v>
      </c>
      <c r="BO27" s="27">
        <f t="shared" si="170"/>
        <v>0</v>
      </c>
      <c r="BP27" s="27">
        <f t="shared" si="170"/>
        <v>26290</v>
      </c>
      <c r="BQ27" s="27">
        <f t="shared" si="170"/>
        <v>0</v>
      </c>
      <c r="BR27" s="27">
        <f t="shared" si="170"/>
        <v>0</v>
      </c>
      <c r="BS27" s="27">
        <f t="shared" si="170"/>
        <v>26290</v>
      </c>
      <c r="BT27" s="27">
        <f t="shared" si="170"/>
        <v>26290</v>
      </c>
      <c r="BU27" s="27">
        <f t="shared" si="170"/>
        <v>0</v>
      </c>
      <c r="BV27" s="27">
        <f t="shared" si="170"/>
        <v>26290</v>
      </c>
      <c r="BW27" s="27">
        <f t="shared" si="170"/>
        <v>26290</v>
      </c>
      <c r="BX27" s="37"/>
    </row>
    <row r="28" spans="1:76">
      <c r="A28" s="3" t="str">
        <f>Cotacao!C28</f>
        <v>8/2/2019 16:56:00</v>
      </c>
      <c r="B28" s="6">
        <f>IFERROR(LN(Cotacao!D29/Cotacao!D28),B27)</f>
        <v>2.1601504580147628E-2</v>
      </c>
      <c r="C28" s="6">
        <f>IFERROR(LN(Cotacao!F29/Cotacao!F28),C27)</f>
        <v>-2.5317807984289783E-2</v>
      </c>
      <c r="D28" s="6">
        <f>IFERROR(LN(Cotacao!H29/Cotacao!H28),D27)</f>
        <v>-1.9430257155961927E-2</v>
      </c>
      <c r="E28" s="6">
        <f>IFERROR(LN(Cotacao!J29/Cotacao!J28),E27)</f>
        <v>-3.2208903369617709E-2</v>
      </c>
      <c r="F28" s="6">
        <f>IFERROR(LN(Cotacao!L29/Cotacao!L28),F27)</f>
        <v>-4.5443148134776271E-3</v>
      </c>
      <c r="G28" s="6">
        <f>IFERROR(LN(Cotacao!N29/Cotacao!N28),G27)</f>
        <v>-1.6181582851241848E-2</v>
      </c>
      <c r="H28" s="6">
        <f>IFERROR(LN(Cotacao!P29/Cotacao!P28),H27)</f>
        <v>-9.7267243462882975E-3</v>
      </c>
      <c r="I28" s="6">
        <f>IFERROR(LN(Cotacao!R29/Cotacao!R28),I27)</f>
        <v>-3.6652453982959172E-3</v>
      </c>
      <c r="J28" s="6">
        <f>IFERROR(LN(Cotacao!T29/Cotacao!T28),J27)</f>
        <v>-2.5685928732050743E-2</v>
      </c>
      <c r="K28" s="6">
        <f>IFERROR(LN(Cotacao!V29/Cotacao!V28),K27)</f>
        <v>5.7088642203199794E-3</v>
      </c>
      <c r="L28" s="6">
        <f>IFERROR(LN(Cotacao!X29/Cotacao!X28),L27)</f>
        <v>-4.3196611445163961E-3</v>
      </c>
      <c r="M28" s="6">
        <f>IFERROR(LN(Profit!B28/Profit!B27),M27)</f>
        <v>8.7267511382371401E-3</v>
      </c>
      <c r="N28" s="6">
        <f>IFERROR(LN(Cotacao!AB29/Cotacao!AB28),N27)</f>
        <v>-3.1618318518048832E-2</v>
      </c>
      <c r="O28" s="6">
        <f>IFERROR(LN(Cotacao!AD29/Cotacao!AD28),O27)</f>
        <v>9.1669555387909937E-3</v>
      </c>
      <c r="P28" s="6">
        <f>IFERROR(LN(Cotacao!AF29/Cotacao!AF28),P27)</f>
        <v>-3.4324742541074607E-2</v>
      </c>
      <c r="Q28" s="6">
        <f>IFERROR(LN(Cotacao!AH29/Cotacao!AH28),Q27)</f>
        <v>-3.9220713153281385E-2</v>
      </c>
      <c r="R28" s="6">
        <f>IFERROR(LN(Cotacao!AJ29/Cotacao!AJ28),R27)</f>
        <v>-3.5271513402350151E-2</v>
      </c>
      <c r="S28" s="6">
        <f>IFERROR(LN(Cotacao!AL29/Cotacao!AL28),S27)</f>
        <v>-8.6455869928539295E-3</v>
      </c>
      <c r="T28" s="6">
        <f>IFERROR(LN(Cotacao!AN29/Cotacao!AN28),T27)</f>
        <v>-9.1319574100188225E-4</v>
      </c>
      <c r="U28" s="6">
        <f>IFERROR(LN(Cotacao!AP29/Cotacao!AP28),U27)</f>
        <v>3.2767124256273227E-3</v>
      </c>
      <c r="V28" s="6">
        <f>IFERROR(LN(Cotacao!AR29/Cotacao!AR28),V27)</f>
        <v>-1.4548823159866348E-2</v>
      </c>
      <c r="W28" s="6">
        <f>IFERROR(LN(Cotacao!AT29/Cotacao!AT28),W27)</f>
        <v>-8.2491573554278842E-4</v>
      </c>
      <c r="X28" s="6">
        <f>IFERROR(LN(Cotacao!AV29/Cotacao!AV28),X27)</f>
        <v>-3.5273405179684107E-3</v>
      </c>
      <c r="Y28" s="6">
        <f>IFERROR(LN(Cotacao!AX29/Cotacao!AX28),Y27)</f>
        <v>-6.6683339972024153E-4</v>
      </c>
      <c r="Z28" s="6">
        <f>IFERROR(LN(Cotacao!AZ29/Cotacao!AZ28),Z27)</f>
        <v>-1.175101653551874E-2</v>
      </c>
      <c r="AA28" s="6">
        <f>IFERROR(LN(Cotacao!BB29/Cotacao!BB28),AA27)</f>
        <v>-1.4294070395603838E-3</v>
      </c>
      <c r="AB28" s="6">
        <f>IFERROR(LN(Cotacao!BD29/Cotacao!BD28),AB27)</f>
        <v>-7.6179682798123687E-3</v>
      </c>
      <c r="AC28" s="6">
        <f>IFERROR(LN(Cotacao!BF29/Cotacao!BF28),AC27)</f>
        <v>-1.4792017468319318E-2</v>
      </c>
      <c r="AD28" s="6">
        <f>IFERROR(LN(Cotacao!BH29/Cotacao!BH28),AD27)</f>
        <v>-2.0408871631207238E-2</v>
      </c>
      <c r="AE28" s="6">
        <f>IFERROR(LN(Cotacao!BJ29/Cotacao!BJ28),AE27)</f>
        <v>-1.9486852545263706E-3</v>
      </c>
      <c r="AF28" s="6">
        <f>IFERROR(LN(Cotacao!BL29/Cotacao!BL28),AF27)</f>
        <v>-1.8708028609866992E-2</v>
      </c>
      <c r="AG28" s="6">
        <f>IFERROR(LN(Cotacao!BN29/Cotacao!BN28),AG27)</f>
        <v>-3.9016652342451733E-2</v>
      </c>
      <c r="AH28" s="6">
        <f>IFERROR(LN(Cotacao!BP29/Cotacao!BP28),AH27)</f>
        <v>-3.7261848667948301E-2</v>
      </c>
      <c r="AI28" s="6">
        <f>IFERROR(LN(Cotacao!BR29/Cotacao!BR28),AI27)</f>
        <v>-1.0163836790005994E-2</v>
      </c>
      <c r="AJ28" s="6">
        <f>IFERROR(LN(Profit!C28/Profit!C27),AJ27)</f>
        <v>1.0704830145557155E-2</v>
      </c>
      <c r="AK28" s="6">
        <f>IFERROR(LN(Cotacao!BV29/Cotacao!BV28),AK27)</f>
        <v>-2.540859511456519E-2</v>
      </c>
      <c r="AL28" s="6">
        <f>IFERROR(LN(Cotacao!BX29/Cotacao!BX28),AL27)</f>
        <v>-8.6281812233382302E-3</v>
      </c>
      <c r="AN28" s="7" t="s">
        <v>271</v>
      </c>
      <c r="AO28" s="8">
        <v>3.6400000000000002E-2</v>
      </c>
      <c r="AP28" s="8">
        <v>4.6376811594202899E-2</v>
      </c>
      <c r="AQ28" s="8">
        <v>1.1594202898550725E-2</v>
      </c>
      <c r="AR28" s="8">
        <v>0</v>
      </c>
      <c r="AS28" s="8">
        <v>1.1594202898550725E-2</v>
      </c>
      <c r="AT28" s="8">
        <v>6.9565217391304349E-2</v>
      </c>
      <c r="AU28" s="8">
        <v>0</v>
      </c>
      <c r="AV28" s="8">
        <v>1.7391304347826087E-2</v>
      </c>
      <c r="AW28" s="8">
        <v>0</v>
      </c>
      <c r="AX28" s="8">
        <v>0.08</v>
      </c>
      <c r="AY28" s="8">
        <v>1.7391304347826087E-2</v>
      </c>
      <c r="AZ28" s="8">
        <v>0.08</v>
      </c>
      <c r="BA28" s="8">
        <v>6.9565217391304349E-2</v>
      </c>
      <c r="BB28" s="8">
        <v>1.7391304347826087E-2</v>
      </c>
      <c r="BC28" s="8">
        <v>7.3429951690821255E-2</v>
      </c>
      <c r="BD28" s="8">
        <v>0</v>
      </c>
      <c r="BE28" s="8">
        <v>0.04</v>
      </c>
      <c r="BF28" s="8">
        <v>1.7391304347826087E-2</v>
      </c>
      <c r="BG28" s="8">
        <v>6.9565217391304349E-2</v>
      </c>
      <c r="BH28" s="8">
        <v>1.1594202898550725E-2</v>
      </c>
      <c r="BI28" s="8">
        <v>1.1241553748247817E-2</v>
      </c>
      <c r="BJ28" s="8">
        <v>1.0482921286709621E-2</v>
      </c>
      <c r="BK28" s="8">
        <v>4.574783631700035E-3</v>
      </c>
      <c r="BL28" s="8">
        <v>4.5288059067583233E-3</v>
      </c>
      <c r="BM28" s="8">
        <v>5.7971014492753624E-3</v>
      </c>
      <c r="BN28" s="8">
        <v>0.04</v>
      </c>
      <c r="BO28" s="8">
        <v>0</v>
      </c>
      <c r="BP28" s="8">
        <v>0.05</v>
      </c>
      <c r="BQ28" s="8">
        <v>0</v>
      </c>
      <c r="BR28" s="8">
        <v>0</v>
      </c>
      <c r="BS28" s="8">
        <v>0.05</v>
      </c>
      <c r="BT28" s="8">
        <v>0.05</v>
      </c>
      <c r="BU28" s="8">
        <v>0</v>
      </c>
      <c r="BV28" s="8">
        <v>0.05</v>
      </c>
      <c r="BW28" s="8">
        <v>0.05</v>
      </c>
      <c r="BX28" s="38"/>
    </row>
    <row r="29" spans="1:76">
      <c r="A29" s="3" t="str">
        <f>Cotacao!C29</f>
        <v>8/5/2019 16:56:00</v>
      </c>
      <c r="B29" s="6">
        <f>IFERROR(LN(Cotacao!D30/Cotacao!D29),B28)</f>
        <v>4.656982759475476E-2</v>
      </c>
      <c r="C29" s="6">
        <f>IFERROR(LN(Cotacao!F30/Cotacao!F29),C28)</f>
        <v>2.4082477376296998E-2</v>
      </c>
      <c r="D29" s="6">
        <f>IFERROR(LN(Cotacao!H30/Cotacao!H29),D28)</f>
        <v>2.2941569242406749E-2</v>
      </c>
      <c r="E29" s="6">
        <f>IFERROR(LN(Cotacao!J30/Cotacao!J29),E28)</f>
        <v>-5.7447839568918564E-3</v>
      </c>
      <c r="F29" s="6">
        <f>IFERROR(LN(Cotacao!L30/Cotacao!L29),F28)</f>
        <v>2.6961193728019899E-2</v>
      </c>
      <c r="G29" s="6">
        <f>IFERROR(LN(Cotacao!N30/Cotacao!N29),G28)</f>
        <v>3.2105486207964905E-2</v>
      </c>
      <c r="H29" s="6">
        <f>IFERROR(LN(Cotacao!P30/Cotacao!P29),H28)</f>
        <v>3.086357465560462E-2</v>
      </c>
      <c r="I29" s="6">
        <f>IFERROR(LN(Cotacao!R30/Cotacao!R29),I28)</f>
        <v>9.744291474678141E-3</v>
      </c>
      <c r="J29" s="6">
        <f>IFERROR(LN(Cotacao!T30/Cotacao!T29),J28)</f>
        <v>4.698850943591916E-2</v>
      </c>
      <c r="K29" s="6">
        <f>IFERROR(LN(Cotacao!V30/Cotacao!V29),K28)</f>
        <v>1.1320875624482293E-2</v>
      </c>
      <c r="L29" s="6">
        <f>IFERROR(LN(Cotacao!X30/Cotacao!X29),L28)</f>
        <v>-2.1882711249507709E-2</v>
      </c>
      <c r="M29" s="6">
        <f>IFERROR(LN(Profit!B29/Profit!B28),M28)</f>
        <v>0</v>
      </c>
      <c r="N29" s="6">
        <f>IFERROR(LN(Cotacao!AB30/Cotacao!AB29),N28)</f>
        <v>1.449600865167323E-2</v>
      </c>
      <c r="O29" s="6">
        <f>IFERROR(LN(Cotacao!AD30/Cotacao!AD29),O28)</f>
        <v>-2.6874512278046415E-3</v>
      </c>
      <c r="P29" s="6">
        <f>IFERROR(LN(Cotacao!AF30/Cotacao!AF29),P28)</f>
        <v>3.4859803959389245E-3</v>
      </c>
      <c r="Q29" s="6">
        <f>IFERROR(LN(Cotacao!AH30/Cotacao!AH29),Q28)</f>
        <v>1.3388237118516019E-2</v>
      </c>
      <c r="R29" s="6">
        <f>IFERROR(LN(Cotacao!AJ30/Cotacao!AJ29),R28)</f>
        <v>1.3092737816385347E-2</v>
      </c>
      <c r="S29" s="6">
        <f>IFERROR(LN(Cotacao!AL30/Cotacao!AL29),S28)</f>
        <v>4.8031831087004838E-2</v>
      </c>
      <c r="T29" s="6">
        <f>IFERROR(LN(Cotacao!AN30/Cotacao!AN29),T28)</f>
        <v>3.4454837490379402E-3</v>
      </c>
      <c r="U29" s="6">
        <f>IFERROR(LN(Cotacao!AP30/Cotacao!AP29),U28)</f>
        <v>7.7449339097965567E-4</v>
      </c>
      <c r="V29" s="6">
        <f>IFERROR(LN(Cotacao!AR30/Cotacao!AR29),V28)</f>
        <v>-2.5317807984289783E-2</v>
      </c>
      <c r="W29" s="6">
        <f>IFERROR(LN(Cotacao!AT30/Cotacao!AT29),W28)</f>
        <v>-4.7280645064151135E-3</v>
      </c>
      <c r="X29" s="6">
        <f>IFERROR(LN(Cotacao!AV30/Cotacao!AV29),X28)</f>
        <v>-3.185279635286955E-3</v>
      </c>
      <c r="Y29" s="6">
        <f>IFERROR(LN(Cotacao!AX30/Cotacao!AX29),Y28)</f>
        <v>5.8350353841620894E-4</v>
      </c>
      <c r="Z29" s="6">
        <f>IFERROR(LN(Cotacao!AZ30/Cotacao!AZ29),Z28)</f>
        <v>-2.3668650102662793E-3</v>
      </c>
      <c r="AA29" s="6">
        <f>IFERROR(LN(Cotacao!BB30/Cotacao!BB29),AA28)</f>
        <v>-6.392298852123085E-3</v>
      </c>
      <c r="AB29" s="6">
        <f>IFERROR(LN(Cotacao!BD30/Cotacao!BD29),AB28)</f>
        <v>5.1587368790493054E-2</v>
      </c>
      <c r="AC29" s="6">
        <f>IFERROR(LN(Cotacao!BF30/Cotacao!BF29),AC28)</f>
        <v>-5.5053225953552902E-3</v>
      </c>
      <c r="AD29" s="6">
        <f>IFERROR(LN(Cotacao!BH30/Cotacao!BH29),AD28)</f>
        <v>2.3434592547744222E-2</v>
      </c>
      <c r="AE29" s="6">
        <f>IFERROR(LN(Cotacao!BJ30/Cotacao!BJ29),AE28)</f>
        <v>5.1880790817778995E-3</v>
      </c>
      <c r="AF29" s="6">
        <f>IFERROR(LN(Cotacao!BL30/Cotacao!BL29),AF28)</f>
        <v>2.5425098365809959E-2</v>
      </c>
      <c r="AG29" s="6">
        <f>IFERROR(LN(Cotacao!BN30/Cotacao!BN29),AG28)</f>
        <v>3.1567828329461173E-2</v>
      </c>
      <c r="AH29" s="6">
        <f>IFERROR(LN(Cotacao!BP30/Cotacao!BP29),AH28)</f>
        <v>1.2833152982986276E-2</v>
      </c>
      <c r="AI29" s="6">
        <f>IFERROR(LN(Cotacao!BR30/Cotacao!BR29),AI28)</f>
        <v>-1.1357184639273798E-3</v>
      </c>
      <c r="AJ29" s="6">
        <f>IFERROR(LN(Profit!C29/Profit!C28),AJ28)</f>
        <v>-3.1548357734925897E-2</v>
      </c>
      <c r="AK29" s="6">
        <f>IFERROR(LN(Cotacao!BV30/Cotacao!BV29),AK28)</f>
        <v>2.0429122337964515E-2</v>
      </c>
      <c r="AL29" s="6">
        <f>IFERROR(LN(Cotacao!BX30/Cotacao!BX29),AL28)</f>
        <v>7.940659711209894E-3</v>
      </c>
      <c r="AN29" s="26" t="s">
        <v>272</v>
      </c>
      <c r="AO29" s="35">
        <v>525800</v>
      </c>
      <c r="BX29" s="39"/>
    </row>
    <row r="30" spans="1:76">
      <c r="A30" s="3" t="str">
        <f>Cotacao!C30</f>
        <v>8/6/2019 16:56:00</v>
      </c>
      <c r="B30" s="6">
        <f>IFERROR(LN(Cotacao!D31/Cotacao!D30),B29)</f>
        <v>-3.6678060505452169E-3</v>
      </c>
      <c r="C30" s="6">
        <f>IFERROR(LN(Cotacao!F31/Cotacao!F30),C29)</f>
        <v>2.0190346301691024E-2</v>
      </c>
      <c r="D30" s="6">
        <f>IFERROR(LN(Cotacao!H31/Cotacao!H30),D29)</f>
        <v>-2.2941569242406732E-2</v>
      </c>
      <c r="E30" s="6">
        <f>IFERROR(LN(Cotacao!J31/Cotacao!J30),E29)</f>
        <v>2.4391453124159048E-2</v>
      </c>
      <c r="F30" s="6">
        <f>IFERROR(LN(Cotacao!L31/Cotacao!L30),F29)</f>
        <v>-2.4660924951935542E-3</v>
      </c>
      <c r="G30" s="6">
        <f>IFERROR(LN(Cotacao!N31/Cotacao!N30),G29)</f>
        <v>2.5732413966478032E-2</v>
      </c>
      <c r="H30" s="6">
        <f>IFERROR(LN(Cotacao!P31/Cotacao!P30),H29)</f>
        <v>3.8466280827796143E-2</v>
      </c>
      <c r="I30" s="6">
        <f>IFERROR(LN(Cotacao!R31/Cotacao!R30),I29)</f>
        <v>2.0181641562371953E-3</v>
      </c>
      <c r="J30" s="6">
        <f>IFERROR(LN(Cotacao!T31/Cotacao!T30),J29)</f>
        <v>1.3953714773865089E-2</v>
      </c>
      <c r="K30" s="6">
        <f>IFERROR(LN(Cotacao!V31/Cotacao!V30),K29)</f>
        <v>-1.5123161574220773E-2</v>
      </c>
      <c r="L30" s="6">
        <f>IFERROR(LN(Cotacao!X31/Cotacao!X30),L29)</f>
        <v>2.1882711249507587E-2</v>
      </c>
      <c r="M30" s="6">
        <f>IFERROR(LN(Profit!B30/Profit!B29),M29)</f>
        <v>9.825192027119704E-3</v>
      </c>
      <c r="N30" s="6">
        <f>IFERROR(LN(Cotacao!AB31/Cotacao!AB30),N29)</f>
        <v>8.5978011724316995E-3</v>
      </c>
      <c r="O30" s="6">
        <f>IFERROR(LN(Cotacao!AD31/Cotacao!AD30),O29)</f>
        <v>-1.0770060276379489E-3</v>
      </c>
      <c r="P30" s="6">
        <f>IFERROR(LN(Cotacao!AF31/Cotacao!AF30),P29)</f>
        <v>-1.9486321742380085E-2</v>
      </c>
      <c r="Q30" s="6">
        <f>IFERROR(LN(Cotacao!AH31/Cotacao!AH30),Q29)</f>
        <v>-3.0075210639553284E-3</v>
      </c>
      <c r="R30" s="6">
        <f>IFERROR(LN(Cotacao!AJ31/Cotacao!AJ30),R29)</f>
        <v>1.4472032608534469E-2</v>
      </c>
      <c r="S30" s="6">
        <f>IFERROR(LN(Cotacao!AL31/Cotacao!AL30),S29)</f>
        <v>5.5020771539833384E-3</v>
      </c>
      <c r="T30" s="6">
        <f>IFERROR(LN(Cotacao!AN31/Cotacao!AN30),T29)</f>
        <v>-5.579522463505006E-3</v>
      </c>
      <c r="U30" s="6">
        <f>IFERROR(LN(Cotacao!AP31/Cotacao!AP30),U29)</f>
        <v>4.2918520815410843E-3</v>
      </c>
      <c r="V30" s="6">
        <f>IFERROR(LN(Cotacao!AR31/Cotacao!AR30),V29)</f>
        <v>8.837826470076939E-4</v>
      </c>
      <c r="W30" s="6">
        <f>IFERROR(LN(Cotacao!AT31/Cotacao!AT30),W29)</f>
        <v>3.1248123148032471E-3</v>
      </c>
      <c r="X30" s="6">
        <f>IFERROR(LN(Cotacao!AV31/Cotacao!AV30),X29)</f>
        <v>9.5255615298700143E-3</v>
      </c>
      <c r="Y30" s="6">
        <f>IFERROR(LN(Cotacao!AX31/Cotacao!AX30),Y29)</f>
        <v>0</v>
      </c>
      <c r="Z30" s="6">
        <f>IFERROR(LN(Cotacao!AZ31/Cotacao!AZ30),Z29)</f>
        <v>2.3668650102662441E-3</v>
      </c>
      <c r="AA30" s="6">
        <f>IFERROR(LN(Cotacao!BB31/Cotacao!BB30),AA29)</f>
        <v>-1.2709663693860682E-2</v>
      </c>
      <c r="AB30" s="6">
        <f>IFERROR(LN(Cotacao!BD31/Cotacao!BD30),AB29)</f>
        <v>1.8267875843862476E-2</v>
      </c>
      <c r="AC30" s="6">
        <f>IFERROR(LN(Cotacao!BF31/Cotacao!BF30),AC29)</f>
        <v>3.4873739305624957E-2</v>
      </c>
      <c r="AD30" s="6">
        <f>IFERROR(LN(Cotacao!BH31/Cotacao!BH30),AD29)</f>
        <v>-1.7638910961149017E-3</v>
      </c>
      <c r="AE30" s="6">
        <f>IFERROR(LN(Cotacao!BJ31/Cotacao!BJ30),AE29)</f>
        <v>-7.1176682936312621E-4</v>
      </c>
      <c r="AF30" s="6">
        <f>IFERROR(LN(Cotacao!BL31/Cotacao!BL30),AF29)</f>
        <v>1.7009329390567006E-2</v>
      </c>
      <c r="AG30" s="6">
        <f>IFERROR(LN(Cotacao!BN31/Cotacao!BN30),AG29)</f>
        <v>1.4842573037928849E-2</v>
      </c>
      <c r="AH30" s="6">
        <f>IFERROR(LN(Cotacao!BP31/Cotacao!BP30),AH29)</f>
        <v>-1.0878118147182904E-2</v>
      </c>
      <c r="AI30" s="6">
        <f>IFERROR(LN(Cotacao!BR31/Cotacao!BR30),AI29)</f>
        <v>-9.7060425121766429E-3</v>
      </c>
      <c r="AJ30" s="6">
        <f>IFERROR(LN(Profit!C30/Profit!C29),AJ29)</f>
        <v>2.173998663640582E-2</v>
      </c>
      <c r="AK30" s="6">
        <f>IFERROR(LN(Cotacao!BV31/Cotacao!BV30),AK29)</f>
        <v>6.03750937507845E-3</v>
      </c>
      <c r="AL30" s="6">
        <f>IFERROR(LN(Cotacao!BX31/Cotacao!BX30),AL29)</f>
        <v>-8.6341410150077708E-3</v>
      </c>
      <c r="AN30" s="26" t="s">
        <v>273</v>
      </c>
      <c r="AO30" s="28">
        <f>SUM(AO28:BW28)</f>
        <v>0.99587540756858528</v>
      </c>
      <c r="BX30" s="39"/>
    </row>
    <row r="31" spans="1:76">
      <c r="A31" s="3" t="str">
        <f>Cotacao!C31</f>
        <v>8/7/2019 16:56:00</v>
      </c>
      <c r="B31" s="6">
        <f>IFERROR(LN(Cotacao!D32/Cotacao!D31),B30)</f>
        <v>-4.2083176257872454E-3</v>
      </c>
      <c r="C31" s="6">
        <f>IFERROR(LN(Cotacao!F32/Cotacao!F31),C30)</f>
        <v>4.2105241067547865E-2</v>
      </c>
      <c r="D31" s="6">
        <f>IFERROR(LN(Cotacao!H32/Cotacao!H31),D30)</f>
        <v>2.1074823395647994E-3</v>
      </c>
      <c r="E31" s="6">
        <f>IFERROR(LN(Cotacao!J32/Cotacao!J31),E30)</f>
        <v>-3.5980986818824355E-2</v>
      </c>
      <c r="F31" s="6">
        <f>IFERROR(LN(Cotacao!L32/Cotacao!L31),F30)</f>
        <v>1.5192647034416138E-2</v>
      </c>
      <c r="G31" s="6">
        <f>IFERROR(LN(Cotacao!N32/Cotacao!N31),G30)</f>
        <v>9.9579528334346364E-3</v>
      </c>
      <c r="H31" s="6">
        <f>IFERROR(LN(Cotacao!P32/Cotacao!P31),H30)</f>
        <v>3.1441597492153447E-4</v>
      </c>
      <c r="I31" s="6">
        <f>IFERROR(LN(Cotacao!R32/Cotacao!R31),I30)</f>
        <v>2.861880530565266E-2</v>
      </c>
      <c r="J31" s="6">
        <f>IFERROR(LN(Cotacao!T32/Cotacao!T31),J30)</f>
        <v>4.4712798886483461E-2</v>
      </c>
      <c r="K31" s="6">
        <f>IFERROR(LN(Cotacao!V32/Cotacao!V31),K30)</f>
        <v>-1.9065782705815315E-3</v>
      </c>
      <c r="L31" s="6">
        <f>IFERROR(LN(Cotacao!X32/Cotacao!X31),L30)</f>
        <v>2.1621630044953172E-3</v>
      </c>
      <c r="M31" s="6">
        <f>IFERROR(LN(Profit!B31/Profit!B30),M30)</f>
        <v>3.9032055799538765E-3</v>
      </c>
      <c r="N31" s="6">
        <f>IFERROR(LN(Cotacao!AB32/Cotacao!AB31),N30)</f>
        <v>8.149959701315723E-4</v>
      </c>
      <c r="O31" s="6">
        <f>IFERROR(LN(Cotacao!AD32/Cotacao!AD31),O30)</f>
        <v>-4.860933146905915E-3</v>
      </c>
      <c r="P31" s="6">
        <f>IFERROR(LN(Cotacao!AF32/Cotacao!AF31),P30)</f>
        <v>1.600034134644112E-2</v>
      </c>
      <c r="Q31" s="6">
        <f>IFERROR(LN(Cotacao!AH32/Cotacao!AH31),Q30)</f>
        <v>1.4947961435873148E-2</v>
      </c>
      <c r="R31" s="6">
        <f>IFERROR(LN(Cotacao!AJ32/Cotacao!AJ31),R30)</f>
        <v>7.9260652724207226E-3</v>
      </c>
      <c r="S31" s="6">
        <f>IFERROR(LN(Cotacao!AL32/Cotacao!AL31),S30)</f>
        <v>5.6014641554671306E-2</v>
      </c>
      <c r="T31" s="6">
        <f>IFERROR(LN(Cotacao!AN32/Cotacao!AN31),T30)</f>
        <v>-3.0994216492964407E-2</v>
      </c>
      <c r="U31" s="6">
        <f>IFERROR(LN(Cotacao!AP32/Cotacao!AP31),U30)</f>
        <v>2.90797331162653E-3</v>
      </c>
      <c r="V31" s="6">
        <f>IFERROR(LN(Cotacao!AR32/Cotacao!AR31),V30)</f>
        <v>-1.8725469123498269E-2</v>
      </c>
      <c r="W31" s="6">
        <f>IFERROR(LN(Cotacao!AT32/Cotacao!AT31),W30)</f>
        <v>-8.1367413930617128E-3</v>
      </c>
      <c r="X31" s="6">
        <f>IFERROR(LN(Cotacao!AV32/Cotacao!AV31),X30)</f>
        <v>-4.9278522812408049E-3</v>
      </c>
      <c r="Y31" s="6">
        <f>IFERROR(LN(Cotacao!AX32/Cotacao!AX31),Y30)</f>
        <v>1.6665277932077644E-4</v>
      </c>
      <c r="Z31" s="6">
        <f>IFERROR(LN(Cotacao!AZ32/Cotacao!AZ31),Z30)</f>
        <v>-2.3668650102662793E-3</v>
      </c>
      <c r="AA31" s="6">
        <f>IFERROR(LN(Cotacao!BB32/Cotacao!BB31),AA30)</f>
        <v>6.2103793685364022E-3</v>
      </c>
      <c r="AB31" s="6">
        <f>IFERROR(LN(Cotacao!BD32/Cotacao!BD31),AB30)</f>
        <v>4.6619746362012493E-2</v>
      </c>
      <c r="AC31" s="6">
        <f>IFERROR(LN(Cotacao!BF32/Cotacao!BF31),AC30)</f>
        <v>2.2591322220441273E-2</v>
      </c>
      <c r="AD31" s="6">
        <f>IFERROR(LN(Cotacao!BH32/Cotacao!BH31),AD30)</f>
        <v>1.3776047544118552E-2</v>
      </c>
      <c r="AE31" s="6">
        <f>IFERROR(LN(Cotacao!BJ32/Cotacao!BJ31),AE30)</f>
        <v>-2.3978495660015031E-3</v>
      </c>
      <c r="AF31" s="6">
        <f>IFERROR(LN(Cotacao!BL32/Cotacao!BL31),AF30)</f>
        <v>5.3333459753626029E-3</v>
      </c>
      <c r="AG31" s="6">
        <f>IFERROR(LN(Cotacao!BN32/Cotacao!BN31),AG30)</f>
        <v>4.2588389327077855E-2</v>
      </c>
      <c r="AH31" s="6">
        <f>IFERROR(LN(Cotacao!BP32/Cotacao!BP31),AH30)</f>
        <v>2.8875923501854542E-2</v>
      </c>
      <c r="AI31" s="6">
        <f>IFERROR(LN(Cotacao!BR32/Cotacao!BR31),AI30)</f>
        <v>2.8645106954599169E-3</v>
      </c>
      <c r="AJ31" s="6">
        <f>IFERROR(LN(Profit!C31/Profit!C30),AJ30)</f>
        <v>1.600034134644112E-2</v>
      </c>
      <c r="AK31" s="6">
        <f>IFERROR(LN(Cotacao!BV32/Cotacao!BV31),AK30)</f>
        <v>1.2884426293811009E-2</v>
      </c>
      <c r="AL31" s="6">
        <f>IFERROR(LN(Cotacao!BX32/Cotacao!BX31),AL30)</f>
        <v>4.8443001309481327E-3</v>
      </c>
      <c r="AN31" s="7" t="s">
        <v>274</v>
      </c>
      <c r="AO31" s="8">
        <f ca="1">AO6</f>
        <v>-1.3916062296376859E-3</v>
      </c>
      <c r="AP31" s="8">
        <f>AP6</f>
        <v>-2.0616318137782575E-4</v>
      </c>
      <c r="AQ31" s="8">
        <f t="shared" ref="AQ31:BV31" si="171">AQ6</f>
        <v>-1.2601229984419713E-5</v>
      </c>
      <c r="AR31" s="8">
        <f t="shared" si="171"/>
        <v>-1.1897662152252487E-3</v>
      </c>
      <c r="AS31" s="8">
        <f t="shared" si="171"/>
        <v>-7.5540187128085771E-5</v>
      </c>
      <c r="AT31" s="8">
        <f t="shared" si="171"/>
        <v>-7.615430708610431E-4</v>
      </c>
      <c r="AU31" s="8">
        <f t="shared" si="171"/>
        <v>-2.6427569808549009E-4</v>
      </c>
      <c r="AV31" s="8">
        <f t="shared" si="171"/>
        <v>-1.3112388727799776E-3</v>
      </c>
      <c r="AW31" s="8">
        <f t="shared" si="171"/>
        <v>-4.9288227608999509E-4</v>
      </c>
      <c r="AX31" s="8">
        <f t="shared" si="171"/>
        <v>1.5531255063589216E-3</v>
      </c>
      <c r="AY31" s="8">
        <f t="shared" si="171"/>
        <v>-4.390471891044139E-4</v>
      </c>
      <c r="AZ31" s="8">
        <f t="shared" si="171"/>
        <v>6.1742272805462989E-4</v>
      </c>
      <c r="BA31" s="8">
        <f t="shared" si="171"/>
        <v>-6.571243159755421E-4</v>
      </c>
      <c r="BB31" s="8">
        <f t="shared" si="171"/>
        <v>-1.1908609206333638E-4</v>
      </c>
      <c r="BC31" s="8">
        <f t="shared" si="171"/>
        <v>-2.7296784773370494E-3</v>
      </c>
      <c r="BD31" s="8">
        <f t="shared" si="171"/>
        <v>1.1850851938756037E-4</v>
      </c>
      <c r="BE31" s="8">
        <f t="shared" si="171"/>
        <v>7.6741287655658174E-4</v>
      </c>
      <c r="BF31" s="8">
        <f t="shared" si="171"/>
        <v>-9.8695848245721157E-4</v>
      </c>
      <c r="BG31" s="8">
        <f t="shared" si="171"/>
        <v>4.102300022953713E-5</v>
      </c>
      <c r="BH31" s="8">
        <f t="shared" si="171"/>
        <v>-4.858416870696684E-4</v>
      </c>
      <c r="BI31" s="8">
        <f t="shared" si="171"/>
        <v>-1.8727298241089587E-4</v>
      </c>
      <c r="BJ31" s="8">
        <f t="shared" si="171"/>
        <v>1.4527910787988561E-4</v>
      </c>
      <c r="BK31" s="8">
        <f t="shared" si="171"/>
        <v>-2.7961994511192003E-4</v>
      </c>
      <c r="BL31" s="8">
        <f t="shared" si="171"/>
        <v>1.602429863335308E-4</v>
      </c>
      <c r="BM31" s="8">
        <f t="shared" si="171"/>
        <v>-7.8799980954852045E-5</v>
      </c>
      <c r="BN31" s="8">
        <f t="shared" si="171"/>
        <v>1.0727239375624132E-3</v>
      </c>
      <c r="BO31" s="8">
        <f t="shared" si="171"/>
        <v>4.1967842653185041E-4</v>
      </c>
      <c r="BP31" s="8">
        <f t="shared" si="171"/>
        <v>2.955739224807749E-3</v>
      </c>
      <c r="BQ31" s="8">
        <f t="shared" si="171"/>
        <v>2.4715391851936209E-4</v>
      </c>
      <c r="BR31" s="8">
        <f t="shared" si="171"/>
        <v>3.3633211641701834E-4</v>
      </c>
      <c r="BS31" s="8">
        <f t="shared" si="171"/>
        <v>3.163843532306425E-3</v>
      </c>
      <c r="BT31" s="8">
        <f t="shared" si="171"/>
        <v>1.3483445805901899E-3</v>
      </c>
      <c r="BU31" s="8">
        <f t="shared" si="171"/>
        <v>-1.0193310220156702E-3</v>
      </c>
      <c r="BV31" s="8">
        <f t="shared" si="171"/>
        <v>2.7691058388820849E-3</v>
      </c>
      <c r="BW31" s="8">
        <f t="shared" ref="BW31" si="172">BW6</f>
        <v>1.047686858914531E-3</v>
      </c>
      <c r="BX31" s="40"/>
    </row>
    <row r="32" spans="1:76">
      <c r="A32" s="3" t="str">
        <f>Cotacao!C32</f>
        <v>8/8/2019 16:56:00</v>
      </c>
      <c r="B32" s="6">
        <f>IFERROR(LN(Cotacao!D33/Cotacao!D32),B31)</f>
        <v>1.7764312493500155E-2</v>
      </c>
      <c r="C32" s="6">
        <f>IFERROR(LN(Cotacao!F33/Cotacao!F32),C31)</f>
        <v>2.8904573418606704E-2</v>
      </c>
      <c r="D32" s="6">
        <f>IFERROR(LN(Cotacao!H33/Cotacao!H32),D31)</f>
        <v>7.5503714396318155E-3</v>
      </c>
      <c r="E32" s="6">
        <f>IFERROR(LN(Cotacao!J33/Cotacao!J32),E31)</f>
        <v>-1.3411768510751997E-2</v>
      </c>
      <c r="F32" s="6">
        <f>IFERROR(LN(Cotacao!L33/Cotacao!L32),F31)</f>
        <v>2.428954315403296E-3</v>
      </c>
      <c r="G32" s="6">
        <f>IFERROR(LN(Cotacao!N33/Cotacao!N32),G31)</f>
        <v>-4.5836596676579284E-3</v>
      </c>
      <c r="H32" s="6">
        <f>IFERROR(LN(Cotacao!P33/Cotacao!P32),H31)</f>
        <v>0</v>
      </c>
      <c r="I32" s="6">
        <f>IFERROR(LN(Cotacao!R33/Cotacao!R32),I31)</f>
        <v>5.0811131401894772E-3</v>
      </c>
      <c r="J32" s="6">
        <f>IFERROR(LN(Cotacao!T33/Cotacao!T32),J31)</f>
        <v>-6.3361357964556345E-2</v>
      </c>
      <c r="K32" s="6">
        <f>IFERROR(LN(Cotacao!V33/Cotacao!V32),K31)</f>
        <v>1.327033692089661E-2</v>
      </c>
      <c r="L32" s="6">
        <f>IFERROR(LN(Cotacao!X33/Cotacao!X32),L31)</f>
        <v>-4.3205876671256743E-4</v>
      </c>
      <c r="M32" s="6">
        <f>IFERROR(LN(Profit!B32/Profit!B31),M31)</f>
        <v>9.3059996909695061E-3</v>
      </c>
      <c r="N32" s="6">
        <f>IFERROR(LN(Cotacao!AB33/Cotacao!AB32),N31)</f>
        <v>1.1340745279545615E-2</v>
      </c>
      <c r="O32" s="6">
        <f>IFERROR(LN(Cotacao!AD33/Cotacao!AD32),O31)</f>
        <v>1.5045958205271333E-2</v>
      </c>
      <c r="P32" s="6">
        <f>IFERROR(LN(Cotacao!AF33/Cotacao!AF32),P31)</f>
        <v>7.9051795071132473E-3</v>
      </c>
      <c r="Q32" s="6">
        <f>IFERROR(LN(Cotacao!AH33/Cotacao!AH32),Q31)</f>
        <v>-3.6477552397616214E-2</v>
      </c>
      <c r="R32" s="6">
        <f>IFERROR(LN(Cotacao!AJ33/Cotacao!AJ32),R31)</f>
        <v>-1.7030158352992351E-2</v>
      </c>
      <c r="S32" s="6">
        <f>IFERROR(LN(Cotacao!AL33/Cotacao!AL32),S31)</f>
        <v>1.2961764614466762E-3</v>
      </c>
      <c r="T32" s="6">
        <f>IFERROR(LN(Cotacao!AN33/Cotacao!AN32),T31)</f>
        <v>-3.5241233611116092E-2</v>
      </c>
      <c r="U32" s="6">
        <f>IFERROR(LN(Cotacao!AP33/Cotacao!AP32),U31)</f>
        <v>-1.1963768304452652E-3</v>
      </c>
      <c r="V32" s="6">
        <f>IFERROR(LN(Cotacao!AR33/Cotacao!AR32),V31)</f>
        <v>-1.8018022892629111E-3</v>
      </c>
      <c r="W32" s="6">
        <f>IFERROR(LN(Cotacao!AT33/Cotacao!AT32),W31)</f>
        <v>-1.9802627296179754E-2</v>
      </c>
      <c r="X32" s="6">
        <f>IFERROR(LN(Cotacao!AV33/Cotacao!AV32),X31)</f>
        <v>1.4104374693623334E-3</v>
      </c>
      <c r="Y32" s="6">
        <f>IFERROR(LN(Cotacao!AX33/Cotacao!AX32),Y31)</f>
        <v>8.3284755376278568E-4</v>
      </c>
      <c r="Z32" s="6">
        <f>IFERROR(LN(Cotacao!AZ33/Cotacao!AZ32),Z31)</f>
        <v>-2.3724803536303565E-3</v>
      </c>
      <c r="AA32" s="6">
        <f>IFERROR(LN(Cotacao!BB33/Cotacao!BB32),AA31)</f>
        <v>-8.7983897051659762E-3</v>
      </c>
      <c r="AB32" s="6">
        <f>IFERROR(LN(Cotacao!BD33/Cotacao!BD32),AB31)</f>
        <v>-2.1164811192043383E-2</v>
      </c>
      <c r="AC32" s="6">
        <f>IFERROR(LN(Cotacao!BF33/Cotacao!BF32),AC31)</f>
        <v>4.4576596845184091E-3</v>
      </c>
      <c r="AD32" s="6">
        <f>IFERROR(LN(Cotacao!BH33/Cotacao!BH32),AD31)</f>
        <v>4.9737358178207493E-2</v>
      </c>
      <c r="AE32" s="6">
        <f>IFERROR(LN(Cotacao!BJ33/Cotacao!BJ32),AE31)</f>
        <v>1.8151178327188917E-3</v>
      </c>
      <c r="AF32" s="6">
        <f>IFERROR(LN(Cotacao!BL33/Cotacao!BL32),AF31)</f>
        <v>-1.069528911674803E-2</v>
      </c>
      <c r="AG32" s="6">
        <f>IFERROR(LN(Cotacao!BN33/Cotacao!BN32),AG31)</f>
        <v>3.7432610041468746E-3</v>
      </c>
      <c r="AH32" s="6">
        <f>IFERROR(LN(Cotacao!BP33/Cotacao!BP32),AH31)</f>
        <v>-2.6600813709615964E-3</v>
      </c>
      <c r="AI32" s="6">
        <f>IFERROR(LN(Cotacao!BR33/Cotacao!BR32),AI31)</f>
        <v>7.409552280725264E-3</v>
      </c>
      <c r="AJ32" s="6">
        <f>IFERROR(LN(Profit!C32/Profit!C31),AJ31)</f>
        <v>1.3140793561058328E-2</v>
      </c>
      <c r="AK32" s="6">
        <f>IFERROR(LN(Cotacao!BV33/Cotacao!BV32),AK31)</f>
        <v>-1.1442911701520211E-3</v>
      </c>
      <c r="AL32" s="6">
        <f>IFERROR(LN(Cotacao!BX33/Cotacao!BX32),AL31)</f>
        <v>-9.363689015683541E-3</v>
      </c>
      <c r="AN32" s="29" t="s">
        <v>275</v>
      </c>
      <c r="AO32" s="8">
        <f ca="1">AO7</f>
        <v>3.0888240077181765E-2</v>
      </c>
      <c r="AP32" s="8">
        <f>AP7</f>
        <v>2.5932405472795371E-2</v>
      </c>
      <c r="AQ32" s="8">
        <f t="shared" ref="AQ32:BV32" si="173">AQ7</f>
        <v>2.1809910378411183E-2</v>
      </c>
      <c r="AR32" s="8">
        <f t="shared" si="173"/>
        <v>4.5687932549761057E-2</v>
      </c>
      <c r="AS32" s="8">
        <f t="shared" si="173"/>
        <v>2.4619210993571141E-2</v>
      </c>
      <c r="AT32" s="8">
        <f t="shared" si="173"/>
        <v>2.6403489528635988E-2</v>
      </c>
      <c r="AU32" s="8">
        <f t="shared" si="173"/>
        <v>2.5801550677679613E-2</v>
      </c>
      <c r="AV32" s="8">
        <f t="shared" si="173"/>
        <v>2.877072417296541E-2</v>
      </c>
      <c r="AW32" s="8">
        <f t="shared" si="173"/>
        <v>4.2944425673647618E-2</v>
      </c>
      <c r="AX32" s="8">
        <f t="shared" si="173"/>
        <v>3.3257824808773782E-2</v>
      </c>
      <c r="AY32" s="8">
        <f t="shared" si="173"/>
        <v>2.661181013393946E-2</v>
      </c>
      <c r="AZ32" s="8">
        <f t="shared" si="173"/>
        <v>1.5678892764579785E-2</v>
      </c>
      <c r="BA32" s="8">
        <f t="shared" si="173"/>
        <v>1.9226884347929667E-2</v>
      </c>
      <c r="BB32" s="8">
        <f t="shared" si="173"/>
        <v>3.2587693586377517E-2</v>
      </c>
      <c r="BC32" s="8">
        <f t="shared" si="173"/>
        <v>4.2585431917902566E-2</v>
      </c>
      <c r="BD32" s="8">
        <f t="shared" si="173"/>
        <v>3.3945948765926916E-2</v>
      </c>
      <c r="BE32" s="8">
        <f t="shared" si="173"/>
        <v>2.6316163978627308E-2</v>
      </c>
      <c r="BF32" s="8">
        <f t="shared" si="173"/>
        <v>3.6285529545969968E-2</v>
      </c>
      <c r="BG32" s="8">
        <f t="shared" si="173"/>
        <v>2.2404282637538898E-2</v>
      </c>
      <c r="BH32" s="8">
        <f t="shared" si="173"/>
        <v>1.4914707523285903E-2</v>
      </c>
      <c r="BI32" s="8">
        <f t="shared" si="173"/>
        <v>1.6083428303413683E-2</v>
      </c>
      <c r="BJ32" s="8">
        <f t="shared" si="173"/>
        <v>1.7772013062109477E-2</v>
      </c>
      <c r="BK32" s="8">
        <f t="shared" si="173"/>
        <v>1.7834991509470779E-2</v>
      </c>
      <c r="BL32" s="8">
        <f t="shared" si="173"/>
        <v>1.6067220847092445E-2</v>
      </c>
      <c r="BM32" s="8">
        <f t="shared" si="173"/>
        <v>2.925165263612612E-2</v>
      </c>
      <c r="BN32" s="8">
        <f t="shared" si="173"/>
        <v>2.2342255876278316E-2</v>
      </c>
      <c r="BO32" s="8">
        <f t="shared" si="173"/>
        <v>4.9967957743243682E-2</v>
      </c>
      <c r="BP32" s="8">
        <f t="shared" si="173"/>
        <v>4.2534168185193878E-2</v>
      </c>
      <c r="BQ32" s="8">
        <f t="shared" si="173"/>
        <v>3.2800767608899786E-2</v>
      </c>
      <c r="BR32" s="8">
        <f t="shared" si="173"/>
        <v>1.6509582702654832E-2</v>
      </c>
      <c r="BS32" s="8">
        <f t="shared" si="173"/>
        <v>3.4168274914639724E-2</v>
      </c>
      <c r="BT32" s="8">
        <f t="shared" si="173"/>
        <v>3.4572417056243261E-2</v>
      </c>
      <c r="BU32" s="8">
        <f t="shared" si="173"/>
        <v>4.3180794351955036E-2</v>
      </c>
      <c r="BV32" s="8">
        <f t="shared" si="173"/>
        <v>6.7977481454001967E-2</v>
      </c>
      <c r="BW32" s="8">
        <f t="shared" ref="BW32" si="174">BW7</f>
        <v>2.9436619943028694E-2</v>
      </c>
      <c r="BX32" s="40"/>
    </row>
    <row r="33" spans="1:80">
      <c r="A33" s="3" t="str">
        <f>Cotacao!C33</f>
        <v>8/9/2019 16:56:00</v>
      </c>
      <c r="B33" s="6">
        <f>IFERROR(LN(Cotacao!D34/Cotacao!D33),B32)</f>
        <v>1.7454241874847135E-2</v>
      </c>
      <c r="C33" s="6">
        <f>IFERROR(LN(Cotacao!F34/Cotacao!F33),C32)</f>
        <v>-5.06254156198205E-2</v>
      </c>
      <c r="D33" s="6">
        <f>IFERROR(LN(Cotacao!H34/Cotacao!H33),D32)</f>
        <v>-1.3886189888717537E-2</v>
      </c>
      <c r="E33" s="6">
        <f>IFERROR(LN(Cotacao!J34/Cotacao!J33),E32)</f>
        <v>-8.4423812528053614E-4</v>
      </c>
      <c r="F33" s="6">
        <f>IFERROR(LN(Cotacao!L34/Cotacao!L33),F32)</f>
        <v>-9.2615821658480514E-3</v>
      </c>
      <c r="G33" s="6">
        <f>IFERROR(LN(Cotacao!N34/Cotacao!N33),G32)</f>
        <v>-3.5857309890852757E-2</v>
      </c>
      <c r="H33" s="6">
        <f>IFERROR(LN(Cotacao!P34/Cotacao!P33),H32)</f>
        <v>-3.6821832317384666E-2</v>
      </c>
      <c r="I33" s="6">
        <f>IFERROR(LN(Cotacao!R34/Cotacao!R33),I32)</f>
        <v>8.1538017269329778E-3</v>
      </c>
      <c r="J33" s="6">
        <f>IFERROR(LN(Cotacao!T34/Cotacao!T33),J32)</f>
        <v>-8.0321716972643776E-3</v>
      </c>
      <c r="K33" s="6">
        <f>IFERROR(LN(Cotacao!V34/Cotacao!V33),K32)</f>
        <v>-1.1363758650314982E-2</v>
      </c>
      <c r="L33" s="6">
        <f>IFERROR(LN(Cotacao!X34/Cotacao!X33),L32)</f>
        <v>-6.0685058363809004E-3</v>
      </c>
      <c r="M33" s="6">
        <f>IFERROR(LN(Profit!B33/Profit!B32),M32)</f>
        <v>1.0748663945602055E-2</v>
      </c>
      <c r="N33" s="6">
        <f>IFERROR(LN(Cotacao!AB34/Cotacao!AB33),N32)</f>
        <v>8.0515302256258686E-4</v>
      </c>
      <c r="O33" s="6">
        <f>IFERROR(LN(Cotacao!AD34/Cotacao!AD33),O32)</f>
        <v>-2.1019367224075457E-2</v>
      </c>
      <c r="P33" s="6">
        <f>IFERROR(LN(Cotacao!AF34/Cotacao!AF33),P32)</f>
        <v>-7.9051795071132611E-3</v>
      </c>
      <c r="Q33" s="6">
        <f>IFERROR(LN(Cotacao!AH34/Cotacao!AH33),Q32)</f>
        <v>-7.2807823004515625E-3</v>
      </c>
      <c r="R33" s="6">
        <f>IFERROR(LN(Cotacao!AJ34/Cotacao!AJ33),R32)</f>
        <v>3.5626846857328711E-3</v>
      </c>
      <c r="S33" s="6">
        <f>IFERROR(LN(Cotacao!AL34/Cotacao!AL33),S32)</f>
        <v>-3.2919364891958867E-2</v>
      </c>
      <c r="T33" s="6">
        <f>IFERROR(LN(Cotacao!AN34/Cotacao!AN33),T32)</f>
        <v>1.4781517446794167E-2</v>
      </c>
      <c r="U33" s="6">
        <f>IFERROR(LN(Cotacao!AP34/Cotacao!AP33),U32)</f>
        <v>-8.1563019238234148E-3</v>
      </c>
      <c r="V33" s="6">
        <f>IFERROR(LN(Cotacao!AR34/Cotacao!AR33),V32)</f>
        <v>-7.2398506276871244E-3</v>
      </c>
      <c r="W33" s="6">
        <f>IFERROR(LN(Cotacao!AT34/Cotacao!AT33),W32)</f>
        <v>-8.2842195876976239E-3</v>
      </c>
      <c r="X33" s="6">
        <f>IFERROR(LN(Cotacao!AV34/Cotacao!AV33),X32)</f>
        <v>-6.7883162671205591E-3</v>
      </c>
      <c r="Y33" s="6">
        <f>IFERROR(LN(Cotacao!AX34/Cotacao!AX33),Y32)</f>
        <v>-5.8292044786730846E-4</v>
      </c>
      <c r="Z33" s="6">
        <f>IFERROR(LN(Cotacao!AZ34/Cotacao!AZ33),Z32)</f>
        <v>0</v>
      </c>
      <c r="AA33" s="6">
        <f>IFERROR(LN(Cotacao!BB34/Cotacao!BB33),AA32)</f>
        <v>-3.3944589816622371E-3</v>
      </c>
      <c r="AB33" s="6">
        <f>IFERROR(LN(Cotacao!BD34/Cotacao!BD33),AB32)</f>
        <v>-1.9984462008927398E-2</v>
      </c>
      <c r="AC33" s="6">
        <f>IFERROR(LN(Cotacao!BF34/Cotacao!BF33),AC32)</f>
        <v>-1.0432285373405974E-2</v>
      </c>
      <c r="AD33" s="6">
        <f>IFERROR(LN(Cotacao!BH34/Cotacao!BH33),AD32)</f>
        <v>-8.2610103178782229E-2</v>
      </c>
      <c r="AE33" s="6">
        <f>IFERROR(LN(Cotacao!BJ34/Cotacao!BJ33),AE32)</f>
        <v>6.4558003428712932E-3</v>
      </c>
      <c r="AF33" s="6">
        <f>IFERROR(LN(Cotacao!BL34/Cotacao!BL33),AF32)</f>
        <v>-1.7943314705996399E-2</v>
      </c>
      <c r="AG33" s="6">
        <f>IFERROR(LN(Cotacao!BN34/Cotacao!BN33),AG32)</f>
        <v>-2.8082968742825364E-2</v>
      </c>
      <c r="AH33" s="6">
        <f>IFERROR(LN(Cotacao!BP34/Cotacao!BP33),AH32)</f>
        <v>-2.4264621999631319E-2</v>
      </c>
      <c r="AI33" s="6">
        <f>IFERROR(LN(Cotacao!BR34/Cotacao!BR33),AI32)</f>
        <v>-1.2571594141923007E-2</v>
      </c>
      <c r="AJ33" s="6">
        <f>IFERROR(LN(Profit!C33/Profit!C32),AJ32)</f>
        <v>3.0006537595195278E-2</v>
      </c>
      <c r="AK33" s="6">
        <f>IFERROR(LN(Cotacao!BV34/Cotacao!BV33),AK32)</f>
        <v>-2.0212684187782513E-2</v>
      </c>
      <c r="AL33" s="6">
        <f>IFERROR(LN(Cotacao!BX34/Cotacao!BX33),AL32)</f>
        <v>-2.8270433938255474E-2</v>
      </c>
      <c r="AN33" s="7" t="s">
        <v>276</v>
      </c>
      <c r="AO33" s="18">
        <f ca="1">(1+AO31)^252-1</f>
        <v>-0.29596626436445372</v>
      </c>
      <c r="AP33" s="18">
        <f>((1+AP31)^252)-1</f>
        <v>-5.0631714166734398E-2</v>
      </c>
      <c r="AQ33" s="18">
        <f>((1+AQ31)^252)-1</f>
        <v>-3.1704933013860792E-3</v>
      </c>
      <c r="AR33" s="18">
        <f t="shared" ref="AR33:BV33" si="175">(1+AR31)^252-1</f>
        <v>-0.25918147286586124</v>
      </c>
      <c r="AS33" s="18">
        <f t="shared" si="175"/>
        <v>-1.8856789811177666E-2</v>
      </c>
      <c r="AT33" s="18">
        <f t="shared" si="175"/>
        <v>-0.17467824647463182</v>
      </c>
      <c r="AU33" s="18">
        <f t="shared" si="175"/>
        <v>-6.4436518789790176E-2</v>
      </c>
      <c r="AV33" s="18">
        <f t="shared" si="175"/>
        <v>-0.28154271341874981</v>
      </c>
      <c r="AW33" s="18">
        <f t="shared" si="175"/>
        <v>-0.11682945398794542</v>
      </c>
      <c r="AX33" s="18">
        <f t="shared" si="175"/>
        <v>0.47858271636623151</v>
      </c>
      <c r="AY33" s="18">
        <f t="shared" si="175"/>
        <v>-0.10476066838793019</v>
      </c>
      <c r="AZ33" s="18">
        <f t="shared" si="175"/>
        <v>0.16829160454062975</v>
      </c>
      <c r="BA33" s="18">
        <f t="shared" si="175"/>
        <v>-0.1526570442356443</v>
      </c>
      <c r="BB33" s="18">
        <f t="shared" si="175"/>
        <v>-2.956560924741658E-2</v>
      </c>
      <c r="BC33" s="18">
        <f t="shared" si="175"/>
        <v>-0.49783148707801528</v>
      </c>
      <c r="BD33" s="18">
        <f t="shared" si="175"/>
        <v>3.0312729928290594E-2</v>
      </c>
      <c r="BE33" s="18">
        <f t="shared" si="175"/>
        <v>0.21326355122027207</v>
      </c>
      <c r="BF33" s="18">
        <f t="shared" si="175"/>
        <v>-0.22029244053519637</v>
      </c>
      <c r="BG33" s="18">
        <f t="shared" si="175"/>
        <v>1.0391201440521636E-2</v>
      </c>
      <c r="BH33" s="18">
        <f t="shared" si="175"/>
        <v>-0.11526034826903808</v>
      </c>
      <c r="BI33" s="18">
        <f t="shared" si="175"/>
        <v>-4.6100740470096602E-2</v>
      </c>
      <c r="BJ33" s="18">
        <f t="shared" si="175"/>
        <v>3.728598889891277E-2</v>
      </c>
      <c r="BK33" s="18">
        <f t="shared" si="175"/>
        <v>-6.8048104227490303E-2</v>
      </c>
      <c r="BL33" s="18">
        <f t="shared" si="175"/>
        <v>4.1204272425851229E-2</v>
      </c>
      <c r="BM33" s="18">
        <f t="shared" si="175"/>
        <v>-1.9662498804495554E-2</v>
      </c>
      <c r="BN33" s="18">
        <f t="shared" si="175"/>
        <v>0.31020228727157217</v>
      </c>
      <c r="BO33" s="18">
        <f t="shared" si="175"/>
        <v>0.11152925828104854</v>
      </c>
      <c r="BP33" s="18">
        <f t="shared" si="175"/>
        <v>1.1038051120965671</v>
      </c>
      <c r="BQ33" s="18">
        <f t="shared" si="175"/>
        <v>6.4255072537510616E-2</v>
      </c>
      <c r="BR33" s="18">
        <f t="shared" si="175"/>
        <v>8.8435608213525807E-2</v>
      </c>
      <c r="BS33" s="18">
        <f t="shared" si="175"/>
        <v>1.2167229928006873</v>
      </c>
      <c r="BT33" s="18">
        <f t="shared" si="175"/>
        <v>0.40432107848952614</v>
      </c>
      <c r="BU33" s="18">
        <f t="shared" si="175"/>
        <v>-0.22663366171554755</v>
      </c>
      <c r="BV33" s="18">
        <f t="shared" si="175"/>
        <v>1.0074199487694782</v>
      </c>
      <c r="BW33" s="18">
        <f t="shared" ref="BW33" si="176">(1+BW31)^252-1</f>
        <v>0.30197049384580632</v>
      </c>
      <c r="BX33" s="41"/>
    </row>
    <row r="34" spans="1:80">
      <c r="A34" s="3" t="str">
        <f>Cotacao!C34</f>
        <v>8/12/2019 16:56:00</v>
      </c>
      <c r="B34" s="6">
        <f>IFERROR(LN(Cotacao!D35/Cotacao!D34),B33)</f>
        <v>8.1095223951893926E-3</v>
      </c>
      <c r="C34" s="6">
        <f>IFERROR(LN(Cotacao!F35/Cotacao!F34),C33)</f>
        <v>1.091939431455906E-2</v>
      </c>
      <c r="D34" s="6">
        <f>IFERROR(LN(Cotacao!H35/Cotacao!H34),D33)</f>
        <v>1.4721611825359708E-2</v>
      </c>
      <c r="E34" s="6">
        <f>IFERROR(LN(Cotacao!J35/Cotacao!J34),E33)</f>
        <v>2.172182314683575E-2</v>
      </c>
      <c r="F34" s="6">
        <f>IFERROR(LN(Cotacao!L35/Cotacao!L34),F33)</f>
        <v>0</v>
      </c>
      <c r="G34" s="6">
        <f>IFERROR(LN(Cotacao!N35/Cotacao!N34),G33)</f>
        <v>2.5079684397023606E-2</v>
      </c>
      <c r="H34" s="6">
        <f>IFERROR(LN(Cotacao!P35/Cotacao!P34),H33)</f>
        <v>9.4141256869370686E-3</v>
      </c>
      <c r="I34" s="6">
        <f>IFERROR(LN(Cotacao!R35/Cotacao!R34),I33)</f>
        <v>-2.5853378826333782E-2</v>
      </c>
      <c r="J34" s="6">
        <f>IFERROR(LN(Cotacao!T35/Cotacao!T34),J33)</f>
        <v>-3.9182763209252819E-2</v>
      </c>
      <c r="K34" s="6">
        <f>IFERROR(LN(Cotacao!V35/Cotacao!V34),K33)</f>
        <v>-5.7306747089850953E-3</v>
      </c>
      <c r="L34" s="6">
        <f>IFERROR(LN(Cotacao!X35/Cotacao!X34),L33)</f>
        <v>0</v>
      </c>
      <c r="M34" s="6">
        <f>IFERROR(LN(Profit!B34/Profit!B33),M33)</f>
        <v>1.2521506798041185E-2</v>
      </c>
      <c r="N34" s="6">
        <f>IFERROR(LN(Cotacao!AB35/Cotacao!AB34),N33)</f>
        <v>5.6179923042230526E-3</v>
      </c>
      <c r="O34" s="6">
        <f>IFERROR(LN(Cotacao!AD35/Cotacao!AD34),O33)</f>
        <v>1.5671760897480159E-2</v>
      </c>
      <c r="P34" s="6">
        <f>IFERROR(LN(Cotacao!AF35/Cotacao!AF34),P33)</f>
        <v>1.2931894458564673E-2</v>
      </c>
      <c r="Q34" s="6">
        <f>IFERROR(LN(Cotacao!AH35/Cotacao!AH34),Q33)</f>
        <v>2.9240573311849351E-2</v>
      </c>
      <c r="R34" s="6">
        <f>IFERROR(LN(Cotacao!AJ35/Cotacao!AJ34),R33)</f>
        <v>-1.8168044861109834E-2</v>
      </c>
      <c r="S34" s="6">
        <f>IFERROR(LN(Cotacao!AL35/Cotacao!AL34),S33)</f>
        <v>-2.6809667532577126E-3</v>
      </c>
      <c r="T34" s="6">
        <f>IFERROR(LN(Cotacao!AN35/Cotacao!AN34),T33)</f>
        <v>1.1500499451684012E-2</v>
      </c>
      <c r="U34" s="6">
        <f>IFERROR(LN(Cotacao!AP35/Cotacao!AP34),U33)</f>
        <v>8.583743691391435E-3</v>
      </c>
      <c r="V34" s="6">
        <f>IFERROR(LN(Cotacao!AR35/Cotacao!AR34),V33)</f>
        <v>-1.8181823190585162E-3</v>
      </c>
      <c r="W34" s="6">
        <f>IFERROR(LN(Cotacao!AT35/Cotacao!AT34),W33)</f>
        <v>-7.6588653334078273E-3</v>
      </c>
      <c r="X34" s="6">
        <f>IFERROR(LN(Cotacao!AV35/Cotacao!AV34),X33)</f>
        <v>-5.6209902880790469E-3</v>
      </c>
      <c r="Y34" s="6">
        <f>IFERROR(LN(Cotacao!AX35/Cotacao!AX34),Y33)</f>
        <v>3.3313900532985758E-4</v>
      </c>
      <c r="Z34" s="6">
        <f>IFERROR(LN(Cotacao!AZ35/Cotacao!AZ34),Z33)</f>
        <v>-4.7619137602435907E-3</v>
      </c>
      <c r="AA34" s="6">
        <f>IFERROR(LN(Cotacao!BB35/Cotacao!BB34),AA33)</f>
        <v>-1.8017421710399006E-3</v>
      </c>
      <c r="AB34" s="6">
        <f>IFERROR(LN(Cotacao!BD35/Cotacao!BD34),AB33)</f>
        <v>3.8116027633262519E-3</v>
      </c>
      <c r="AC34" s="6">
        <f>IFERROR(LN(Cotacao!BF35/Cotacao!BF34),AC33)</f>
        <v>2.0756860862182848E-2</v>
      </c>
      <c r="AD34" s="6">
        <f>IFERROR(LN(Cotacao!BH35/Cotacao!BH34),AD33)</f>
        <v>-1.5544354437800344E-2</v>
      </c>
      <c r="AE34" s="6">
        <f>IFERROR(LN(Cotacao!BJ35/Cotacao!BJ34),AE33)</f>
        <v>-8.9849025631729765E-3</v>
      </c>
      <c r="AF34" s="6">
        <f>IFERROR(LN(Cotacao!BL35/Cotacao!BL34),AF33)</f>
        <v>2.2070435710647374E-2</v>
      </c>
      <c r="AG34" s="6">
        <f>IFERROR(LN(Cotacao!BN35/Cotacao!BN34),AG33)</f>
        <v>3.5963920215679027E-2</v>
      </c>
      <c r="AH34" s="6">
        <f>IFERROR(LN(Cotacao!BP35/Cotacao!BP34),AH33)</f>
        <v>5.4432482764749344E-3</v>
      </c>
      <c r="AI34" s="6">
        <f>IFERROR(LN(Cotacao!BR35/Cotacao!BR34),AI33)</f>
        <v>9.1586215456831068E-3</v>
      </c>
      <c r="AJ34" s="6">
        <f>IFERROR(LN(Profit!C34/Profit!C33),AJ33)</f>
        <v>8.4104785085962926E-3</v>
      </c>
      <c r="AK34" s="6">
        <f>IFERROR(LN(Cotacao!BV35/Cotacao!BV34),AK33)</f>
        <v>1.3490954230118923E-2</v>
      </c>
      <c r="AL34" s="6">
        <f>IFERROR(LN(Cotacao!BX35/Cotacao!BX34),AL33)</f>
        <v>1.2112723797721475E-2</v>
      </c>
      <c r="AN34" s="29" t="s">
        <v>277</v>
      </c>
      <c r="AO34" s="19">
        <f ca="1">AO32*SQRT(252)</f>
        <v>0.49033561008408894</v>
      </c>
      <c r="AP34" s="19">
        <f t="shared" ref="AP34:BV34" si="177">AP32*SQRT(252)</f>
        <v>0.41166417467224153</v>
      </c>
      <c r="AQ34" s="19">
        <f t="shared" si="177"/>
        <v>0.34622159386729567</v>
      </c>
      <c r="AR34" s="19">
        <f t="shared" si="177"/>
        <v>0.72527344466016541</v>
      </c>
      <c r="AS34" s="19">
        <f t="shared" si="177"/>
        <v>0.39081785858169976</v>
      </c>
      <c r="AT34" s="19">
        <f t="shared" si="177"/>
        <v>0.41914240222241317</v>
      </c>
      <c r="AU34" s="19">
        <f t="shared" si="177"/>
        <v>0.40958691919782192</v>
      </c>
      <c r="AV34" s="19">
        <f t="shared" si="177"/>
        <v>0.45672108720540566</v>
      </c>
      <c r="AW34" s="19">
        <f t="shared" si="177"/>
        <v>0.68172162317381435</v>
      </c>
      <c r="AX34" s="19">
        <f t="shared" si="177"/>
        <v>0.52795160154581822</v>
      </c>
      <c r="AY34" s="19">
        <f t="shared" si="177"/>
        <v>0.42244938931003373</v>
      </c>
      <c r="AZ34" s="19">
        <f t="shared" si="177"/>
        <v>0.24889470652756854</v>
      </c>
      <c r="BA34" s="19">
        <f t="shared" si="177"/>
        <v>0.30521732682733305</v>
      </c>
      <c r="BB34" s="19">
        <f t="shared" si="177"/>
        <v>0.51731359818437683</v>
      </c>
      <c r="BC34" s="19">
        <f t="shared" si="177"/>
        <v>0.67602277397425548</v>
      </c>
      <c r="BD34" s="19">
        <f t="shared" si="177"/>
        <v>0.53887523071669541</v>
      </c>
      <c r="BE34" s="19">
        <f t="shared" si="177"/>
        <v>0.41775615209186373</v>
      </c>
      <c r="BF34" s="19">
        <f t="shared" si="177"/>
        <v>0.57601492421353795</v>
      </c>
      <c r="BG34" s="19">
        <f t="shared" si="177"/>
        <v>0.35565696097038113</v>
      </c>
      <c r="BH34" s="19">
        <f t="shared" si="177"/>
        <v>0.23676364190327157</v>
      </c>
      <c r="BI34" s="19">
        <f t="shared" si="177"/>
        <v>0.25531650912102061</v>
      </c>
      <c r="BJ34" s="19">
        <f t="shared" si="177"/>
        <v>0.28212196115599908</v>
      </c>
      <c r="BK34" s="19">
        <f t="shared" si="177"/>
        <v>0.28312171301404893</v>
      </c>
      <c r="BL34" s="19">
        <f t="shared" si="177"/>
        <v>0.25505922372815498</v>
      </c>
      <c r="BM34" s="19">
        <f t="shared" si="177"/>
        <v>0.46435558987702003</v>
      </c>
      <c r="BN34" s="19">
        <f t="shared" si="177"/>
        <v>0.35467231666082344</v>
      </c>
      <c r="BO34" s="19">
        <f t="shared" si="177"/>
        <v>0.79321673826244221</v>
      </c>
      <c r="BP34" s="19">
        <f t="shared" si="177"/>
        <v>0.67520898744611102</v>
      </c>
      <c r="BQ34" s="19">
        <f t="shared" si="177"/>
        <v>0.52069604343102938</v>
      </c>
      <c r="BR34" s="19">
        <f t="shared" si="177"/>
        <v>0.26208150048406986</v>
      </c>
      <c r="BS34" s="19">
        <f t="shared" si="177"/>
        <v>0.54240454891334045</v>
      </c>
      <c r="BT34" s="19">
        <f t="shared" si="177"/>
        <v>0.54882010651936453</v>
      </c>
      <c r="BU34" s="19">
        <f t="shared" si="177"/>
        <v>0.68547385961697305</v>
      </c>
      <c r="BV34" s="19">
        <f t="shared" si="177"/>
        <v>1.0791090640787677</v>
      </c>
      <c r="BW34" s="19">
        <f t="shared" ref="BW34" si="178">BW32*SQRT(252)</f>
        <v>0.46729185484546948</v>
      </c>
      <c r="BX34" s="42"/>
    </row>
    <row r="35" spans="1:80">
      <c r="A35" s="3" t="str">
        <f>Cotacao!C35</f>
        <v>8/13/2019 16:56:00</v>
      </c>
      <c r="B35" s="6">
        <f>IFERROR(LN(Cotacao!D36/Cotacao!D35),B34)</f>
        <v>5.0352573656454284E-3</v>
      </c>
      <c r="C35" s="6">
        <f>IFERROR(LN(Cotacao!F36/Cotacao!F35),C34)</f>
        <v>-2.165935435022712E-2</v>
      </c>
      <c r="D35" s="6">
        <f>IFERROR(LN(Cotacao!H36/Cotacao!H35),D34)</f>
        <v>-3.6785267897971936E-2</v>
      </c>
      <c r="E35" s="6">
        <f>IFERROR(LN(Cotacao!J36/Cotacao!J35),E34)</f>
        <v>-1.1637704080209598E-2</v>
      </c>
      <c r="F35" s="6">
        <f>IFERROR(LN(Cotacao!L36/Cotacao!L35),F34)</f>
        <v>-2.5795081006072956E-2</v>
      </c>
      <c r="G35" s="6">
        <f>IFERROR(LN(Cotacao!N36/Cotacao!N35),G34)</f>
        <v>-1.324522675002068E-2</v>
      </c>
      <c r="H35" s="6">
        <f>IFERROR(LN(Cotacao!P36/Cotacao!P35),H34)</f>
        <v>-1.7930390718429133E-2</v>
      </c>
      <c r="I35" s="6">
        <f>IFERROR(LN(Cotacao!R36/Cotacao!R35),I34)</f>
        <v>-2.572489123843593E-2</v>
      </c>
      <c r="J35" s="6">
        <f>IFERROR(LN(Cotacao!T36/Cotacao!T35),J34)</f>
        <v>-4.5932878615477755E-2</v>
      </c>
      <c r="K35" s="6">
        <f>IFERROR(LN(Cotacao!V36/Cotacao!V35),K34)</f>
        <v>-1.7391742711869107E-2</v>
      </c>
      <c r="L35" s="6">
        <f>IFERROR(LN(Cotacao!X36/Cotacao!X35),L34)</f>
        <v>0</v>
      </c>
      <c r="M35" s="6">
        <f>IFERROR(LN(Profit!B35/Profit!B34),M34)</f>
        <v>9.3826922145993485E-3</v>
      </c>
      <c r="N35" s="6">
        <f>IFERROR(LN(Cotacao!AB36/Cotacao!AB35),N34)</f>
        <v>-8.4388686458644838E-3</v>
      </c>
      <c r="O35" s="6">
        <f>IFERROR(LN(Cotacao!AD36/Cotacao!AD35),O34)</f>
        <v>-2.4974153559793544E-2</v>
      </c>
      <c r="P35" s="6">
        <f>IFERROR(LN(Cotacao!AF36/Cotacao!AF35),P34)</f>
        <v>-6.3390115728693783E-2</v>
      </c>
      <c r="Q35" s="6">
        <f>IFERROR(LN(Cotacao!AH36/Cotacao!AH35),Q34)</f>
        <v>-3.5460051378869706E-2</v>
      </c>
      <c r="R35" s="6">
        <f>IFERROR(LN(Cotacao!AJ36/Cotacao!AJ35),R34)</f>
        <v>-2.243170274190643E-2</v>
      </c>
      <c r="S35" s="6">
        <f>IFERROR(LN(Cotacao!AL36/Cotacao!AL35),S34)</f>
        <v>-4.5306306967583726E-2</v>
      </c>
      <c r="T35" s="6">
        <f>IFERROR(LN(Cotacao!AN36/Cotacao!AN35),T34)</f>
        <v>-1.2250486094220534E-2</v>
      </c>
      <c r="U35" s="6">
        <f>IFERROR(LN(Cotacao!AP36/Cotacao!AP35),U34)</f>
        <v>2.1344725286326196E-3</v>
      </c>
      <c r="V35" s="6">
        <f>IFERROR(LN(Cotacao!AR36/Cotacao!AR35),V34)</f>
        <v>0</v>
      </c>
      <c r="W35" s="6">
        <f>IFERROR(LN(Cotacao!AT36/Cotacao!AT35),W34)</f>
        <v>1.594308492110532E-2</v>
      </c>
      <c r="X35" s="6">
        <f>IFERROR(LN(Cotacao!AV36/Cotacao!AV35),X34)</f>
        <v>1.4269406416891463E-4</v>
      </c>
      <c r="Y35" s="6">
        <f>IFERROR(LN(Cotacao!AX36/Cotacao!AX35),Y34)</f>
        <v>-7.4971889054601922E-4</v>
      </c>
      <c r="Z35" s="6">
        <f>IFERROR(LN(Cotacao!AZ36/Cotacao!AZ35),Z34)</f>
        <v>0</v>
      </c>
      <c r="AA35" s="6">
        <f>IFERROR(LN(Cotacao!BB36/Cotacao!BB35),AA34)</f>
        <v>7.4527893539281928E-3</v>
      </c>
      <c r="AB35" s="6">
        <f>IFERROR(LN(Cotacao!BD36/Cotacao!BD35),AB34)</f>
        <v>-2.5317807984289672E-2</v>
      </c>
      <c r="AC35" s="6">
        <f>IFERROR(LN(Cotacao!BF36/Cotacao!BF35),AC34)</f>
        <v>-1.8512191008358828E-2</v>
      </c>
      <c r="AD35" s="6">
        <f>IFERROR(LN(Cotacao!BH36/Cotacao!BH35),AD34)</f>
        <v>-2.2443186223371651E-2</v>
      </c>
      <c r="AE35" s="6">
        <f>IFERROR(LN(Cotacao!BJ36/Cotacao!BJ35),AE34)</f>
        <v>6.4075815488724387E-3</v>
      </c>
      <c r="AF35" s="6">
        <f>IFERROR(LN(Cotacao!BL36/Cotacao!BL35),AF34)</f>
        <v>-5.0253342824893632E-2</v>
      </c>
      <c r="AG35" s="6">
        <f>IFERROR(LN(Cotacao!BN36/Cotacao!BN35),AG34)</f>
        <v>-4.8245175328213839E-2</v>
      </c>
      <c r="AH35" s="6">
        <f>IFERROR(LN(Cotacao!BP36/Cotacao!BP35),AH34)</f>
        <v>-3.4316125974000869E-2</v>
      </c>
      <c r="AI35" s="6">
        <f>IFERROR(LN(Cotacao!BR36/Cotacao!BR35),AI34)</f>
        <v>-2.4222637575846417E-2</v>
      </c>
      <c r="AJ35" s="6">
        <f>IFERROR(LN(Profit!C35/Profit!C34),AJ34)</f>
        <v>-5.8798993428794029E-3</v>
      </c>
      <c r="AK35" s="6">
        <f>IFERROR(LN(Cotacao!BV36/Cotacao!BV35),AK34)</f>
        <v>-2.9885282180912225E-2</v>
      </c>
      <c r="AL35" s="6">
        <f>IFERROR(LN(Cotacao!BX36/Cotacao!BX35),AL34)</f>
        <v>-3.2022883757051014E-2</v>
      </c>
      <c r="AN35" s="26" t="s">
        <v>286</v>
      </c>
      <c r="AO35" s="19">
        <f ca="1">AO33-AO14</f>
        <v>-0.3883742261430756</v>
      </c>
      <c r="AP35" s="19">
        <f ca="1">AP33-AP14</f>
        <v>-0.12157169229854817</v>
      </c>
      <c r="AQ35" s="19">
        <f ca="1">AQ33-AQ14</f>
        <v>-7.0449795669590642E-2</v>
      </c>
      <c r="AR35" s="19">
        <f ca="1">AR33-AR14</f>
        <v>-0.35801041028771541</v>
      </c>
      <c r="AS35" s="19">
        <f ca="1">AS33-AS14</f>
        <v>-9.5517200025454191E-2</v>
      </c>
      <c r="AT35" s="19">
        <f t="shared" ref="AT35:BW35" ca="1" si="179">AT33-AT14</f>
        <v>-0.26072619438999822</v>
      </c>
      <c r="AU35" s="19">
        <f t="shared" ca="1" si="179"/>
        <v>-0.14693705689506961</v>
      </c>
      <c r="AV35" s="19">
        <f t="shared" ca="1" si="179"/>
        <v>-0.3623736344841797</v>
      </c>
      <c r="AW35" s="19">
        <f ca="1">AW33-AW14</f>
        <v>-0.23021780541335679</v>
      </c>
      <c r="AX35" s="19">
        <f ca="1">AX33-AX14</f>
        <v>0.3896808245728931</v>
      </c>
      <c r="AY35" s="19">
        <f t="shared" ca="1" si="179"/>
        <v>-0.1592735529073924</v>
      </c>
      <c r="AZ35" s="19">
        <f t="shared" ca="1" si="179"/>
        <v>0.1437944016108961</v>
      </c>
      <c r="BA35" s="19">
        <f t="shared" ca="1" si="179"/>
        <v>-0.17147274939875132</v>
      </c>
      <c r="BB35" s="19">
        <f t="shared" ca="1" si="179"/>
        <v>-0.10815966914987234</v>
      </c>
      <c r="BC35" s="19">
        <f t="shared" ca="1" si="179"/>
        <v>-0.60569233533839062</v>
      </c>
      <c r="BD35" s="19">
        <f t="shared" ca="1" si="179"/>
        <v>-6.8083904290297509E-2</v>
      </c>
      <c r="BE35" s="19">
        <f t="shared" ca="1" si="179"/>
        <v>0.14923658161702524</v>
      </c>
      <c r="BF35" s="19">
        <f t="shared" ca="1" si="179"/>
        <v>-0.31883840052100587</v>
      </c>
      <c r="BG35" s="19">
        <f t="shared" ca="1" si="179"/>
        <v>-4.6100482788362242E-2</v>
      </c>
      <c r="BH35" s="19">
        <f t="shared" ca="1" si="179"/>
        <v>-0.15844244162016521</v>
      </c>
      <c r="BI35" s="19">
        <f t="shared" ca="1" si="179"/>
        <v>-9.2299671431159039E-2</v>
      </c>
      <c r="BJ35" s="19">
        <f t="shared" ca="1" si="179"/>
        <v>-1.1302266804431541E-2</v>
      </c>
      <c r="BK35" s="19">
        <f t="shared" ca="1" si="179"/>
        <v>-0.11640309196575443</v>
      </c>
      <c r="BL35" s="19">
        <f t="shared" ca="1" si="179"/>
        <v>-2.758698279760663E-3</v>
      </c>
      <c r="BM35" s="19">
        <f t="shared" ca="1" si="179"/>
        <v>-8.5327957033619506E-2</v>
      </c>
      <c r="BN35" s="19">
        <f t="shared" ca="1" si="179"/>
        <v>0.25331649801266498</v>
      </c>
      <c r="BO35" s="19">
        <f t="shared" ca="1" si="179"/>
        <v>-2.1617380347880272E-2</v>
      </c>
      <c r="BP35" s="19">
        <f ca="1">BP33-BP14</f>
        <v>1.00595471806517</v>
      </c>
      <c r="BQ35" s="19">
        <f t="shared" ca="1" si="179"/>
        <v>-2.0018262471599477E-2</v>
      </c>
      <c r="BR35" s="19">
        <f t="shared" ca="1" si="179"/>
        <v>3.974839924209736E-2</v>
      </c>
      <c r="BS35" s="19">
        <f t="shared" ca="1" si="179"/>
        <v>1.1291555088247343</v>
      </c>
      <c r="BT35" s="19">
        <f ca="1">BT33-BT14</f>
        <v>0.2990802955959434</v>
      </c>
      <c r="BU35" s="19">
        <f t="shared" ca="1" si="179"/>
        <v>-0.35570824953880598</v>
      </c>
      <c r="BV35" s="19">
        <f t="shared" ca="1" si="179"/>
        <v>0.83863137163555779</v>
      </c>
      <c r="BW35" s="19">
        <f t="shared" ca="1" si="179"/>
        <v>0.2793725527934538</v>
      </c>
    </row>
    <row r="36" spans="1:80">
      <c r="A36" s="3" t="str">
        <f>Cotacao!C36</f>
        <v>8/14/2019 16:56:00</v>
      </c>
      <c r="B36" s="6">
        <f>IFERROR(LN(Cotacao!D37/Cotacao!D36),B35)</f>
        <v>-4.258145205596453E-2</v>
      </c>
      <c r="C36" s="6">
        <f>IFERROR(LN(Cotacao!F37/Cotacao!F36),C35)</f>
        <v>-7.2245949396308393E-3</v>
      </c>
      <c r="D36" s="6">
        <f>IFERROR(LN(Cotacao!H37/Cotacao!H36),D35)</f>
        <v>-1.7920059957751977E-2</v>
      </c>
      <c r="E36" s="6">
        <f>IFERROR(LN(Cotacao!J37/Cotacao!J36),E35)</f>
        <v>-3.6615414241518165E-2</v>
      </c>
      <c r="F36" s="6">
        <f>IFERROR(LN(Cotacao!L37/Cotacao!L36),F35)</f>
        <v>-2.1331433516057558E-2</v>
      </c>
      <c r="G36" s="6">
        <f>IFERROR(LN(Cotacao!N37/Cotacao!N36),G35)</f>
        <v>3.9138993211363148E-3</v>
      </c>
      <c r="H36" s="6">
        <f>IFERROR(LN(Cotacao!P37/Cotacao!P36),H35)</f>
        <v>-6.931864693428531E-3</v>
      </c>
      <c r="I36" s="6">
        <f>IFERROR(LN(Cotacao!R37/Cotacao!R36),I35)</f>
        <v>-2.8496662928202944E-2</v>
      </c>
      <c r="J36" s="6">
        <f>IFERROR(LN(Cotacao!T37/Cotacao!T36),J35)</f>
        <v>-3.3616610798984974E-2</v>
      </c>
      <c r="K36" s="6">
        <f>IFERROR(LN(Cotacao!V37/Cotacao!V36),K35)</f>
        <v>-4.7913355695897504E-2</v>
      </c>
      <c r="L36" s="6">
        <f>IFERROR(LN(Cotacao!X37/Cotacao!X36),L35)</f>
        <v>0</v>
      </c>
      <c r="M36" s="6">
        <f>IFERROR(LN(Profit!B36/Profit!B35),M35)</f>
        <v>-1.6952751075144674E-2</v>
      </c>
      <c r="N36" s="6">
        <f>IFERROR(LN(Cotacao!AB37/Cotacao!AB36),N35)</f>
        <v>-3.4903974280714456E-2</v>
      </c>
      <c r="O36" s="6">
        <f>IFERROR(LN(Cotacao!AD37/Cotacao!AD36),O35)</f>
        <v>-2.3360350363471071E-2</v>
      </c>
      <c r="P36" s="6">
        <f>IFERROR(LN(Cotacao!AF37/Cotacao!AF36),P35)</f>
        <v>-9.2642622370544284E-2</v>
      </c>
      <c r="Q36" s="6">
        <f>IFERROR(LN(Cotacao!AH37/Cotacao!AH36),Q35)</f>
        <v>-2.2305757514298277E-2</v>
      </c>
      <c r="R36" s="6">
        <f>IFERROR(LN(Cotacao!AJ37/Cotacao!AJ36),R35)</f>
        <v>2.3121397583793788E-3</v>
      </c>
      <c r="S36" s="6">
        <f>IFERROR(LN(Cotacao!AL37/Cotacao!AL36),S35)</f>
        <v>-5.9308774440294032E-2</v>
      </c>
      <c r="T36" s="6">
        <f>IFERROR(LN(Cotacao!AN37/Cotacao!AN36),T35)</f>
        <v>3.2102756302481894E-3</v>
      </c>
      <c r="U36" s="6">
        <f>IFERROR(LN(Cotacao!AP37/Cotacao!AP36),U35)</f>
        <v>-5.9719320974616324E-4</v>
      </c>
      <c r="V36" s="6">
        <f>IFERROR(LN(Cotacao!AR37/Cotacao!AR36),V35)</f>
        <v>-8.2229791804319923E-3</v>
      </c>
      <c r="W36" s="6">
        <f>IFERROR(LN(Cotacao!AT37/Cotacao!AT36),W35)</f>
        <v>-1.0041918380510911E-2</v>
      </c>
      <c r="X36" s="6">
        <f>IFERROR(LN(Cotacao!AV37/Cotacao!AV36),X35)</f>
        <v>-2.5000905911271849E-3</v>
      </c>
      <c r="Y36" s="6">
        <f>IFERROR(LN(Cotacao!AX37/Cotacao!AX36),Y35)</f>
        <v>-6.7728842874287621E-3</v>
      </c>
      <c r="Z36" s="6">
        <f>IFERROR(LN(Cotacao!AZ37/Cotacao!AZ36),Z35)</f>
        <v>1.4218249002278954E-2</v>
      </c>
      <c r="AA36" s="6">
        <f>IFERROR(LN(Cotacao!BB37/Cotacao!BB36),AA35)</f>
        <v>-3.9190989748394767E-3</v>
      </c>
      <c r="AB36" s="6">
        <f>IFERROR(LN(Cotacao!BD37/Cotacao!BD36),AB35)</f>
        <v>-1.9702297881183321E-2</v>
      </c>
      <c r="AC36" s="6">
        <f>IFERROR(LN(Cotacao!BF37/Cotacao!BF36),AC35)</f>
        <v>-4.5879605750693782E-2</v>
      </c>
      <c r="AD36" s="6">
        <f>IFERROR(LN(Cotacao!BH37/Cotacao!BH36),AD35)</f>
        <v>-2.8437935320533625E-2</v>
      </c>
      <c r="AE36" s="6">
        <f>IFERROR(LN(Cotacao!BJ37/Cotacao!BJ36),AE35)</f>
        <v>6.1103261345656227E-3</v>
      </c>
      <c r="AF36" s="6">
        <f>IFERROR(LN(Cotacao!BL37/Cotacao!BL36),AF35)</f>
        <v>-3.2573302306826105E-2</v>
      </c>
      <c r="AG36" s="6">
        <f>IFERROR(LN(Cotacao!BN37/Cotacao!BN36),AG35)</f>
        <v>-8.0413988749936383E-3</v>
      </c>
      <c r="AH36" s="6">
        <f>IFERROR(LN(Cotacao!BP37/Cotacao!BP36),AH35)</f>
        <v>-2.8079159090818075E-2</v>
      </c>
      <c r="AI36" s="6">
        <f>IFERROR(LN(Cotacao!BR37/Cotacao!BR36),AI35)</f>
        <v>-2.5422592913319154E-2</v>
      </c>
      <c r="AJ36" s="6">
        <f>IFERROR(LN(Profit!C36/Profit!C35),AJ35)</f>
        <v>7.5535399009091213E-3</v>
      </c>
      <c r="AK36" s="6">
        <f>IFERROR(LN(Cotacao!BV37/Cotacao!BV36),AK35)</f>
        <v>-1.2052429786859574E-2</v>
      </c>
      <c r="AL36" s="6">
        <f>IFERROR(LN(Cotacao!BX37/Cotacao!BX36),AL35)</f>
        <v>-7.3394824880459114E-3</v>
      </c>
      <c r="AN36" s="26" t="s">
        <v>729</v>
      </c>
      <c r="AO36" s="57">
        <f ca="1">(AO33-$AP$19)/AO34</f>
        <v>-0.6494863065520351</v>
      </c>
      <c r="AP36" s="57">
        <f>(AP33-$AP$19)/AP34</f>
        <v>-0.17764896404930144</v>
      </c>
      <c r="AQ36" s="57">
        <f t="shared" ref="AQ36:BW36" si="180">(AQ33-$AP$19)/AQ34</f>
        <v>-7.4144691596635073E-2</v>
      </c>
      <c r="AR36" s="57">
        <f t="shared" si="180"/>
        <v>-0.38837968622695968</v>
      </c>
      <c r="AS36" s="57">
        <f>(AS33-$AP$19)/AS34</f>
        <v>-0.10582113612019627</v>
      </c>
      <c r="AT36" s="57">
        <f t="shared" si="180"/>
        <v>-0.47043259147520322</v>
      </c>
      <c r="AU36" s="57">
        <f t="shared" si="180"/>
        <v>-0.21225413877976324</v>
      </c>
      <c r="AV36" s="57">
        <f>(AV33-$AP$19)/AV34</f>
        <v>-0.66570763193600846</v>
      </c>
      <c r="AW36" s="57">
        <f t="shared" si="180"/>
        <v>-0.2043788098421831</v>
      </c>
      <c r="AX36" s="57">
        <f t="shared" si="180"/>
        <v>0.86387220917758767</v>
      </c>
      <c r="AY36" s="57">
        <f>(AY33-$AP$19)/AY34</f>
        <v>-0.30124476826864138</v>
      </c>
      <c r="AZ36" s="57">
        <f t="shared" si="180"/>
        <v>0.58575614794958009</v>
      </c>
      <c r="BA36" s="57">
        <f t="shared" si="180"/>
        <v>-0.57387647698891553</v>
      </c>
      <c r="BB36" s="57">
        <f t="shared" si="180"/>
        <v>-0.10064612534863189</v>
      </c>
      <c r="BC36" s="57">
        <f t="shared" si="180"/>
        <v>-0.76969520422965909</v>
      </c>
      <c r="BD36" s="57">
        <f t="shared" si="180"/>
        <v>1.4498216809668148E-2</v>
      </c>
      <c r="BE36" s="57">
        <f t="shared" si="180"/>
        <v>0.45663852049825365</v>
      </c>
      <c r="BF36" s="57">
        <f t="shared" si="180"/>
        <v>-0.42150373250605105</v>
      </c>
      <c r="BG36" s="57">
        <f t="shared" si="180"/>
        <v>-3.4046285854888066E-2</v>
      </c>
      <c r="BH36" s="57">
        <f t="shared" si="180"/>
        <v>-0.58184756393179349</v>
      </c>
      <c r="BI36" s="57">
        <f t="shared" si="180"/>
        <v>-0.26868901155772767</v>
      </c>
      <c r="BJ36" s="57">
        <f t="shared" si="180"/>
        <v>5.2409918172718471E-2</v>
      </c>
      <c r="BK36" s="57">
        <f t="shared" si="180"/>
        <v>-0.31982041668064209</v>
      </c>
      <c r="BL36" s="57">
        <f t="shared" si="180"/>
        <v>7.3333056348459907E-2</v>
      </c>
      <c r="BM36" s="57">
        <f t="shared" si="180"/>
        <v>-9.0797870691428251E-2</v>
      </c>
      <c r="BN36" s="57">
        <f t="shared" si="180"/>
        <v>0.81117773718636355</v>
      </c>
      <c r="BO36" s="57">
        <f t="shared" si="180"/>
        <v>0.11223824963158113</v>
      </c>
      <c r="BP36" s="57">
        <f t="shared" si="180"/>
        <v>1.6014376766317362</v>
      </c>
      <c r="BQ36" s="57">
        <f t="shared" si="180"/>
        <v>8.0190877315628059E-2</v>
      </c>
      <c r="BR36" s="57">
        <f t="shared" si="180"/>
        <v>0.25158436628202069</v>
      </c>
      <c r="BS36" s="57">
        <f t="shared" si="180"/>
        <v>2.2017200910154746</v>
      </c>
      <c r="BT36" s="57">
        <f t="shared" si="180"/>
        <v>0.69571262778808918</v>
      </c>
      <c r="BU36" s="57">
        <f t="shared" si="180"/>
        <v>-0.36344735575293519</v>
      </c>
      <c r="BV36" s="57">
        <f t="shared" si="180"/>
        <v>0.91271585195172233</v>
      </c>
      <c r="BW36" s="57">
        <f t="shared" si="180"/>
        <v>0.59806412405417475</v>
      </c>
    </row>
    <row r="37" spans="1:80">
      <c r="A37" s="3" t="str">
        <f>Cotacao!C37</f>
        <v>8/15/2019 16:56:00</v>
      </c>
      <c r="B37" s="6">
        <f>IFERROR(LN(Cotacao!D38/Cotacao!D37),B36)</f>
        <v>-5.7818820732176476E-3</v>
      </c>
      <c r="C37" s="6">
        <f>IFERROR(LN(Cotacao!F38/Cotacao!F37),C36)</f>
        <v>4.2206876042302126E-3</v>
      </c>
      <c r="D37" s="6">
        <f>IFERROR(LN(Cotacao!H38/Cotacao!H37),D36)</f>
        <v>-4.4198966981512473E-3</v>
      </c>
      <c r="E37" s="6">
        <f>IFERROR(LN(Cotacao!J38/Cotacao!J37),E36)</f>
        <v>-2.4584205630538418E-2</v>
      </c>
      <c r="F37" s="6">
        <f>IFERROR(LN(Cotacao!L38/Cotacao!L37),F36)</f>
        <v>1.8815708918810424E-2</v>
      </c>
      <c r="G37" s="6">
        <f>IFERROR(LN(Cotacao!N38/Cotacao!N37),G36)</f>
        <v>-2.2916846446751755E-2</v>
      </c>
      <c r="H37" s="6">
        <f>IFERROR(LN(Cotacao!P38/Cotacao!P37),H36)</f>
        <v>-2.2442743986475701E-2</v>
      </c>
      <c r="I37" s="6">
        <f>IFERROR(LN(Cotacao!R38/Cotacao!R37),I36)</f>
        <v>-7.1473922096533466E-3</v>
      </c>
      <c r="J37" s="6">
        <f>IFERROR(LN(Cotacao!T38/Cotacao!T37),J36)</f>
        <v>-1.7241806434506103E-2</v>
      </c>
      <c r="K37" s="6">
        <f>IFERROR(LN(Cotacao!V38/Cotacao!V37),K36)</f>
        <v>-6.1538655743781116E-3</v>
      </c>
      <c r="L37" s="6">
        <f>IFERROR(LN(Cotacao!X38/Cotacao!X37),L36)</f>
        <v>-1.2181329270996154E-3</v>
      </c>
      <c r="M37" s="6">
        <f>IFERROR(LN(Profit!B37/Profit!B36),M36)</f>
        <v>-1.5700111883097834E-2</v>
      </c>
      <c r="N37" s="6">
        <f>IFERROR(LN(Cotacao!AB38/Cotacao!AB37),N36)</f>
        <v>5.0020946314883203E-3</v>
      </c>
      <c r="O37" s="6">
        <f>IFERROR(LN(Cotacao!AD38/Cotacao!AD37),O36)</f>
        <v>-2.8176969896251207E-3</v>
      </c>
      <c r="P37" s="6">
        <f>IFERROR(LN(Cotacao!AF38/Cotacao!AF37),P36)</f>
        <v>6.207797916268425E-3</v>
      </c>
      <c r="Q37" s="6">
        <f>IFERROR(LN(Cotacao!AH38/Cotacao!AH37),Q36)</f>
        <v>-4.567260736798172E-3</v>
      </c>
      <c r="R37" s="6">
        <f>IFERROR(LN(Cotacao!AJ38/Cotacao!AJ37),R36)</f>
        <v>4.6083030861944025E-3</v>
      </c>
      <c r="S37" s="6">
        <f>IFERROR(LN(Cotacao!AL38/Cotacao!AL37),S36)</f>
        <v>1.0378150968713909E-2</v>
      </c>
      <c r="T37" s="6">
        <f>IFERROR(LN(Cotacao!AN38/Cotacao!AN37),T36)</f>
        <v>1.4846508116994638E-2</v>
      </c>
      <c r="U37" s="6">
        <f>IFERROR(LN(Cotacao!AP38/Cotacao!AP37),U36)</f>
        <v>-1.5372793188864781E-3</v>
      </c>
      <c r="V37" s="6">
        <f>IFERROR(LN(Cotacao!AR38/Cotacao!AR37),V36)</f>
        <v>-2.7560881019800805E-3</v>
      </c>
      <c r="W37" s="6">
        <f>IFERROR(LN(Cotacao!AT38/Cotacao!AT37),W36)</f>
        <v>9.1998973135834685E-3</v>
      </c>
      <c r="X37" s="6">
        <f>IFERROR(LN(Cotacao!AV38/Cotacao!AV37),X36)</f>
        <v>1.5471176517421621E-2</v>
      </c>
      <c r="Y37" s="6">
        <f>IFERROR(LN(Cotacao!AX38/Cotacao!AX37),Y36)</f>
        <v>2.5975128769481991E-3</v>
      </c>
      <c r="Z37" s="6">
        <f>IFERROR(LN(Cotacao!AZ38/Cotacao!AZ37),Z36)</f>
        <v>1.1696039763191236E-2</v>
      </c>
      <c r="AA37" s="6">
        <f>IFERROR(LN(Cotacao!BB38/Cotacao!BB37),AA36)</f>
        <v>7.5587152084703318E-3</v>
      </c>
      <c r="AB37" s="6">
        <f>IFERROR(LN(Cotacao!BD38/Cotacao!BD37),AB36)</f>
        <v>1.0181083417093083E-2</v>
      </c>
      <c r="AC37" s="6">
        <f>IFERROR(LN(Cotacao!BF38/Cotacao!BF37),AC36)</f>
        <v>-1.2598591836321605E-2</v>
      </c>
      <c r="AD37" s="6">
        <f>IFERROR(LN(Cotacao!BH38/Cotacao!BH37),AD36)</f>
        <v>2.3083170182873682E-2</v>
      </c>
      <c r="AE37" s="6">
        <f>IFERROR(LN(Cotacao!BJ38/Cotacao!BJ37),AE36)</f>
        <v>3.2056419572481474E-4</v>
      </c>
      <c r="AF37" s="6">
        <f>IFERROR(LN(Cotacao!BL38/Cotacao!BL37),AF36)</f>
        <v>1.9934214900817111E-2</v>
      </c>
      <c r="AG37" s="6">
        <f>IFERROR(LN(Cotacao!BN38/Cotacao!BN37),AG36)</f>
        <v>2.6182485945643708E-2</v>
      </c>
      <c r="AH37" s="6">
        <f>IFERROR(LN(Cotacao!BP38/Cotacao!BP37),AH36)</f>
        <v>-1.3294753358201001E-2</v>
      </c>
      <c r="AI37" s="6">
        <f>IFERROR(LN(Cotacao!BR38/Cotacao!BR37),AI36)</f>
        <v>-3.7832455671889205E-2</v>
      </c>
      <c r="AJ37" s="6">
        <f>IFERROR(LN(Profit!C37/Profit!C36),AJ36)</f>
        <v>5.0041805845757294E-3</v>
      </c>
      <c r="AK37" s="6">
        <f>IFERROR(LN(Cotacao!BV38/Cotacao!BV37),AK36)</f>
        <v>7.5315640146840076E-3</v>
      </c>
      <c r="AL37" s="6">
        <f>IFERROR(LN(Cotacao!BX38/Cotacao!BX37),AL36)</f>
        <v>1.2808958292581241E-2</v>
      </c>
      <c r="AN37" s="26" t="s">
        <v>730</v>
      </c>
      <c r="AO37" s="57">
        <f ca="1">(AO33-$AP$19)/AO11</f>
        <v>-0.36444062308432729</v>
      </c>
      <c r="AP37" s="57">
        <f ca="1">(AP33-$AP$19)/AP11</f>
        <v>-0.12077910352102972</v>
      </c>
      <c r="AQ37" s="57">
        <f t="shared" ref="AQ37:BW37" ca="1" si="181">(AQ33-$AP$19)/AQ11</f>
        <v>-4.5861354587986354E-2</v>
      </c>
      <c r="AR37" s="57">
        <f t="shared" ca="1" si="181"/>
        <v>-0.29522902571963366</v>
      </c>
      <c r="AS37" s="57">
        <f t="shared" ca="1" si="181"/>
        <v>-6.1087853134873235E-2</v>
      </c>
      <c r="AT37" s="57">
        <f t="shared" ca="1" si="181"/>
        <v>-0.24822610698584341</v>
      </c>
      <c r="AU37" s="57">
        <f t="shared" ca="1" si="181"/>
        <v>-0.11591431881793827</v>
      </c>
      <c r="AV37" s="57">
        <f t="shared" ca="1" si="181"/>
        <v>-0.41699010797748909</v>
      </c>
      <c r="AW37" s="57">
        <f t="shared" ca="1" si="181"/>
        <v>-0.12263789742278497</v>
      </c>
      <c r="AX37" s="57">
        <f t="shared" ca="1" si="181"/>
        <v>0.54948159342892311</v>
      </c>
      <c r="AY37" s="57">
        <f t="shared" ca="1" si="181"/>
        <v>-0.31802362154666097</v>
      </c>
      <c r="AZ37" s="57">
        <f ca="1">(AZ33-$AP$19)/AZ11</f>
        <v>5.8398313909973494</v>
      </c>
      <c r="BA37" s="57">
        <f t="shared" ca="1" si="181"/>
        <v>3.8033230670183218</v>
      </c>
      <c r="BB37" s="57">
        <f t="shared" ca="1" si="181"/>
        <v>-7.4254720500467372E-2</v>
      </c>
      <c r="BC37" s="57">
        <f t="shared" ca="1" si="181"/>
        <v>-0.4876535298626401</v>
      </c>
      <c r="BD37" s="57">
        <f t="shared" ca="1" si="181"/>
        <v>8.2351266389909597E-3</v>
      </c>
      <c r="BE37" s="57">
        <f t="shared" ca="1" si="181"/>
        <v>0.36749814020690208</v>
      </c>
      <c r="BF37" s="57">
        <f t="shared" ca="1" si="181"/>
        <v>-0.25541653029878508</v>
      </c>
      <c r="BG37" s="57">
        <f t="shared" ca="1" si="181"/>
        <v>-2.8498260875674079E-2</v>
      </c>
      <c r="BH37" s="57">
        <f t="shared" ca="1" si="181"/>
        <v>-0.53286810355308811</v>
      </c>
      <c r="BI37" s="57">
        <f t="shared" ca="1" si="181"/>
        <v>-0.23157412655552517</v>
      </c>
      <c r="BJ37" s="57">
        <f t="shared" ca="1" si="181"/>
        <v>4.5341441197288855E-2</v>
      </c>
      <c r="BK37" s="57">
        <f t="shared" ca="1" si="181"/>
        <v>-0.28017218230889657</v>
      </c>
      <c r="BL37" s="57">
        <f t="shared" ca="1" si="181"/>
        <v>6.9717366463014921E-2</v>
      </c>
      <c r="BM37" s="57">
        <f t="shared" ca="1" si="181"/>
        <v>-7.8141181461705511E-2</v>
      </c>
      <c r="BN37" s="57">
        <f t="shared" ca="1" si="181"/>
        <v>0.66935159779017528</v>
      </c>
      <c r="BO37" s="57">
        <f t="shared" ca="1" si="181"/>
        <v>6.4370149430113197E-2</v>
      </c>
      <c r="BP37" s="57">
        <f t="shared" ca="1" si="181"/>
        <v>1.1480286212130575</v>
      </c>
      <c r="BQ37" s="57">
        <f t="shared" ca="1" si="181"/>
        <v>5.4075205790786902E-2</v>
      </c>
      <c r="BR37" s="57">
        <f t="shared" ca="1" si="181"/>
        <v>0.20142844022962461</v>
      </c>
      <c r="BS37" s="57">
        <f t="shared" ca="1" si="181"/>
        <v>1.4682885150340641</v>
      </c>
      <c r="BT37" s="57">
        <f t="shared" ca="1" si="181"/>
        <v>0.36917328082873585</v>
      </c>
      <c r="BU37" s="57">
        <f t="shared" ca="1" si="181"/>
        <v>-0.18701168209345118</v>
      </c>
      <c r="BV37" s="57">
        <f t="shared" ca="1" si="181"/>
        <v>0.53861755610232243</v>
      </c>
      <c r="BW37" s="57">
        <f t="shared" ca="1" si="181"/>
        <v>228.27648846560024</v>
      </c>
    </row>
    <row r="38" spans="1:80">
      <c r="A38" s="3" t="str">
        <f>Cotacao!C38</f>
        <v>8/16/2019 16:56:00</v>
      </c>
      <c r="B38" s="6">
        <f>IFERROR(LN(Cotacao!D39/Cotacao!D38),B37)</f>
        <v>-1.0598933348505403E-2</v>
      </c>
      <c r="C38" s="6">
        <f>IFERROR(LN(Cotacao!F39/Cotacao!F38),C37)</f>
        <v>-2.7112533553760778E-3</v>
      </c>
      <c r="D38" s="6">
        <f>IFERROR(LN(Cotacao!H39/Cotacao!H38),D37)</f>
        <v>0</v>
      </c>
      <c r="E38" s="6">
        <f>IFERROR(LN(Cotacao!J39/Cotacao!J38),E37)</f>
        <v>-1.9749295385018142E-2</v>
      </c>
      <c r="F38" s="6">
        <f>IFERROR(LN(Cotacao!L39/Cotacao!L38),F37)</f>
        <v>-5.0505157860685915E-3</v>
      </c>
      <c r="G38" s="6">
        <f>IFERROR(LN(Cotacao!N39/Cotacao!N38),G37)</f>
        <v>-1.7742400900876396E-2</v>
      </c>
      <c r="H38" s="6">
        <f>IFERROR(LN(Cotacao!P39/Cotacao!P38),H37)</f>
        <v>-4.0733253876358982E-3</v>
      </c>
      <c r="I38" s="6">
        <f>IFERROR(LN(Cotacao!R39/Cotacao!R38),I37)</f>
        <v>2.1074823395647994E-3</v>
      </c>
      <c r="J38" s="6">
        <f>IFERROR(LN(Cotacao!T39/Cotacao!T38),J37)</f>
        <v>-1.643872634315972E-2</v>
      </c>
      <c r="K38" s="6">
        <f>IFERROR(LN(Cotacao!V39/Cotacao!V38),K37)</f>
        <v>1.023550389402671E-2</v>
      </c>
      <c r="L38" s="6">
        <f>IFERROR(LN(Cotacao!X39/Cotacao!X38),L37)</f>
        <v>1.2181329270996217E-3</v>
      </c>
      <c r="M38" s="6">
        <f>IFERROR(LN(Profit!B38/Profit!B37),M37)</f>
        <v>-7.7489732962204745E-3</v>
      </c>
      <c r="N38" s="6">
        <f>IFERROR(LN(Cotacao!AB39/Cotacao!AB38),N37)</f>
        <v>4.1493835468113969E-3</v>
      </c>
      <c r="O38" s="6">
        <f>IFERROR(LN(Cotacao!AD39/Cotacao!AD38),O37)</f>
        <v>-2.2832042042645675E-2</v>
      </c>
      <c r="P38" s="6">
        <f>IFERROR(LN(Cotacao!AF39/Cotacao!AF38),P37)</f>
        <v>1.6606879849902962E-2</v>
      </c>
      <c r="Q38" s="6">
        <f>IFERROR(LN(Cotacao!AH39/Cotacao!AH38),Q37)</f>
        <v>-9.1596067773329587E-4</v>
      </c>
      <c r="R38" s="6">
        <f>IFERROR(LN(Cotacao!AJ39/Cotacao!AJ38),R37)</f>
        <v>-9.2379409849362489E-3</v>
      </c>
      <c r="S38" s="6">
        <f>IFERROR(LN(Cotacao!AL39/Cotacao!AL38),S37)</f>
        <v>-5.9171770280885072E-3</v>
      </c>
      <c r="T38" s="6">
        <f>IFERROR(LN(Cotacao!AN39/Cotacao!AN38),T37)</f>
        <v>-9.2000860414120089E-3</v>
      </c>
      <c r="U38" s="6">
        <f>IFERROR(LN(Cotacao!AP39/Cotacao!AP38),U37)</f>
        <v>6.8352702592893431E-4</v>
      </c>
      <c r="V38" s="6">
        <f>IFERROR(LN(Cotacao!AR39/Cotacao!AR38),V37)</f>
        <v>-4.6104277147824974E-3</v>
      </c>
      <c r="W38" s="6">
        <f>IFERROR(LN(Cotacao!AT39/Cotacao!AT38),W37)</f>
        <v>-1.7661450497632288E-2</v>
      </c>
      <c r="X38" s="6">
        <f>IFERROR(LN(Cotacao!AV39/Cotacao!AV38),X37)</f>
        <v>-2.6090343749557393E-3</v>
      </c>
      <c r="Y38" s="6">
        <f>IFERROR(LN(Cotacao!AX39/Cotacao!AX38),Y37)</f>
        <v>-1.675042267694955E-3</v>
      </c>
      <c r="Z38" s="6">
        <f>IFERROR(LN(Cotacao!AZ39/Cotacao!AZ38),Z37)</f>
        <v>0</v>
      </c>
      <c r="AA38" s="6">
        <f>IFERROR(LN(Cotacao!BB39/Cotacao!BB38),AA37)</f>
        <v>-2.579451808862944E-3</v>
      </c>
      <c r="AB38" s="6">
        <f>IFERROR(LN(Cotacao!BD39/Cotacao!BD38),AB37)</f>
        <v>-2.4495670814164153E-2</v>
      </c>
      <c r="AC38" s="6">
        <f>IFERROR(LN(Cotacao!BF39/Cotacao!BF38),AC37)</f>
        <v>0.10591503700130241</v>
      </c>
      <c r="AD38" s="6">
        <f>IFERROR(LN(Cotacao!BH39/Cotacao!BH38),AD37)</f>
        <v>-8.0862974313577075E-3</v>
      </c>
      <c r="AE38" s="6">
        <f>IFERROR(LN(Cotacao!BJ39/Cotacao!BJ38),AE37)</f>
        <v>5.7526524894498414E-3</v>
      </c>
      <c r="AF38" s="6">
        <f>IFERROR(LN(Cotacao!BL39/Cotacao!BL38),AF37)</f>
        <v>-1.146902734876488E-2</v>
      </c>
      <c r="AG38" s="6">
        <f>IFERROR(LN(Cotacao!BN39/Cotacao!BN38),AG37)</f>
        <v>2.2223136784710256E-2</v>
      </c>
      <c r="AH38" s="6">
        <f>IFERROR(LN(Cotacao!BP39/Cotacao!BP38),AH37)</f>
        <v>5.0062682781442224E-3</v>
      </c>
      <c r="AI38" s="6">
        <f>IFERROR(LN(Cotacao!BR39/Cotacao!BR38),AI37)</f>
        <v>7.4349784875182116E-3</v>
      </c>
      <c r="AJ38" s="6">
        <f>IFERROR(LN(Profit!C38/Profit!C37),AJ37)</f>
        <v>-4.168409537179626E-3</v>
      </c>
      <c r="AK38" s="6">
        <f>IFERROR(LN(Cotacao!BV39/Cotacao!BV38),AK37)</f>
        <v>-3.3833772626804667E-3</v>
      </c>
      <c r="AL38" s="6">
        <f>IFERROR(LN(Cotacao!BX39/Cotacao!BX38),AL37)</f>
        <v>3.9920212695374567E-3</v>
      </c>
      <c r="AN38" s="26" t="s">
        <v>278</v>
      </c>
      <c r="AO38" s="89">
        <f ca="1">AO34/AO33</f>
        <v>-1.6567280434377083</v>
      </c>
      <c r="AP38" s="57">
        <f>AP34/AP33</f>
        <v>-8.1305596985438324</v>
      </c>
      <c r="AQ38" s="57">
        <f>AQ34/AQ33</f>
        <v>-109.20117500829735</v>
      </c>
      <c r="AR38" s="57">
        <f>AR34/AR33</f>
        <v>-2.7983228764022381</v>
      </c>
      <c r="AS38" s="57">
        <f t="shared" ref="AS38:BW38" si="182">AS34/AS33</f>
        <v>-20.725577497291518</v>
      </c>
      <c r="AT38" s="57">
        <f t="shared" si="182"/>
        <v>-2.3995111622744876</v>
      </c>
      <c r="AU38" s="57">
        <f t="shared" si="182"/>
        <v>-6.3564408334039308</v>
      </c>
      <c r="AV38" s="57">
        <f t="shared" si="182"/>
        <v>-1.6222088707588251</v>
      </c>
      <c r="AW38" s="57">
        <f t="shared" si="182"/>
        <v>-5.8351862471612259</v>
      </c>
      <c r="AX38" s="57">
        <f>AX34/AX33</f>
        <v>1.1031564314616986</v>
      </c>
      <c r="AY38" s="57">
        <f t="shared" si="182"/>
        <v>-4.0325190342018233</v>
      </c>
      <c r="AZ38" s="57">
        <f t="shared" si="182"/>
        <v>1.4789490373388128</v>
      </c>
      <c r="BA38" s="57">
        <f t="shared" si="182"/>
        <v>-1.9993661501541573</v>
      </c>
      <c r="BB38" s="57">
        <f t="shared" si="182"/>
        <v>-17.497139796961203</v>
      </c>
      <c r="BC38" s="57">
        <f t="shared" si="182"/>
        <v>-1.3579349469076789</v>
      </c>
      <c r="BD38" s="57">
        <f>BD34/BD33</f>
        <v>17.777192354218421</v>
      </c>
      <c r="BE38" s="57">
        <f t="shared" si="182"/>
        <v>1.9588727173560885</v>
      </c>
      <c r="BF38" s="57">
        <f t="shared" si="182"/>
        <v>-2.6147739015198184</v>
      </c>
      <c r="BG38" s="57">
        <f t="shared" si="182"/>
        <v>34.226741056472797</v>
      </c>
      <c r="BH38" s="57">
        <f t="shared" si="182"/>
        <v>-2.0541638599826477</v>
      </c>
      <c r="BI38" s="57">
        <f t="shared" si="182"/>
        <v>-5.5382301133890142</v>
      </c>
      <c r="BJ38" s="57">
        <f t="shared" si="182"/>
        <v>7.5664336520849398</v>
      </c>
      <c r="BK38" s="57">
        <f t="shared" si="182"/>
        <v>-4.1606113238298335</v>
      </c>
      <c r="BL38" s="57">
        <f t="shared" si="182"/>
        <v>6.1901159445818266</v>
      </c>
      <c r="BM38" s="57">
        <f t="shared" si="182"/>
        <v>-23.616306070459959</v>
      </c>
      <c r="BN38" s="57">
        <f t="shared" si="182"/>
        <v>1.1433581608323835</v>
      </c>
      <c r="BO38" s="57">
        <f t="shared" si="182"/>
        <v>7.1121851834033807</v>
      </c>
      <c r="BP38" s="57">
        <f t="shared" si="182"/>
        <v>0.61171032825135163</v>
      </c>
      <c r="BQ38" s="57">
        <f t="shared" si="182"/>
        <v>8.1035787972546309</v>
      </c>
      <c r="BR38" s="57">
        <f t="shared" si="182"/>
        <v>2.9635291233739234</v>
      </c>
      <c r="BS38" s="57">
        <f t="shared" si="182"/>
        <v>0.44579131990003606</v>
      </c>
      <c r="BT38" s="57">
        <f t="shared" si="182"/>
        <v>1.3573868287294391</v>
      </c>
      <c r="BU38" s="57">
        <f t="shared" si="182"/>
        <v>-3.0245897914199746</v>
      </c>
      <c r="BV38" s="57">
        <f t="shared" si="182"/>
        <v>1.071161103566447</v>
      </c>
      <c r="BW38" s="57">
        <f t="shared" si="182"/>
        <v>1.5474752148601656</v>
      </c>
      <c r="BX38" s="43"/>
    </row>
    <row r="39" spans="1:80">
      <c r="A39" s="3" t="str">
        <f>Cotacao!C39</f>
        <v>8/19/2019 16:56:00</v>
      </c>
      <c r="B39" s="6">
        <f>IFERROR(LN(Cotacao!D40/Cotacao!D39),B38)</f>
        <v>-1.066098181997612E-3</v>
      </c>
      <c r="C39" s="6">
        <f>IFERROR(LN(Cotacao!F40/Cotacao!F39),C38)</f>
        <v>-2.1138464763809416E-3</v>
      </c>
      <c r="D39" s="6">
        <f>IFERROR(LN(Cotacao!H40/Cotacao!H39),D38)</f>
        <v>-1.8779894651596244E-2</v>
      </c>
      <c r="E39" s="6">
        <f>IFERROR(LN(Cotacao!J40/Cotacao!J39),E38)</f>
        <v>9.0253320220424361E-3</v>
      </c>
      <c r="F39" s="6">
        <f>IFERROR(LN(Cotacao!L40/Cotacao!L39),F38)</f>
        <v>-2.0461071871339945E-2</v>
      </c>
      <c r="G39" s="6">
        <f>IFERROR(LN(Cotacao!N40/Cotacao!N39),G38)</f>
        <v>-1.5580470975248022E-2</v>
      </c>
      <c r="H39" s="6">
        <f>IFERROR(LN(Cotacao!P40/Cotacao!P39),H38)</f>
        <v>-8.196767204178515E-3</v>
      </c>
      <c r="I39" s="6">
        <f>IFERROR(LN(Cotacao!R40/Cotacao!R39),I38)</f>
        <v>-1.1007731809828865E-2</v>
      </c>
      <c r="J39" s="6">
        <f>IFERROR(LN(Cotacao!T40/Cotacao!T39),J38)</f>
        <v>-1.6151840970209951E-2</v>
      </c>
      <c r="K39" s="6">
        <f>IFERROR(LN(Cotacao!V40/Cotacao!V39),K38)</f>
        <v>8.113634774169631E-3</v>
      </c>
      <c r="L39" s="6">
        <f>IFERROR(LN(Cotacao!X40/Cotacao!X39),L38)</f>
        <v>0</v>
      </c>
      <c r="M39" s="6">
        <f>IFERROR(LN(Profit!B39/Profit!B38),M38)</f>
        <v>2.3310033864756084E-3</v>
      </c>
      <c r="N39" s="6">
        <f>IFERROR(LN(Cotacao!AB40/Cotacao!AB39),N38)</f>
        <v>-1.9231361927887533E-2</v>
      </c>
      <c r="O39" s="6">
        <f>IFERROR(LN(Cotacao!AD40/Cotacao!AD39),O38)</f>
        <v>-5.2098525944508541E-3</v>
      </c>
      <c r="P39" s="6">
        <f>IFERROR(LN(Cotacao!AF40/Cotacao!AF39),P38)</f>
        <v>5.7122611590668436E-3</v>
      </c>
      <c r="Q39" s="6">
        <f>IFERROR(LN(Cotacao!AH40/Cotacao!AH39),Q38)</f>
        <v>4.3433603541490886E-3</v>
      </c>
      <c r="R39" s="6">
        <f>IFERROR(LN(Cotacao!AJ40/Cotacao!AJ39),R38)</f>
        <v>3.7121420335054514E-2</v>
      </c>
      <c r="S39" s="6">
        <f>IFERROR(LN(Cotacao!AL40/Cotacao!AL39),S38)</f>
        <v>8.8626872578453243E-3</v>
      </c>
      <c r="T39" s="6">
        <f>IFERROR(LN(Cotacao!AN40/Cotacao!AN39),T38)</f>
        <v>-9.9290838675832292E-3</v>
      </c>
      <c r="U39" s="6">
        <f>IFERROR(LN(Cotacao!AP40/Cotacao!AP39),U38)</f>
        <v>-8.5415332104034494E-5</v>
      </c>
      <c r="V39" s="6">
        <f>IFERROR(LN(Cotacao!AR40/Cotacao!AR39),V38)</f>
        <v>-2.7764941482923181E-3</v>
      </c>
      <c r="W39" s="6">
        <f>IFERROR(LN(Cotacao!AT40/Cotacao!AT39),W38)</f>
        <v>-2.4708529525194606E-2</v>
      </c>
      <c r="X39" s="6">
        <f>IFERROR(LN(Cotacao!AV40/Cotacao!AV39),X38)</f>
        <v>-1.3005193426595046E-2</v>
      </c>
      <c r="Y39" s="6">
        <f>IFERROR(LN(Cotacao!AX40/Cotacao!AX39),Y38)</f>
        <v>-1.3077596207343322E-2</v>
      </c>
      <c r="Z39" s="6">
        <f>IFERROR(LN(Cotacao!AZ40/Cotacao!AZ39),Z38)</f>
        <v>-1.1696039763191187E-2</v>
      </c>
      <c r="AA39" s="6">
        <f>IFERROR(LN(Cotacao!BB40/Cotacao!BB39),AA38)</f>
        <v>-6.6227358545969947E-5</v>
      </c>
      <c r="AB39" s="6">
        <f>IFERROR(LN(Cotacao!BD40/Cotacao!BD39),AB38)</f>
        <v>9.1849095770725701E-3</v>
      </c>
      <c r="AC39" s="6">
        <f>IFERROR(LN(Cotacao!BF40/Cotacao!BF39),AC38)</f>
        <v>-2.015907000178923E-2</v>
      </c>
      <c r="AD39" s="6">
        <f>IFERROR(LN(Cotacao!BH40/Cotacao!BH39),AD38)</f>
        <v>-6.5164498854679365E-3</v>
      </c>
      <c r="AE39" s="6">
        <f>IFERROR(LN(Cotacao!BJ40/Cotacao!BJ39),AE38)</f>
        <v>1.2738855225885536E-3</v>
      </c>
      <c r="AF39" s="6">
        <f>IFERROR(LN(Cotacao!BL40/Cotacao!BL39),AF38)</f>
        <v>2.658397666610099E-3</v>
      </c>
      <c r="AG39" s="6">
        <f>IFERROR(LN(Cotacao!BN40/Cotacao!BN39),AG38)</f>
        <v>5.6980211146375748E-3</v>
      </c>
      <c r="AH39" s="6">
        <f>IFERROR(LN(Cotacao!BP40/Cotacao!BP39),AH38)</f>
        <v>-4.1623309654010014E-4</v>
      </c>
      <c r="AI39" s="6">
        <f>IFERROR(LN(Cotacao!BR40/Cotacao!BR39),AI38)</f>
        <v>-3.2625227316076609E-2</v>
      </c>
      <c r="AJ39" s="6">
        <f>IFERROR(LN(Profit!C39/Profit!C38),AJ38)</f>
        <v>4.1684095371795748E-3</v>
      </c>
      <c r="AK39" s="6">
        <f>IFERROR(LN(Cotacao!BV40/Cotacao!BV39),AK38)</f>
        <v>-2.4804367138964918E-3</v>
      </c>
      <c r="AL39" s="6">
        <f>IFERROR(LN(Cotacao!BX40/Cotacao!BX39),AL38)</f>
        <v>-2.903014808853057E-2</v>
      </c>
      <c r="AN39" s="34" t="s">
        <v>280</v>
      </c>
      <c r="AO39" s="86">
        <f t="array" aca="1" ref="AO39" ca="1">MMULT(AO28:BW28,TRANSPOSE(AO6:BW6))</f>
        <v>3.9707060066950488E-4</v>
      </c>
      <c r="AX39" s="58"/>
      <c r="AZ39" s="58"/>
      <c r="BE39" s="58"/>
      <c r="BN39" s="58"/>
      <c r="BP39" s="58"/>
      <c r="BR39" s="20"/>
      <c r="BS39" s="58"/>
      <c r="BT39" s="58"/>
      <c r="BV39" s="58"/>
      <c r="BW39" s="58"/>
    </row>
    <row r="40" spans="1:80" ht="15.6">
      <c r="A40" s="3" t="str">
        <f>Cotacao!C40</f>
        <v>8/20/2019 16:56:00</v>
      </c>
      <c r="B40" s="6">
        <f>IFERROR(LN(Cotacao!D41/Cotacao!D40),B39)</f>
        <v>7.9681696491768813E-3</v>
      </c>
      <c r="C40" s="6">
        <f>IFERROR(LN(Cotacao!F41/Cotacao!F40),C39)</f>
        <v>6.3281814314430744E-3</v>
      </c>
      <c r="D40" s="6">
        <f>IFERROR(LN(Cotacao!H41/Cotacao!H40),D39)</f>
        <v>5.8506017470663042E-3</v>
      </c>
      <c r="E40" s="6">
        <f>IFERROR(LN(Cotacao!J41/Cotacao!J40),E39)</f>
        <v>-2.6990569691650581E-3</v>
      </c>
      <c r="F40" s="6">
        <f>IFERROR(LN(Cotacao!L41/Cotacao!L40),F39)</f>
        <v>1.2326812480658462E-2</v>
      </c>
      <c r="G40" s="6">
        <f>IFERROR(LN(Cotacao!N41/Cotacao!N40),G39)</f>
        <v>1.2320484388040657E-2</v>
      </c>
      <c r="H40" s="6">
        <f>IFERROR(LN(Cotacao!P41/Cotacao!P40),H39)</f>
        <v>1.3285836711649719E-2</v>
      </c>
      <c r="I40" s="6">
        <f>IFERROR(LN(Cotacao!R41/Cotacao!R40),I39)</f>
        <v>1.4790043526327734E-2</v>
      </c>
      <c r="J40" s="6">
        <f>IFERROR(LN(Cotacao!T41/Cotacao!T40),J39)</f>
        <v>5.8343063415784414E-2</v>
      </c>
      <c r="K40" s="6">
        <f>IFERROR(LN(Cotacao!V41/Cotacao!V40),K39)</f>
        <v>3.5718082602079246E-2</v>
      </c>
      <c r="L40" s="6">
        <f>IFERROR(LN(Cotacao!X41/Cotacao!X40),L39)</f>
        <v>6.5005646030934627E-3</v>
      </c>
      <c r="M40" s="6">
        <f>IFERROR(LN(Profit!B40/Profit!B39),M39)</f>
        <v>9.6544484200854798E-3</v>
      </c>
      <c r="N40" s="6">
        <f>IFERROR(LN(Cotacao!AB41/Cotacao!AB40),N39)</f>
        <v>3.3712632014083932E-3</v>
      </c>
      <c r="O40" s="6">
        <f>IFERROR(LN(Cotacao!AD41/Cotacao!AD40),O39)</f>
        <v>6.9404558530300042E-3</v>
      </c>
      <c r="P40" s="6">
        <f>IFERROR(LN(Cotacao!AF41/Cotacao!AF40),P39)</f>
        <v>-1.217780092370876E-2</v>
      </c>
      <c r="Q40" s="6">
        <f>IFERROR(LN(Cotacao!AH41/Cotacao!AH40),Q39)</f>
        <v>7.046284410208852E-3</v>
      </c>
      <c r="R40" s="6">
        <f>IFERROR(LN(Cotacao!AJ41/Cotacao!AJ40),R39)</f>
        <v>1.0010093595100425E-2</v>
      </c>
      <c r="S40" s="6">
        <f>IFERROR(LN(Cotacao!AL41/Cotacao!AL40),S39)</f>
        <v>1.0241494052196921E-2</v>
      </c>
      <c r="T40" s="6">
        <f>IFERROR(LN(Cotacao!AN41/Cotacao!AN40),T39)</f>
        <v>1.9294678512453815E-3</v>
      </c>
      <c r="U40" s="6">
        <f>IFERROR(LN(Cotacao!AP41/Cotacao!AP40),U39)</f>
        <v>1.536360834807787E-3</v>
      </c>
      <c r="V40" s="6">
        <f>IFERROR(LN(Cotacao!AR41/Cotacao!AR40),V39)</f>
        <v>9.2635486013088264E-4</v>
      </c>
      <c r="W40" s="6">
        <f>IFERROR(LN(Cotacao!AT41/Cotacao!AT40),W39)</f>
        <v>-3.722386099459843E-3</v>
      </c>
      <c r="X40" s="6">
        <f>IFERROR(LN(Cotacao!AV41/Cotacao!AV40),X39)</f>
        <v>-6.0986736111972991E-3</v>
      </c>
      <c r="Y40" s="6">
        <f>IFERROR(LN(Cotacao!AX41/Cotacao!AX40),Y39)</f>
        <v>-2.55102179160533E-3</v>
      </c>
      <c r="Z40" s="6">
        <f>IFERROR(LN(Cotacao!AZ41/Cotacao!AZ40),Z39)</f>
        <v>9.367750003600241E-3</v>
      </c>
      <c r="AA40" s="6">
        <f>IFERROR(LN(Cotacao!BB41/Cotacao!BB40),AA39)</f>
        <v>-5.9784952881549447E-3</v>
      </c>
      <c r="AB40" s="6">
        <f>IFERROR(LN(Cotacao!BD41/Cotacao!BD40),AB39)</f>
        <v>9.6674054021367306E-3</v>
      </c>
      <c r="AC40" s="6">
        <f>IFERROR(LN(Cotacao!BF41/Cotacao!BF40),AC39)</f>
        <v>6.2035390919452697E-2</v>
      </c>
      <c r="AD40" s="6">
        <f>IFERROR(LN(Cotacao!BH41/Cotacao!BH40),AD39)</f>
        <v>6.7870492647404473E-3</v>
      </c>
      <c r="AE40" s="6">
        <f>IFERROR(LN(Cotacao!BJ41/Cotacao!BJ40),AE39)</f>
        <v>1.6414509959391178E-2</v>
      </c>
      <c r="AF40" s="6">
        <f>IFERROR(LN(Cotacao!BL41/Cotacao!BL40),AF39)</f>
        <v>2.0149608562672738E-2</v>
      </c>
      <c r="AG40" s="6">
        <f>IFERROR(LN(Cotacao!BN41/Cotacao!BN40),AG39)</f>
        <v>1.3103299538071603E-3</v>
      </c>
      <c r="AH40" s="6">
        <f>IFERROR(LN(Cotacao!BP41/Cotacao!BP40),AH39)</f>
        <v>5.7828926344694269E-2</v>
      </c>
      <c r="AI40" s="6">
        <f>IFERROR(LN(Cotacao!BR41/Cotacao!BR40),AI39)</f>
        <v>2.8294877214855619E-2</v>
      </c>
      <c r="AJ40" s="6">
        <f>IFERROR(LN(Profit!C40/Profit!C39),AJ39)</f>
        <v>1.0757240679495933E-2</v>
      </c>
      <c r="AK40" s="6">
        <f>IFERROR(LN(Cotacao!BV41/Cotacao!BV40),AK39)</f>
        <v>1.9755247885232155E-2</v>
      </c>
      <c r="AL40" s="6">
        <f>IFERROR(LN(Cotacao!BX41/Cotacao!BX40),AL39)</f>
        <v>-5.9835631029698704E-3</v>
      </c>
      <c r="AN40" s="34" t="s">
        <v>281</v>
      </c>
      <c r="AO40" s="86" cm="1">
        <f t="array" ref="AO40">SQRT(MMULT(AO28:BW28,MMULT(AO64:BW98,TRANSPOSE(AO28:BW28))))</f>
        <v>2.0733824380019101E-2</v>
      </c>
      <c r="AR40" s="90"/>
      <c r="AS40" s="91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78"/>
    </row>
    <row r="41" spans="1:80" ht="14.4" customHeight="1">
      <c r="A41" s="3" t="str">
        <f>Cotacao!C41</f>
        <v>8/21/2019 16:56:00</v>
      </c>
      <c r="B41" s="6">
        <f>IFERROR(LN(Cotacao!D42/Cotacao!D41),B40)</f>
        <v>-1.7614546700982208E-2</v>
      </c>
      <c r="C41" s="6">
        <f>IFERROR(LN(Cotacao!F42/Cotacao!F41),C40)</f>
        <v>-2.0944763214271519E-2</v>
      </c>
      <c r="D41" s="6">
        <f>IFERROR(LN(Cotacao!H42/Cotacao!H41),D40)</f>
        <v>-1.2644106135464407E-2</v>
      </c>
      <c r="E41" s="6">
        <f>IFERROR(LN(Cotacao!J42/Cotacao!J41),E40)</f>
        <v>-2.0018866890491791E-2</v>
      </c>
      <c r="F41" s="6">
        <f>IFERROR(LN(Cotacao!L42/Cotacao!L41),F40)</f>
        <v>5.1033428002234774E-4</v>
      </c>
      <c r="G41" s="6">
        <f>IFERROR(LN(Cotacao!N42/Cotacao!N41),G40)</f>
        <v>-1.6461277054071962E-2</v>
      </c>
      <c r="H41" s="6">
        <f>IFERROR(LN(Cotacao!P42/Cotacao!P41),H40)</f>
        <v>-1.3971943085048458E-2</v>
      </c>
      <c r="I41" s="6">
        <f>IFERROR(LN(Cotacao!R42/Cotacao!R41),I40)</f>
        <v>-1.0118130165584554E-2</v>
      </c>
      <c r="J41" s="6">
        <f>IFERROR(LN(Cotacao!T42/Cotacao!T41),J40)</f>
        <v>1.6807118316381191E-2</v>
      </c>
      <c r="K41" s="6">
        <f>IFERROR(LN(Cotacao!V42/Cotacao!V41),K40)</f>
        <v>0</v>
      </c>
      <c r="L41" s="6">
        <f>IFERROR(LN(Cotacao!X42/Cotacao!X41),L40)</f>
        <v>-2.162163004495237E-3</v>
      </c>
      <c r="M41" s="6">
        <f>IFERROR(LN(Profit!B41/Profit!B40),M40)</f>
        <v>7.6834425600916332E-4</v>
      </c>
      <c r="N41" s="6">
        <f>IFERROR(LN(Cotacao!AB42/Cotacao!AB41),N40)</f>
        <v>8.3787670741903523E-3</v>
      </c>
      <c r="O41" s="6">
        <f>IFERROR(LN(Cotacao!AD42/Cotacao!AD41),O40)</f>
        <v>-1.3345135679272167E-2</v>
      </c>
      <c r="P41" s="6">
        <f>IFERROR(LN(Cotacao!AF42/Cotacao!AF41),P40)</f>
        <v>-1.3057856917456704E-2</v>
      </c>
      <c r="Q41" s="6">
        <f>IFERROR(LN(Cotacao!AH42/Cotacao!AH41),Q40)</f>
        <v>-5.9064233498263598E-3</v>
      </c>
      <c r="R41" s="6">
        <f>IFERROR(LN(Cotacao!AJ42/Cotacao!AJ41),R40)</f>
        <v>-1.7722645312245079E-3</v>
      </c>
      <c r="S41" s="6">
        <f>IFERROR(LN(Cotacao!AL42/Cotacao!AL41),S40)</f>
        <v>1.1577553342442893E-2</v>
      </c>
      <c r="T41" s="6">
        <f>IFERROR(LN(Cotacao!AN42/Cotacao!AN41),T40)</f>
        <v>-2.1440831541401435E-3</v>
      </c>
      <c r="U41" s="6">
        <f>IFERROR(LN(Cotacao!AP42/Cotacao!AP41),U40)</f>
        <v>-4.2653018347649371E-4</v>
      </c>
      <c r="V41" s="6">
        <f>IFERROR(LN(Cotacao!AR42/Cotacao!AR41),V40)</f>
        <v>4.6189458562944583E-3</v>
      </c>
      <c r="W41" s="6">
        <f>IFERROR(LN(Cotacao!AT42/Cotacao!AT41),W40)</f>
        <v>3.5048292618780866E-3</v>
      </c>
      <c r="X41" s="6">
        <f>IFERROR(LN(Cotacao!AV42/Cotacao!AV41),X40)</f>
        <v>-1.6691243814435635E-2</v>
      </c>
      <c r="Y41" s="6">
        <f>IFERROR(LN(Cotacao!AX42/Cotacao!AX41),Y40)</f>
        <v>-2.1080582741671811E-2</v>
      </c>
      <c r="Z41" s="6">
        <f>IFERROR(LN(Cotacao!AZ42/Cotacao!AZ41),Z40)</f>
        <v>-2.5975486403260677E-2</v>
      </c>
      <c r="AA41" s="6">
        <f>IFERROR(LN(Cotacao!BB42/Cotacao!BB41),AA40)</f>
        <v>4.7193414056324072E-3</v>
      </c>
      <c r="AB41" s="6">
        <f>IFERROR(LN(Cotacao!BD42/Cotacao!BD41),AB40)</f>
        <v>-5.6609115579119083E-4</v>
      </c>
      <c r="AC41" s="6">
        <f>IFERROR(LN(Cotacao!BF42/Cotacao!BF41),AC40)</f>
        <v>1.1552965738036483E-2</v>
      </c>
      <c r="AD41" s="6">
        <f>IFERROR(LN(Cotacao!BH42/Cotacao!BH41),AD40)</f>
        <v>-2.6317308317373417E-2</v>
      </c>
      <c r="AE41" s="6">
        <f>IFERROR(LN(Cotacao!BJ42/Cotacao!BJ41),AE40)</f>
        <v>-5.0219816782963011E-3</v>
      </c>
      <c r="AF41" s="6">
        <f>IFERROR(LN(Cotacao!BL42/Cotacao!BL41),AF40)</f>
        <v>-1.4413876976461005E-2</v>
      </c>
      <c r="AG41" s="6">
        <f>IFERROR(LN(Cotacao!BN42/Cotacao!BN41),AG40)</f>
        <v>-7.6679091884303274E-3</v>
      </c>
      <c r="AH41" s="6">
        <f>IFERROR(LN(Cotacao!BP42/Cotacao!BP41),AH40)</f>
        <v>-9.0784124597582724E-3</v>
      </c>
      <c r="AI41" s="6">
        <f>IFERROR(LN(Cotacao!BR42/Cotacao!BR41),AI40)</f>
        <v>-1.8616201467000699E-3</v>
      </c>
      <c r="AJ41" s="6">
        <f>IFERROR(LN(Profit!C41/Profit!C40),AJ40)</f>
        <v>-1.8272933676732769E-2</v>
      </c>
      <c r="AK41" s="6">
        <f>IFERROR(LN(Cotacao!BV42/Cotacao!BV41),AK40)</f>
        <v>-1.1834551754030134E-2</v>
      </c>
      <c r="AL41" s="6">
        <f>IFERROR(LN(Cotacao!BX42/Cotacao!BX41),AL40)</f>
        <v>-6.0195817583860393E-3</v>
      </c>
      <c r="AN41" s="34" t="s">
        <v>282</v>
      </c>
      <c r="AO41" s="87">
        <f ca="1">(1+AO39)^252-1</f>
        <v>0.10521725977900087</v>
      </c>
      <c r="AR41" s="92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4"/>
      <c r="CB41" s="78"/>
    </row>
    <row r="42" spans="1:80" ht="14.4" customHeight="1">
      <c r="A42" s="3" t="str">
        <f>Cotacao!C42</f>
        <v>8/22/2019 16:56:00</v>
      </c>
      <c r="B42" s="6">
        <f>IFERROR(LN(Cotacao!D43/Cotacao!D42),B41)</f>
        <v>-9.7403367483846412E-3</v>
      </c>
      <c r="C42" s="6">
        <f>IFERROR(LN(Cotacao!F43/Cotacao!F42),C41)</f>
        <v>-1.2656443061945315E-2</v>
      </c>
      <c r="D42" s="6">
        <f>IFERROR(LN(Cotacao!H43/Cotacao!H42),D41)</f>
        <v>-6.3825153981708202E-3</v>
      </c>
      <c r="E42" s="6">
        <f>IFERROR(LN(Cotacao!J43/Cotacao!J42),E41)</f>
        <v>-2.796081499764326E-2</v>
      </c>
      <c r="F42" s="6">
        <f>IFERROR(LN(Cotacao!L43/Cotacao!L42),F41)</f>
        <v>-2.688890021633129E-2</v>
      </c>
      <c r="G42" s="6">
        <f>IFERROR(LN(Cotacao!N43/Cotacao!N42),G41)</f>
        <v>-1.4208346002165083E-2</v>
      </c>
      <c r="H42" s="6">
        <f>IFERROR(LN(Cotacao!P43/Cotacao!P42),H41)</f>
        <v>-8.9624867424333496E-3</v>
      </c>
      <c r="I42" s="6">
        <f>IFERROR(LN(Cotacao!R43/Cotacao!R42),I41)</f>
        <v>-4.2462908814512078E-3</v>
      </c>
      <c r="J42" s="6">
        <f>IFERROR(LN(Cotacao!T43/Cotacao!T42),J41)</f>
        <v>-2.4783762577738656E-2</v>
      </c>
      <c r="K42" s="6">
        <f>IFERROR(LN(Cotacao!V43/Cotacao!V42),K41)</f>
        <v>-1.9685675071030213E-2</v>
      </c>
      <c r="L42" s="6">
        <f>IFERROR(LN(Cotacao!X43/Cotacao!X42),L41)</f>
        <v>1.2903404835907782E-2</v>
      </c>
      <c r="M42" s="6">
        <f>IFERROR(LN(Profit!B42/Profit!B41),M41)</f>
        <v>8.793786357080122E-3</v>
      </c>
      <c r="N42" s="6">
        <f>IFERROR(LN(Cotacao!AB43/Cotacao!AB42),N41)</f>
        <v>-2.9638071132092547E-2</v>
      </c>
      <c r="O42" s="6">
        <f>IFERROR(LN(Cotacao!AD43/Cotacao!AD42),O41)</f>
        <v>-1.8868484304382805E-2</v>
      </c>
      <c r="P42" s="6">
        <f>IFERROR(LN(Cotacao!AF43/Cotacao!AF42),P41)</f>
        <v>1.1254429918306004E-2</v>
      </c>
      <c r="Q42" s="6">
        <f>IFERROR(LN(Cotacao!AH43/Cotacao!AH42),Q41)</f>
        <v>-1.3995869161916565E-2</v>
      </c>
      <c r="R42" s="6">
        <f>IFERROR(LN(Cotacao!AJ43/Cotacao!AJ42),R41)</f>
        <v>-7.1206353380238816E-3</v>
      </c>
      <c r="S42" s="6">
        <f>IFERROR(LN(Cotacao!AL43/Cotacao!AL42),S41)</f>
        <v>-4.2622175024403047E-2</v>
      </c>
      <c r="T42" s="6">
        <f>IFERROR(LN(Cotacao!AN43/Cotacao!AN42),T41)</f>
        <v>-4.0864665964959572E-3</v>
      </c>
      <c r="U42" s="6">
        <f>IFERROR(LN(Cotacao!AP43/Cotacao!AP42),U41)</f>
        <v>3.4071583216141346E-3</v>
      </c>
      <c r="V42" s="6">
        <f>IFERROR(LN(Cotacao!AR43/Cotacao!AR42),V41)</f>
        <v>9.2123451932084018E-4</v>
      </c>
      <c r="W42" s="6">
        <f>IFERROR(LN(Cotacao!AT43/Cotacao!AT42),W41)</f>
        <v>-7.8637364602145762E-3</v>
      </c>
      <c r="X42" s="6">
        <f>IFERROR(LN(Cotacao!AV43/Cotacao!AV42),X41)</f>
        <v>-2.820224016825456E-2</v>
      </c>
      <c r="Y42" s="6">
        <f>IFERROR(LN(Cotacao!AX43/Cotacao!AX42),Y41)</f>
        <v>7.105133434393643E-3</v>
      </c>
      <c r="Z42" s="6">
        <f>IFERROR(LN(Cotacao!AZ43/Cotacao!AZ42),Z41)</f>
        <v>-5.4067221270275703E-2</v>
      </c>
      <c r="AA42" s="6">
        <f>IFERROR(LN(Cotacao!BB43/Cotacao!BB42),AA41)</f>
        <v>5.95043078063067E-3</v>
      </c>
      <c r="AB42" s="6">
        <f>IFERROR(LN(Cotacao!BD43/Cotacao!BD42),AB41)</f>
        <v>-1.4831988955330652E-2</v>
      </c>
      <c r="AC42" s="6">
        <f>IFERROR(LN(Cotacao!BF43/Cotacao!BF42),AC41)</f>
        <v>1.342302033214055E-2</v>
      </c>
      <c r="AD42" s="6">
        <f>IFERROR(LN(Cotacao!BH43/Cotacao!BH42),AD41)</f>
        <v>-3.6779251503296362E-2</v>
      </c>
      <c r="AE42" s="6">
        <f>IFERROR(LN(Cotacao!BJ43/Cotacao!BJ42),AE41)</f>
        <v>-1.2594460103070599E-3</v>
      </c>
      <c r="AF42" s="6">
        <f>IFERROR(LN(Cotacao!BL43/Cotacao!BL42),AF41)</f>
        <v>-2.2692853652967922E-2</v>
      </c>
      <c r="AG42" s="6">
        <f>IFERROR(LN(Cotacao!BN43/Cotacao!BN42),AG41)</f>
        <v>-3.6734253406201435E-2</v>
      </c>
      <c r="AH42" s="6">
        <f>IFERROR(LN(Cotacao!BP43/Cotacao!BP42),AH41)</f>
        <v>-3.7984364345475849E-2</v>
      </c>
      <c r="AI42" s="6">
        <f>IFERROR(LN(Cotacao!BR43/Cotacao!BR42),AI41)</f>
        <v>-6.0818740035039225E-2</v>
      </c>
      <c r="AJ42" s="6">
        <f>IFERROR(LN(Profit!C42/Profit!C41),AJ41)</f>
        <v>4.1823565774785736E-3</v>
      </c>
      <c r="AK42" s="6">
        <f>IFERROR(LN(Cotacao!BV43/Cotacao!BV42),AK41)</f>
        <v>-2.3714229279094959E-2</v>
      </c>
      <c r="AL42" s="6">
        <f>IFERROR(LN(Cotacao!BX43/Cotacao!BX42),AL41)</f>
        <v>-4.1595824769437564E-3</v>
      </c>
      <c r="AN42" s="34" t="s">
        <v>283</v>
      </c>
      <c r="AO42" s="86">
        <f>AO40*SQRT(252)</f>
        <v>0.32913925822091106</v>
      </c>
      <c r="AR42" s="95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78"/>
    </row>
    <row r="43" spans="1:80">
      <c r="A43" s="3" t="str">
        <f>Cotacao!C43</f>
        <v>8/23/2019 16:56:00</v>
      </c>
      <c r="B43" s="6">
        <f>IFERROR(LN(Cotacao!D44/Cotacao!D43),B42)</f>
        <v>-2.5889631069445283E-2</v>
      </c>
      <c r="C43" s="6">
        <f>IFERROR(LN(Cotacao!F44/Cotacao!F43),C42)</f>
        <v>-9.6769913887024602E-3</v>
      </c>
      <c r="D43" s="6">
        <f>IFERROR(LN(Cotacao!H44/Cotacao!H43),D42)</f>
        <v>-1.6136818574320862E-2</v>
      </c>
      <c r="E43" s="6">
        <f>IFERROR(LN(Cotacao!J44/Cotacao!J43),E42)</f>
        <v>-3.3640846466618191E-2</v>
      </c>
      <c r="F43" s="6">
        <f>IFERROR(LN(Cotacao!L44/Cotacao!L43),F42)</f>
        <v>1.0946160897497295E-2</v>
      </c>
      <c r="G43" s="6">
        <f>IFERROR(LN(Cotacao!N44/Cotacao!N43),G42)</f>
        <v>-4.2176359442034688E-3</v>
      </c>
      <c r="H43" s="6">
        <f>IFERROR(LN(Cotacao!P44/Cotacao!P43),H42)</f>
        <v>-4.1637811717795013E-3</v>
      </c>
      <c r="I43" s="6">
        <f>IFERROR(LN(Cotacao!R44/Cotacao!R43),I42)</f>
        <v>-2.1506205220963619E-2</v>
      </c>
      <c r="J43" s="6">
        <f>IFERROR(LN(Cotacao!T44/Cotacao!T43),J42)</f>
        <v>-5.9390733076691488E-2</v>
      </c>
      <c r="K43" s="6">
        <f>IFERROR(LN(Cotacao!V44/Cotacao!V43),K42)</f>
        <v>-3.2326047017149494E-2</v>
      </c>
      <c r="L43" s="6">
        <f>IFERROR(LN(Cotacao!X44/Cotacao!X43),L42)</f>
        <v>-1.4540480686991448E-3</v>
      </c>
      <c r="M43" s="6">
        <f>IFERROR(LN(Profit!B43/Profit!B42),M42)</f>
        <v>3.8058991896127049E-4</v>
      </c>
      <c r="N43" s="6">
        <f>IFERROR(LN(Cotacao!AB44/Cotacao!AB43),N42)</f>
        <v>-2.5817570278546297E-3</v>
      </c>
      <c r="O43" s="6">
        <f>IFERROR(LN(Cotacao!AD44/Cotacao!AD43),O42)</f>
        <v>-5.9701669865039079E-3</v>
      </c>
      <c r="P43" s="6">
        <f>IFERROR(LN(Cotacao!AF44/Cotacao!AF43),P42)</f>
        <v>-1.7847860398137808E-2</v>
      </c>
      <c r="Q43" s="6">
        <f>IFERROR(LN(Cotacao!AH44/Cotacao!AH43),Q42)</f>
        <v>-1.1152531950475116E-2</v>
      </c>
      <c r="R43" s="6">
        <f>IFERROR(LN(Cotacao!AJ44/Cotacao!AJ43),R42)</f>
        <v>-2.9000673075970426E-2</v>
      </c>
      <c r="S43" s="6">
        <f>IFERROR(LN(Cotacao!AL44/Cotacao!AL43),S42)</f>
        <v>-3.0075210639553284E-3</v>
      </c>
      <c r="T43" s="6">
        <f>IFERROR(LN(Cotacao!AN44/Cotacao!AN43),T42)</f>
        <v>-1.0834342165710118E-2</v>
      </c>
      <c r="U43" s="6">
        <f>IFERROR(LN(Cotacao!AP44/Cotacao!AP43),U42)</f>
        <v>0</v>
      </c>
      <c r="V43" s="6">
        <f>IFERROR(LN(Cotacao!AR44/Cotacao!AR43),V42)</f>
        <v>3.6764747293086273E-3</v>
      </c>
      <c r="W43" s="6">
        <f>IFERROR(LN(Cotacao!AT44/Cotacao!AT43),W42)</f>
        <v>1.7616053565013955E-3</v>
      </c>
      <c r="X43" s="6">
        <f>IFERROR(LN(Cotacao!AV44/Cotacao!AV43),X42)</f>
        <v>7.0507342797054475E-3</v>
      </c>
      <c r="Y43" s="6">
        <f>IFERROR(LN(Cotacao!AX44/Cotacao!AX43),Y42)</f>
        <v>1.43159617818376E-2</v>
      </c>
      <c r="Z43" s="6">
        <f>IFERROR(LN(Cotacao!AZ44/Cotacao!AZ43),Z42)</f>
        <v>1.0050335853501506E-2</v>
      </c>
      <c r="AA43" s="6">
        <f>IFERROR(LN(Cotacao!BB44/Cotacao!BB43),AA42)</f>
        <v>-9.537759413472055E-3</v>
      </c>
      <c r="AB43" s="6">
        <f>IFERROR(LN(Cotacao!BD44/Cotacao!BD43),AB42)</f>
        <v>-1.3889112160667037E-2</v>
      </c>
      <c r="AC43" s="6">
        <f>IFERROR(LN(Cotacao!BF44/Cotacao!BF43),AC42)</f>
        <v>9.5310179804324935E-2</v>
      </c>
      <c r="AD43" s="6">
        <f>IFERROR(LN(Cotacao!BH44/Cotacao!BH43),AD42)</f>
        <v>-2.0673323244788898E-2</v>
      </c>
      <c r="AE43" s="6">
        <f>IFERROR(LN(Cotacao!BJ44/Cotacao!BJ43),AE42)</f>
        <v>-1.0769822184055249E-2</v>
      </c>
      <c r="AF43" s="6">
        <f>IFERROR(LN(Cotacao!BL44/Cotacao!BL43),AF42)</f>
        <v>-3.0616967661727012E-2</v>
      </c>
      <c r="AG43" s="6">
        <f>IFERROR(LN(Cotacao!BN44/Cotacao!BN43),AG42)</f>
        <v>-3.5531428378485538E-2</v>
      </c>
      <c r="AH43" s="6">
        <f>IFERROR(LN(Cotacao!BP44/Cotacao!BP43),AH42)</f>
        <v>-1.3267192944048911E-2</v>
      </c>
      <c r="AI43" s="6">
        <f>IFERROR(LN(Cotacao!BR44/Cotacao!BR43),AI42)</f>
        <v>-3.9035911748264679E-2</v>
      </c>
      <c r="AJ43" s="6">
        <f>IFERROR(LN(Profit!C43/Profit!C42),AJ42)</f>
        <v>6.6555986117360667E-3</v>
      </c>
      <c r="AK43" s="6">
        <f>IFERROR(LN(Cotacao!BV44/Cotacao!BV43),AK42)</f>
        <v>-1.2755541920560092E-2</v>
      </c>
      <c r="AL43" s="6">
        <f>IFERROR(LN(Cotacao!BX44/Cotacao!BX43),AL42)</f>
        <v>6.7976092564894959E-3</v>
      </c>
      <c r="AN43" s="30" t="s">
        <v>284</v>
      </c>
      <c r="AO43" s="88">
        <f ca="1">AO42/AO41</f>
        <v>3.1281869430190223</v>
      </c>
      <c r="AR43" s="97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78"/>
    </row>
    <row r="44" spans="1:80" ht="17.399999999999999" customHeight="1">
      <c r="A44" s="3" t="str">
        <f>Cotacao!C44</f>
        <v>8/26/2019 16:56:00</v>
      </c>
      <c r="B44" s="6">
        <f>IFERROR(LN(Cotacao!D45/Cotacao!D44),B43)</f>
        <v>4.4543503493801534E-3</v>
      </c>
      <c r="C44" s="6">
        <f>IFERROR(LN(Cotacao!F45/Cotacao!F44),C43)</f>
        <v>6.8771762139559732E-3</v>
      </c>
      <c r="D44" s="6">
        <f>IFERROR(LN(Cotacao!H45/Cotacao!H44),D43)</f>
        <v>-1.3953490636045513E-3</v>
      </c>
      <c r="E44" s="6">
        <f>IFERROR(LN(Cotacao!J45/Cotacao!J44),E43)</f>
        <v>2.4144098929360969E-2</v>
      </c>
      <c r="F44" s="6">
        <f>IFERROR(LN(Cotacao!L45/Cotacao!L44),F43)</f>
        <v>7.7459721146553289E-3</v>
      </c>
      <c r="G44" s="6">
        <f>IFERROR(LN(Cotacao!N45/Cotacao!N44),G43)</f>
        <v>1.5933251116766006E-2</v>
      </c>
      <c r="H44" s="6">
        <f>IFERROR(LN(Cotacao!P45/Cotacao!P44),H43)</f>
        <v>8.6550652804668199E-3</v>
      </c>
      <c r="I44" s="6">
        <f>IFERROR(LN(Cotacao!R45/Cotacao!R44),I43)</f>
        <v>9.0890043571959511E-3</v>
      </c>
      <c r="J44" s="6">
        <f>IFERROR(LN(Cotacao!T45/Cotacao!T44),J43)</f>
        <v>3.6711575307113518E-2</v>
      </c>
      <c r="K44" s="6">
        <f>IFERROR(LN(Cotacao!V45/Cotacao!V44),K43)</f>
        <v>2.6343975339601852E-2</v>
      </c>
      <c r="L44" s="6">
        <f>IFERROR(LN(Cotacao!X45/Cotacao!X44),L43)</f>
        <v>-7.7064695341207536E-4</v>
      </c>
      <c r="M44" s="6">
        <f>IFERROR(LN(Profit!B44/Profit!B43),M43)</f>
        <v>-1.9043997376275278E-3</v>
      </c>
      <c r="N44" s="6">
        <f>IFERROR(LN(Cotacao!AB45/Cotacao!AB44),N43)</f>
        <v>6.8699282644208255E-3</v>
      </c>
      <c r="O44" s="6">
        <f>IFERROR(LN(Cotacao!AD45/Cotacao!AD44),O43)</f>
        <v>2.1913817383639851E-2</v>
      </c>
      <c r="P44" s="6">
        <f>IFERROR(LN(Cotacao!AF45/Cotacao!AF44),P43)</f>
        <v>3.60919722187499E-2</v>
      </c>
      <c r="Q44" s="6">
        <f>IFERROR(LN(Cotacao!AH45/Cotacao!AH44),Q43)</f>
        <v>1.2076319545038898E-2</v>
      </c>
      <c r="R44" s="6">
        <f>IFERROR(LN(Cotacao!AJ45/Cotacao!AJ44),R43)</f>
        <v>-1.1560822401075971E-2</v>
      </c>
      <c r="S44" s="6">
        <f>IFERROR(LN(Cotacao!AL45/Cotacao!AL44),S43)</f>
        <v>1.6430541396095955E-2</v>
      </c>
      <c r="T44" s="6">
        <f>IFERROR(LN(Cotacao!AN45/Cotacao!AN44),T43)</f>
        <v>5.3234956510406278E-3</v>
      </c>
      <c r="U44" s="6">
        <f>IFERROR(LN(Cotacao!AP45/Cotacao!AP44),U43)</f>
        <v>3.2260831104026881E-3</v>
      </c>
      <c r="V44" s="6">
        <f>IFERROR(LN(Cotacao!AR45/Cotacao!AR44),V43)</f>
        <v>-8.2911575839810792E-3</v>
      </c>
      <c r="W44" s="6">
        <f>IFERROR(LN(Cotacao!AT45/Cotacao!AT44),W43)</f>
        <v>1.5621516628554159E-2</v>
      </c>
      <c r="X44" s="6">
        <f>IFERROR(LN(Cotacao!AV45/Cotacao!AV44),X43)</f>
        <v>8.1140877680174125E-3</v>
      </c>
      <c r="Y44" s="6">
        <f>IFERROR(LN(Cotacao!AX45/Cotacao!AX44),Y43)</f>
        <v>-3.1541733664797122E-3</v>
      </c>
      <c r="Z44" s="6">
        <f>IFERROR(LN(Cotacao!AZ45/Cotacao!AZ44),Z43)</f>
        <v>7.4720148387010564E-3</v>
      </c>
      <c r="AA44" s="6">
        <f>IFERROR(LN(Cotacao!BB45/Cotacao!BB44),AA43)</f>
        <v>3.5873286328412875E-3</v>
      </c>
      <c r="AB44" s="6">
        <f>IFERROR(LN(Cotacao!BD45/Cotacao!BD44),AB43)</f>
        <v>9.8580096676982951E-3</v>
      </c>
      <c r="AC44" s="6">
        <f>IFERROR(LN(Cotacao!BF45/Cotacao!BF44),AC43)</f>
        <v>-4.7155137917277719E-2</v>
      </c>
      <c r="AD44" s="6">
        <f>IFERROR(LN(Cotacao!BH45/Cotacao!BH44),AD43)</f>
        <v>-2.0208711502436336E-2</v>
      </c>
      <c r="AE44" s="6">
        <f>IFERROR(LN(Cotacao!BJ45/Cotacao!BJ44),AE43)</f>
        <v>5.0826030634658096E-3</v>
      </c>
      <c r="AF44" s="6">
        <f>IFERROR(LN(Cotacao!BL45/Cotacao!BL44),AF43)</f>
        <v>6.0143600216885579E-3</v>
      </c>
      <c r="AG44" s="6">
        <f>IFERROR(LN(Cotacao!BN45/Cotacao!BN44),AG43)</f>
        <v>1.6413029641330269E-2</v>
      </c>
      <c r="AH44" s="6">
        <f>IFERROR(LN(Cotacao!BP45/Cotacao!BP44),AH43)</f>
        <v>1.5735314312132452E-2</v>
      </c>
      <c r="AI44" s="6">
        <f>IFERROR(LN(Cotacao!BR45/Cotacao!BR44),AI43)</f>
        <v>-8.9624867424333496E-3</v>
      </c>
      <c r="AJ44" s="6">
        <f>IFERROR(LN(Profit!C44/Profit!C43),AJ43)</f>
        <v>-6.6555986117360633E-3</v>
      </c>
      <c r="AK44" s="6">
        <f>IFERROR(LN(Cotacao!BV45/Cotacao!BV44),AK43)</f>
        <v>8.7410437278293337E-3</v>
      </c>
      <c r="AL44" s="6">
        <f>IFERROR(LN(Cotacao!BX45/Cotacao!BX44),AL43)</f>
        <v>1.6424408032802165E-2</v>
      </c>
      <c r="AN44" s="47"/>
      <c r="AO44" s="105" cm="1">
        <f t="array" aca="1" ref="AO44" ca="1">MMULT(AO28:BW28,TRANSPOSE(AO11:BW11))</f>
        <v>0.63544703541619585</v>
      </c>
      <c r="AR44" s="99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78"/>
    </row>
    <row r="45" spans="1:80" ht="17.399999999999999" customHeight="1">
      <c r="A45" s="3" t="str">
        <f>Cotacao!C45</f>
        <v>8/27/2019 16:56:00</v>
      </c>
      <c r="B45" s="6">
        <f>IFERROR(LN(Cotacao!D46/Cotacao!D45),B44)</f>
        <v>1.1049836186584935E-2</v>
      </c>
      <c r="C45" s="6">
        <f>IFERROR(LN(Cotacao!F46/Cotacao!F45),C44)</f>
        <v>1.2691704179843652E-2</v>
      </c>
      <c r="D45" s="6">
        <f>IFERROR(LN(Cotacao!H46/Cotacao!H45),D44)</f>
        <v>1.1108653924497312E-2</v>
      </c>
      <c r="E45" s="6">
        <f>IFERROR(LN(Cotacao!J46/Cotacao!J45),E44)</f>
        <v>-9.5465401045054992E-4</v>
      </c>
      <c r="F45" s="6">
        <f>IFERROR(LN(Cotacao!L46/Cotacao!L45),F44)</f>
        <v>-4.1237171838621519E-3</v>
      </c>
      <c r="G45" s="6">
        <f>IFERROR(LN(Cotacao!N46/Cotacao!N45),G44)</f>
        <v>1.4864022632149341E-2</v>
      </c>
      <c r="H45" s="6">
        <f>IFERROR(LN(Cotacao!P46/Cotacao!P45),H44)</f>
        <v>7.8970367482649687E-3</v>
      </c>
      <c r="I45" s="6">
        <f>IFERROR(LN(Cotacao!R46/Cotacao!R45),I44)</f>
        <v>-1.5632102946131984E-2</v>
      </c>
      <c r="J45" s="6">
        <f>IFERROR(LN(Cotacao!T46/Cotacao!T45),J44)</f>
        <v>-1.0928962836449807E-3</v>
      </c>
      <c r="K45" s="6">
        <f>IFERROR(LN(Cotacao!V46/Cotacao!V45),K44)</f>
        <v>1.980262729617973E-2</v>
      </c>
      <c r="L45" s="6">
        <f>IFERROR(LN(Cotacao!X46/Cotacao!X45),L44)</f>
        <v>8.5656773361703406E-5</v>
      </c>
      <c r="M45" s="6">
        <f>IFERROR(LN(Profit!B45/Profit!B44),M44)</f>
        <v>-9.9617682041252993E-3</v>
      </c>
      <c r="N45" s="6">
        <f>IFERROR(LN(Cotacao!AB46/Cotacao!AB45),N44)</f>
        <v>1.190996638717522E-2</v>
      </c>
      <c r="O45" s="6">
        <f>IFERROR(LN(Cotacao!AD46/Cotacao!AD45),O44)</f>
        <v>5.8565155407444515E-4</v>
      </c>
      <c r="P45" s="6">
        <f>IFERROR(LN(Cotacao!AF46/Cotacao!AF45),P44)</f>
        <v>1.4429249114399894E-2</v>
      </c>
      <c r="Q45" s="6">
        <f>IFERROR(LN(Cotacao!AH46/Cotacao!AH45),Q44)</f>
        <v>3.6866401202187964E-3</v>
      </c>
      <c r="R45" s="6">
        <f>IFERROR(LN(Cotacao!AJ46/Cotacao!AJ45),R44)</f>
        <v>3.203935374461666E-2</v>
      </c>
      <c r="S45" s="6">
        <f>IFERROR(LN(Cotacao!AL46/Cotacao!AL45),S44)</f>
        <v>1.1782168698260169E-2</v>
      </c>
      <c r="T45" s="6">
        <f>IFERROR(LN(Cotacao!AN46/Cotacao!AN45),T44)</f>
        <v>-1.0835997193250708E-4</v>
      </c>
      <c r="U45" s="6">
        <f>IFERROR(LN(Cotacao!AP46/Cotacao!AP45),U44)</f>
        <v>1.0166046283872814E-3</v>
      </c>
      <c r="V45" s="6">
        <f>IFERROR(LN(Cotacao!AR46/Cotacao!AR45),V44)</f>
        <v>8.2911575839811815E-3</v>
      </c>
      <c r="W45" s="6">
        <f>IFERROR(LN(Cotacao!AT46/Cotacao!AT45),W44)</f>
        <v>-1.3120290948987296E-2</v>
      </c>
      <c r="X45" s="6">
        <f>IFERROR(LN(Cotacao!AV46/Cotacao!AV45),X44)</f>
        <v>1.9238422853080663E-2</v>
      </c>
      <c r="Y45" s="6">
        <f>IFERROR(LN(Cotacao!AX46/Cotacao!AX45),Y44)</f>
        <v>6.6377573303238978E-3</v>
      </c>
      <c r="Z45" s="6">
        <f>IFERROR(LN(Cotacao!AZ46/Cotacao!AZ45),Z44)</f>
        <v>0</v>
      </c>
      <c r="AA45" s="6">
        <f>IFERROR(LN(Cotacao!BB46/Cotacao!BB45),AA44)</f>
        <v>5.6207785607343651E-3</v>
      </c>
      <c r="AB45" s="6">
        <f>IFERROR(LN(Cotacao!BD46/Cotacao!BD45),AB44)</f>
        <v>1.8863091448299386E-2</v>
      </c>
      <c r="AC45" s="6">
        <f>IFERROR(LN(Cotacao!BF46/Cotacao!BF45),AC44)</f>
        <v>-1.2787898049755841E-2</v>
      </c>
      <c r="AD45" s="6">
        <f>IFERROR(LN(Cotacao!BH46/Cotacao!BH45),AD44)</f>
        <v>5.0905934156862034E-3</v>
      </c>
      <c r="AE45" s="6">
        <f>IFERROR(LN(Cotacao!BJ46/Cotacao!BJ45),AE44)</f>
        <v>1.2666246151927618E-3</v>
      </c>
      <c r="AF45" s="6">
        <f>IFERROR(LN(Cotacao!BL46/Cotacao!BL45),AF44)</f>
        <v>1.8734840860580394E-2</v>
      </c>
      <c r="AG45" s="6">
        <f>IFERROR(LN(Cotacao!BN46/Cotacao!BN45),AG44)</f>
        <v>1.4544871441955917E-2</v>
      </c>
      <c r="AH45" s="6">
        <f>IFERROR(LN(Cotacao!BP46/Cotacao!BP45),AH44)</f>
        <v>1.0218768668720095E-2</v>
      </c>
      <c r="AI45" s="6">
        <f>IFERROR(LN(Cotacao!BR46/Cotacao!BR45),AI44)</f>
        <v>7.083789046052083E-2</v>
      </c>
      <c r="AJ45" s="6">
        <f>IFERROR(LN(Profit!C45/Profit!C44),AJ44)</f>
        <v>-8.3507311742150696E-4</v>
      </c>
      <c r="AK45" s="6">
        <f>IFERROR(LN(Cotacao!BV46/Cotacao!BV45),AK44)</f>
        <v>9.3860750879748711E-3</v>
      </c>
      <c r="AL45" s="6">
        <f>IFERROR(LN(Cotacao!BX46/Cotacao!BX45),AL44)</f>
        <v>2.70286723879192E-2</v>
      </c>
      <c r="AN45" s="48"/>
      <c r="AO45" s="106"/>
      <c r="AP45" s="32"/>
      <c r="AQ45" s="2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78"/>
    </row>
    <row r="46" spans="1:80" ht="22.8">
      <c r="A46" s="3" t="str">
        <f>Cotacao!C46</f>
        <v>8/28/2019 16:56:00</v>
      </c>
      <c r="B46" s="6">
        <f>IFERROR(LN(Cotacao!D47/Cotacao!D46),B45)</f>
        <v>5.4794657646255705E-3</v>
      </c>
      <c r="C46" s="6">
        <f>IFERROR(LN(Cotacao!F47/Cotacao!F46),C45)</f>
        <v>1.1316835872165362E-2</v>
      </c>
      <c r="D46" s="6">
        <f>IFERROR(LN(Cotacao!H47/Cotacao!H46),D45)</f>
        <v>1.3033224386914653E-2</v>
      </c>
      <c r="E46" s="6">
        <f>IFERROR(LN(Cotacao!J47/Cotacao!J46),E45)</f>
        <v>4.9381247915925033E-2</v>
      </c>
      <c r="F46" s="6">
        <f>IFERROR(LN(Cotacao!L47/Cotacao!L46),F45)</f>
        <v>4.6379882160243122E-3</v>
      </c>
      <c r="G46" s="6">
        <f>IFERROR(LN(Cotacao!N47/Cotacao!N46),G45)</f>
        <v>4.9059787688544056E-3</v>
      </c>
      <c r="H46" s="6">
        <f>IFERROR(LN(Cotacao!P47/Cotacao!P46),H45)</f>
        <v>7.8351618680255614E-3</v>
      </c>
      <c r="I46" s="6">
        <f>IFERROR(LN(Cotacao!R47/Cotacao!R46),I45)</f>
        <v>1.9502243231441101E-2</v>
      </c>
      <c r="J46" s="6">
        <f>IFERROR(LN(Cotacao!T47/Cotacao!T46),J45)</f>
        <v>7.3756430248259924E-2</v>
      </c>
      <c r="K46" s="6">
        <f>IFERROR(LN(Cotacao!V47/Cotacao!V46),K45)</f>
        <v>3.2789822822990755E-2</v>
      </c>
      <c r="L46" s="6">
        <f>IFERROR(LN(Cotacao!X47/Cotacao!X46),L45)</f>
        <v>-2.1436235432514528E-3</v>
      </c>
      <c r="M46" s="6">
        <f>IFERROR(LN(Profit!B46/Profit!B45),M45)</f>
        <v>-7.7310010103834054E-3</v>
      </c>
      <c r="N46" s="6">
        <f>IFERROR(LN(Cotacao!AB47/Cotacao!AB46),N45)</f>
        <v>6.322465739487108E-3</v>
      </c>
      <c r="O46" s="6">
        <f>IFERROR(LN(Cotacao!AD47/Cotacao!AD46),O45)</f>
        <v>8.1633106391610557E-3</v>
      </c>
      <c r="P46" s="6">
        <f>IFERROR(LN(Cotacao!AF47/Cotacao!AF46),P45)</f>
        <v>4.2079065710306271E-2</v>
      </c>
      <c r="Q46" s="6">
        <f>IFERROR(LN(Cotacao!AH47/Cotacao!AH46),Q45)</f>
        <v>3.658118425562399E-2</v>
      </c>
      <c r="R46" s="6">
        <f>IFERROR(LN(Cotacao!AJ47/Cotacao!AJ46),R45)</f>
        <v>-4.5146803545265827E-3</v>
      </c>
      <c r="S46" s="6">
        <f>IFERROR(LN(Cotacao!AL47/Cotacao!AL46),S45)</f>
        <v>4.4388102768794194E-2</v>
      </c>
      <c r="T46" s="6">
        <f>IFERROR(LN(Cotacao!AN47/Cotacao!AN46),T45)</f>
        <v>-1.4097491897206134E-3</v>
      </c>
      <c r="U46" s="6">
        <f>IFERROR(LN(Cotacao!AP47/Cotacao!AP46),U45)</f>
        <v>1.5042932516245697E-2</v>
      </c>
      <c r="V46" s="6">
        <f>IFERROR(LN(Cotacao!AR47/Cotacao!AR46),V45)</f>
        <v>0</v>
      </c>
      <c r="W46" s="6">
        <f>IFERROR(LN(Cotacao!AT47/Cotacao!AT46),W45)</f>
        <v>4.9055370508110279E-3</v>
      </c>
      <c r="X46" s="6">
        <f>IFERROR(LN(Cotacao!AV47/Cotacao!AV46),X45)</f>
        <v>0</v>
      </c>
      <c r="Y46" s="6">
        <f>IFERROR(LN(Cotacao!AX47/Cotacao!AX46),Y45)</f>
        <v>4.062981719253551E-3</v>
      </c>
      <c r="Z46" s="6">
        <f>IFERROR(LN(Cotacao!AZ47/Cotacao!AZ46),Z45)</f>
        <v>2.4783160144670005E-3</v>
      </c>
      <c r="AA46" s="6">
        <f>IFERROR(LN(Cotacao!BB47/Cotacao!BB46),AA45)</f>
        <v>1.9762852282119588E-3</v>
      </c>
      <c r="AB46" s="6">
        <f>IFERROR(LN(Cotacao!BD47/Cotacao!BD46),AB45)</f>
        <v>1.906956272035075E-2</v>
      </c>
      <c r="AC46" s="6">
        <f>IFERROR(LN(Cotacao!BF47/Cotacao!BF46),AC45)</f>
        <v>4.4675563836245269E-2</v>
      </c>
      <c r="AD46" s="6">
        <f>IFERROR(LN(Cotacao!BH47/Cotacao!BH46),AD45)</f>
        <v>5.8020911820104146E-2</v>
      </c>
      <c r="AE46" s="6">
        <f>IFERROR(LN(Cotacao!BJ47/Cotacao!BJ46),AE45)</f>
        <v>-6.3293142209084913E-5</v>
      </c>
      <c r="AF46" s="6">
        <f>IFERROR(LN(Cotacao!BL47/Cotacao!BL46),AF45)</f>
        <v>1.3935941428968306E-2</v>
      </c>
      <c r="AG46" s="6">
        <f>IFERROR(LN(Cotacao!BN47/Cotacao!BN46),AG45)</f>
        <v>1.5013930799588418E-2</v>
      </c>
      <c r="AH46" s="6">
        <f>IFERROR(LN(Cotacao!BP47/Cotacao!BP46),AH45)</f>
        <v>3.6338595936279368E-2</v>
      </c>
      <c r="AI46" s="6">
        <f>IFERROR(LN(Cotacao!BR47/Cotacao!BR46),AI45)</f>
        <v>3.7979248065216471E-2</v>
      </c>
      <c r="AJ46" s="6">
        <f>IFERROR(LN(Profit!C46/Profit!C45),AJ45)</f>
        <v>-2.5094116054258072E-3</v>
      </c>
      <c r="AK46" s="6">
        <f>IFERROR(LN(Cotacao!BV47/Cotacao!BV46),AK45)</f>
        <v>2.346045529317713E-2</v>
      </c>
      <c r="AL46" s="6">
        <f>IFERROR(LN(Cotacao!BX47/Cotacao!BX46),AL45)</f>
        <v>-1.050543985261853E-2</v>
      </c>
      <c r="AN46" s="49" t="s">
        <v>279</v>
      </c>
      <c r="AO46" s="50">
        <f ca="1">(1+(AQ19+AO44*AQ20+AQ21))*(1+AQ22)/(1+AQ23)-1</f>
        <v>0.10978272938140954</v>
      </c>
      <c r="AP46" s="33" t="s">
        <v>259</v>
      </c>
      <c r="AQ46" s="20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</row>
    <row r="47" spans="1:80" ht="22.8">
      <c r="A47" s="3" t="str">
        <f>Cotacao!C47</f>
        <v>8/29/2019 16:56:00</v>
      </c>
      <c r="B47" s="6">
        <f>IFERROR(LN(Cotacao!D48/Cotacao!D47),B46)</f>
        <v>4.9059787688544056E-3</v>
      </c>
      <c r="C47" s="6">
        <f>IFERROR(LN(Cotacao!F48/Cotacao!F47),C46)</f>
        <v>-6.407344575000435E-3</v>
      </c>
      <c r="D47" s="6">
        <f>IFERROR(LN(Cotacao!H48/Cotacao!H47),D46)</f>
        <v>2.1573870432853918E-2</v>
      </c>
      <c r="E47" s="6">
        <f>IFERROR(LN(Cotacao!J48/Cotacao!J47),E46)</f>
        <v>8.1485285639050099E-3</v>
      </c>
      <c r="F47" s="6">
        <f>IFERROR(LN(Cotacao!L48/Cotacao!L47),F46)</f>
        <v>3.2872745000574979E-2</v>
      </c>
      <c r="G47" s="6">
        <f>IFERROR(LN(Cotacao!N48/Cotacao!N47),G46)</f>
        <v>2.4439930698780827E-3</v>
      </c>
      <c r="H47" s="6">
        <f>IFERROR(LN(Cotacao!P48/Cotacao!P47),H46)</f>
        <v>1.4485683647037343E-2</v>
      </c>
      <c r="I47" s="6">
        <f>IFERROR(LN(Cotacao!R48/Cotacao!R47),I46)</f>
        <v>1.6177449444150113E-2</v>
      </c>
      <c r="J47" s="6">
        <f>IFERROR(LN(Cotacao!T48/Cotacao!T47),J46)</f>
        <v>5.0774309290865511E-4</v>
      </c>
      <c r="K47" s="6">
        <f>IFERROR(LN(Cotacao!V48/Cotacao!V47),K46)</f>
        <v>0.1009866378091302</v>
      </c>
      <c r="L47" s="6">
        <f>IFERROR(LN(Cotacao!X48/Cotacao!X47),L46)</f>
        <v>4.2826617920009493E-3</v>
      </c>
      <c r="M47" s="6">
        <f>IFERROR(LN(Profit!B47/Profit!B46),M46)</f>
        <v>-7.4002285135771253E-3</v>
      </c>
      <c r="N47" s="6">
        <f>IFERROR(LN(Cotacao!AB48/Cotacao!AB47),N46)</f>
        <v>4.1158072493507551E-2</v>
      </c>
      <c r="O47" s="6">
        <f>IFERROR(LN(Cotacao!AD48/Cotacao!AD47),O46)</f>
        <v>2.4097551579060524E-2</v>
      </c>
      <c r="P47" s="6">
        <f>IFERROR(LN(Cotacao!AF48/Cotacao!AF47),P46)</f>
        <v>2.4161360662305131E-2</v>
      </c>
      <c r="Q47" s="6">
        <f>IFERROR(LN(Cotacao!AH48/Cotacao!AH47),Q46)</f>
        <v>1.0367358767158585E-2</v>
      </c>
      <c r="R47" s="6">
        <f>IFERROR(LN(Cotacao!AJ48/Cotacao!AJ47),R46)</f>
        <v>3.9264220734484045E-2</v>
      </c>
      <c r="S47" s="6">
        <f>IFERROR(LN(Cotacao!AL48/Cotacao!AL47),S46)</f>
        <v>2.0790769669073908E-2</v>
      </c>
      <c r="T47" s="6">
        <f>IFERROR(LN(Cotacao!AN48/Cotacao!AN47),T46)</f>
        <v>1.2295236857037338E-2</v>
      </c>
      <c r="U47" s="6">
        <f>IFERROR(LN(Cotacao!AP48/Cotacao!AP47),U46)</f>
        <v>9.1708706248373067E-4</v>
      </c>
      <c r="V47" s="6">
        <f>IFERROR(LN(Cotacao!AR48/Cotacao!AR47),V46)</f>
        <v>0</v>
      </c>
      <c r="W47" s="6">
        <f>IFERROR(LN(Cotacao!AT48/Cotacao!AT47),W46)</f>
        <v>8.2233746249897616E-3</v>
      </c>
      <c r="X47" s="6">
        <f>IFERROR(LN(Cotacao!AV48/Cotacao!AV47),X46)</f>
        <v>1.5658580211053919E-2</v>
      </c>
      <c r="Y47" s="6">
        <f>IFERROR(LN(Cotacao!AX48/Cotacao!AX47),Y46)</f>
        <v>7.7415398412913903E-3</v>
      </c>
      <c r="Z47" s="6">
        <f>IFERROR(LN(Cotacao!AZ48/Cotacao!AZ47),Z46)</f>
        <v>-2.4783160144670898E-3</v>
      </c>
      <c r="AA47" s="6">
        <f>IFERROR(LN(Cotacao!BB48/Cotacao!BB47),AA46)</f>
        <v>5.3820030148295141E-3</v>
      </c>
      <c r="AB47" s="6">
        <f>IFERROR(LN(Cotacao!BD48/Cotacao!BD47),AB46)</f>
        <v>1.9257816604414738E-2</v>
      </c>
      <c r="AC47" s="6">
        <f>IFERROR(LN(Cotacao!BF48/Cotacao!BF47),AC46)</f>
        <v>7.3536380254764097E-2</v>
      </c>
      <c r="AD47" s="6">
        <f>IFERROR(LN(Cotacao!BH48/Cotacao!BH47),AD46)</f>
        <v>2.0089961390346758E-2</v>
      </c>
      <c r="AE47" s="6">
        <f>IFERROR(LN(Cotacao!BJ48/Cotacao!BJ47),AE46)</f>
        <v>1.3283154487958044E-3</v>
      </c>
      <c r="AF47" s="6">
        <f>IFERROR(LN(Cotacao!BL48/Cotacao!BL47),AF46)</f>
        <v>4.4543503493803746E-3</v>
      </c>
      <c r="AG47" s="6">
        <f>IFERROR(LN(Cotacao!BN48/Cotacao!BN47),AG46)</f>
        <v>1.144922148583258E-2</v>
      </c>
      <c r="AH47" s="6">
        <f>IFERROR(LN(Cotacao!BP48/Cotacao!BP47),AH46)</f>
        <v>0</v>
      </c>
      <c r="AI47" s="6">
        <f>IFERROR(LN(Cotacao!BR48/Cotacao!BR47),AI46)</f>
        <v>4.8494349938610355E-2</v>
      </c>
      <c r="AJ47" s="6">
        <f>IFERROR(LN(Profit!C47/Profit!C46),AJ46)</f>
        <v>-4.1963972617654532E-3</v>
      </c>
      <c r="AK47" s="6">
        <f>IFERROR(LN(Cotacao!BV48/Cotacao!BV47),AK46)</f>
        <v>6.0516192298780474E-3</v>
      </c>
      <c r="AL47" s="6">
        <f>IFERROR(LN(Cotacao!BX48/Cotacao!BX47),AL46)</f>
        <v>1.3024786155471783E-2</v>
      </c>
      <c r="AN47" s="49" t="s">
        <v>279</v>
      </c>
      <c r="AO47" s="50">
        <f ca="1">AP19+AP20*AO44</f>
        <v>7.3335762833295667E-2</v>
      </c>
      <c r="AP47" s="33" t="s">
        <v>285</v>
      </c>
      <c r="AQ47" s="31"/>
      <c r="AR47" s="31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</row>
    <row r="48" spans="1:80" ht="17.399999999999999">
      <c r="A48" s="3" t="str">
        <f>Cotacao!C48</f>
        <v>8/30/2019 16:56:00</v>
      </c>
      <c r="B48" s="6">
        <f>IFERROR(LN(Cotacao!D49/Cotacao!D48),B47)</f>
        <v>-1.4790738001396384E-2</v>
      </c>
      <c r="C48" s="6">
        <f>IFERROR(LN(Cotacao!F49/Cotacao!F48),C47)</f>
        <v>-6.1236989053879416E-4</v>
      </c>
      <c r="D48" s="6">
        <f>IFERROR(LN(Cotacao!H49/Cotacao!H48),D47)</f>
        <v>-1.6362575077231052E-2</v>
      </c>
      <c r="E48" s="6">
        <f>IFERROR(LN(Cotacao!J49/Cotacao!J48),E47)</f>
        <v>-1.1791519842406095E-2</v>
      </c>
      <c r="F48" s="6">
        <f>IFERROR(LN(Cotacao!L49/Cotacao!L48),F47)</f>
        <v>2.4844733276617442E-3</v>
      </c>
      <c r="G48" s="6">
        <f>IFERROR(LN(Cotacao!N49/Cotacao!N48),G47)</f>
        <v>-1.2280137946591087E-2</v>
      </c>
      <c r="H48" s="6">
        <f>IFERROR(LN(Cotacao!P49/Cotacao!P48),H47)</f>
        <v>-1.9588603378189965E-2</v>
      </c>
      <c r="I48" s="6">
        <f>IFERROR(LN(Cotacao!R49/Cotacao!R48),I47)</f>
        <v>1.0502091904477045E-2</v>
      </c>
      <c r="J48" s="6">
        <f>IFERROR(LN(Cotacao!T49/Cotacao!T48),J47)</f>
        <v>1.0101095986503919E-2</v>
      </c>
      <c r="K48" s="6">
        <f>IFERROR(LN(Cotacao!V49/Cotacao!V48),K47)</f>
        <v>-3.4907558210802041E-2</v>
      </c>
      <c r="L48" s="6">
        <f>IFERROR(LN(Cotacao!X49/Cotacao!X48),L47)</f>
        <v>-8.5473738245999366E-5</v>
      </c>
      <c r="M48" s="6">
        <f>IFERROR(LN(Profit!B48/Profit!B47),M47)</f>
        <v>1.0499804803741542E-2</v>
      </c>
      <c r="N48" s="6">
        <f>IFERROR(LN(Cotacao!AB49/Cotacao!AB48),N47)</f>
        <v>-2.0181641562372361E-3</v>
      </c>
      <c r="O48" s="6">
        <f>IFERROR(LN(Cotacao!AD49/Cotacao!AD48),O47)</f>
        <v>-2.838491829178464E-3</v>
      </c>
      <c r="P48" s="6">
        <f>IFERROR(LN(Cotacao!AF49/Cotacao!AF48),P47)</f>
        <v>-3.5955937155141997E-2</v>
      </c>
      <c r="Q48" s="6">
        <f>IFERROR(LN(Cotacao!AH49/Cotacao!AH48),Q47)</f>
        <v>9.6091588915860806E-3</v>
      </c>
      <c r="R48" s="6">
        <f>IFERROR(LN(Cotacao!AJ49/Cotacao!AJ48),R47)</f>
        <v>-8.0812932977962233E-3</v>
      </c>
      <c r="S48" s="6">
        <f>IFERROR(LN(Cotacao!AL49/Cotacao!AL48),S47)</f>
        <v>1.3624188939543638E-2</v>
      </c>
      <c r="T48" s="6">
        <f>IFERROR(LN(Cotacao!AN49/Cotacao!AN48),T47)</f>
        <v>-3.2209604827638629E-3</v>
      </c>
      <c r="U48" s="6">
        <f>IFERROR(LN(Cotacao!AP49/Cotacao!AP48),U47)</f>
        <v>-9.6295489758431198E-3</v>
      </c>
      <c r="V48" s="6">
        <f>IFERROR(LN(Cotacao!AR49/Cotacao!AR48),V47)</f>
        <v>-6.442728222198801E-3</v>
      </c>
      <c r="W48" s="6">
        <f>IFERROR(LN(Cotacao!AT49/Cotacao!AT48),W47)</f>
        <v>-1.2395472950538691E-2</v>
      </c>
      <c r="X48" s="6">
        <f>IFERROR(LN(Cotacao!AV49/Cotacao!AV48),X47)</f>
        <v>5.85381454588024E-3</v>
      </c>
      <c r="Y48" s="6">
        <f>IFERROR(LN(Cotacao!AX49/Cotacao!AX48),Y47)</f>
        <v>-1.6395195269144167E-2</v>
      </c>
      <c r="Z48" s="6">
        <f>IFERROR(LN(Cotacao!AZ49/Cotacao!AZ48),Z47)</f>
        <v>1.4778594096118683E-2</v>
      </c>
      <c r="AA48" s="6">
        <f>IFERROR(LN(Cotacao!BB49/Cotacao!BB48),AA47)</f>
        <v>-5.0530015313551375E-3</v>
      </c>
      <c r="AB48" s="6">
        <f>IFERROR(LN(Cotacao!BD49/Cotacao!BD48),AB47)</f>
        <v>2.1564177915840425E-2</v>
      </c>
      <c r="AC48" s="6">
        <f>IFERROR(LN(Cotacao!BF49/Cotacao!BF48),AC47)</f>
        <v>0.16511703805264977</v>
      </c>
      <c r="AD48" s="6">
        <f>IFERROR(LN(Cotacao!BH49/Cotacao!BH48),AD47)</f>
        <v>-1.0831934821384061E-2</v>
      </c>
      <c r="AE48" s="6">
        <f>IFERROR(LN(Cotacao!BJ49/Cotacao!BJ48),AE47)</f>
        <v>-1.721432371426462E-2</v>
      </c>
      <c r="AF48" s="6">
        <f>IFERROR(LN(Cotacao!BL49/Cotacao!BL48),AF47)</f>
        <v>1.2367648808661669E-2</v>
      </c>
      <c r="AG48" s="6">
        <f>IFERROR(LN(Cotacao!BN49/Cotacao!BN48),AG47)</f>
        <v>-1.9383072464475314E-2</v>
      </c>
      <c r="AH48" s="6">
        <f>IFERROR(LN(Cotacao!BP49/Cotacao!BP48),AH47)</f>
        <v>-7.874056430905883E-3</v>
      </c>
      <c r="AI48" s="6">
        <f>IFERROR(LN(Cotacao!BR49/Cotacao!BR48),AI47)</f>
        <v>-1.4903405502574919E-2</v>
      </c>
      <c r="AJ48" s="6">
        <f>IFERROR(LN(Profit!C48/Profit!C47),AJ47)</f>
        <v>1.9159269938477819E-2</v>
      </c>
      <c r="AK48" s="6">
        <f>IFERROR(LN(Cotacao!BV49/Cotacao!BV48),AK47)</f>
        <v>-5.0443120169003678E-3</v>
      </c>
      <c r="AL48" s="6">
        <f>IFERROR(LN(Cotacao!BX49/Cotacao!BX48),AL47)</f>
        <v>-4.3227733020040271E-3</v>
      </c>
      <c r="AN48" s="51"/>
      <c r="AO48" s="107">
        <f ca="1">AO41-AO47</f>
        <v>3.1881496945705204E-2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</row>
    <row r="49" spans="1:77" ht="17.399999999999999">
      <c r="A49" s="3" t="str">
        <f>Cotacao!C49</f>
        <v>9/2/2019 16:56:00</v>
      </c>
      <c r="B49" s="6">
        <f>IFERROR(LN(Cotacao!D50/Cotacao!D49),B48)</f>
        <v>2.2374739682435092E-2</v>
      </c>
      <c r="C49" s="6">
        <f>IFERROR(LN(Cotacao!F50/Cotacao!F49),C48)</f>
        <v>-1.3257477973611769E-2</v>
      </c>
      <c r="D49" s="6">
        <f>IFERROR(LN(Cotacao!H50/Cotacao!H49),D48)</f>
        <v>-7.0303044974744117E-3</v>
      </c>
      <c r="E49" s="6">
        <f>IFERROR(LN(Cotacao!J50/Cotacao!J49),E48)</f>
        <v>2.6115847130559509E-2</v>
      </c>
      <c r="F49" s="6">
        <f>IFERROR(LN(Cotacao!L50/Cotacao!L49),F48)</f>
        <v>-1.6008345860987351E-2</v>
      </c>
      <c r="G49" s="6">
        <f>IFERROR(LN(Cotacao!N50/Cotacao!N49),G48)</f>
        <v>-1.5774507253832597E-2</v>
      </c>
      <c r="H49" s="6">
        <f>IFERROR(LN(Cotacao!P50/Cotacao!P49),H48)</f>
        <v>-1.477436254030687E-2</v>
      </c>
      <c r="I49" s="6">
        <f>IFERROR(LN(Cotacao!R50/Cotacao!R49),I48)</f>
        <v>1.6988185639099259E-2</v>
      </c>
      <c r="J49" s="6">
        <f>IFERROR(LN(Cotacao!T50/Cotacao!T49),J48)</f>
        <v>-4.9443643972514349E-2</v>
      </c>
      <c r="K49" s="6">
        <f>IFERROR(LN(Cotacao!V50/Cotacao!V49),K48)</f>
        <v>-1.0714388212406258E-2</v>
      </c>
      <c r="L49" s="6">
        <f>IFERROR(LN(Cotacao!X50/Cotacao!X49),L48)</f>
        <v>8.5473738245951119E-5</v>
      </c>
      <c r="M49" s="6">
        <f>IFERROR(LN(Profit!B49/Profit!B48),M48)</f>
        <v>-5.4305796766400119E-3</v>
      </c>
      <c r="N49" s="6">
        <f>IFERROR(LN(Cotacao!AB50/Cotacao!AB49),N48)</f>
        <v>-1.0152371464017962E-2</v>
      </c>
      <c r="O49" s="6">
        <f>IFERROR(LN(Cotacao!AD50/Cotacao!AD49),O48)</f>
        <v>1.4112568402396466E-2</v>
      </c>
      <c r="P49" s="6">
        <f>IFERROR(LN(Cotacao!AF50/Cotacao!AF49),P48)</f>
        <v>2.3700705186117817E-3</v>
      </c>
      <c r="Q49" s="6">
        <f>IFERROR(LN(Cotacao!AH50/Cotacao!AH49),Q48)</f>
        <v>-1.0706974349301616E-2</v>
      </c>
      <c r="R49" s="6">
        <f>IFERROR(LN(Cotacao!AJ50/Cotacao!AJ49),R48)</f>
        <v>-1.0970928143732104E-3</v>
      </c>
      <c r="S49" s="6">
        <f>IFERROR(LN(Cotacao!AL50/Cotacao!AL49),S48)</f>
        <v>-1.9126266093526936E-2</v>
      </c>
      <c r="T49" s="6">
        <f>IFERROR(LN(Cotacao!AN50/Cotacao!AN49),T48)</f>
        <v>-9.6831467031302022E-4</v>
      </c>
      <c r="U49" s="6">
        <f>IFERROR(LN(Cotacao!AP50/Cotacao!AP49),U48)</f>
        <v>1.7928351790538276E-2</v>
      </c>
      <c r="V49" s="6">
        <f>IFERROR(LN(Cotacao!AR50/Cotacao!AR49),V48)</f>
        <v>4.6061804148972811E-3</v>
      </c>
      <c r="W49" s="6">
        <f>IFERROR(LN(Cotacao!AT50/Cotacao!AT49),W48)</f>
        <v>8.2489569886901124E-3</v>
      </c>
      <c r="X49" s="6">
        <f>IFERROR(LN(Cotacao!AV50/Cotacao!AV49),X48)</f>
        <v>-7.0000285835435669E-3</v>
      </c>
      <c r="Y49" s="6">
        <f>IFERROR(LN(Cotacao!AX50/Cotacao!AX49),Y48)</f>
        <v>2.3829798510679625E-3</v>
      </c>
      <c r="Z49" s="6">
        <f>IFERROR(LN(Cotacao!AZ50/Cotacao!AZ49),Z48)</f>
        <v>1.2150817782512528E-2</v>
      </c>
      <c r="AA49" s="6">
        <f>IFERROR(LN(Cotacao!BB50/Cotacao!BB49),AA48)</f>
        <v>3.9395980040803098E-3</v>
      </c>
      <c r="AB49" s="6">
        <f>IFERROR(LN(Cotacao!BD50/Cotacao!BD49),AB48)</f>
        <v>-2.5933382026504543E-2</v>
      </c>
      <c r="AC49" s="6">
        <f>IFERROR(LN(Cotacao!BF50/Cotacao!BF49),AC48)</f>
        <v>-4.3592835736029581E-2</v>
      </c>
      <c r="AD49" s="6">
        <f>IFERROR(LN(Cotacao!BH50/Cotacao!BH49),AD48)</f>
        <v>-8.1312658863719883E-3</v>
      </c>
      <c r="AE49" s="6">
        <f>IFERROR(LN(Cotacao!BJ50/Cotacao!BJ49),AE48)</f>
        <v>3.2102756302481894E-3</v>
      </c>
      <c r="AF49" s="6">
        <f>IFERROR(LN(Cotacao!BL50/Cotacao!BL49),AF48)</f>
        <v>-2.6241221074533565E-2</v>
      </c>
      <c r="AG49" s="6">
        <f>IFERROR(LN(Cotacao!BN50/Cotacao!BN49),AG48)</f>
        <v>-4.3334541528406677E-3</v>
      </c>
      <c r="AH49" s="6">
        <f>IFERROR(LN(Cotacao!BP50/Cotacao!BP49),AH48)</f>
        <v>1.1787955752042173E-2</v>
      </c>
      <c r="AI49" s="6">
        <f>IFERROR(LN(Cotacao!BR50/Cotacao!BR49),AI48)</f>
        <v>1.1940440371918069E-2</v>
      </c>
      <c r="AJ49" s="6">
        <f>IFERROR(LN(Profit!C49/Profit!C48),AJ48)</f>
        <v>0</v>
      </c>
      <c r="AK49" s="6">
        <f>IFERROR(LN(Cotacao!BV50/Cotacao!BV49),AK48)</f>
        <v>-9.4347080992122322E-3</v>
      </c>
      <c r="AL49" s="6">
        <f>IFERROR(LN(Cotacao!BX50/Cotacao!BX49),AL48)</f>
        <v>1.8034269991507267E-3</v>
      </c>
      <c r="AN49" s="52"/>
      <c r="AO49" s="108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</row>
    <row r="50" spans="1:77" ht="30" customHeight="1">
      <c r="A50" s="3" t="str">
        <f>Cotacao!C50</f>
        <v>9/3/2019 16:56:00</v>
      </c>
      <c r="B50" s="6">
        <f>IFERROR(LN(Cotacao!D51/Cotacao!D50),B49)</f>
        <v>-5.4112686155365448E-3</v>
      </c>
      <c r="C50" s="6">
        <f>IFERROR(LN(Cotacao!F51/Cotacao!F50),C49)</f>
        <v>1.2338219444039478E-2</v>
      </c>
      <c r="D50" s="6">
        <f>IFERROR(LN(Cotacao!H51/Cotacao!H50),D49)</f>
        <v>6.3521084728361699E-3</v>
      </c>
      <c r="E50" s="6">
        <f>IFERROR(LN(Cotacao!J51/Cotacao!J50),E49)</f>
        <v>2.9774528701231134E-2</v>
      </c>
      <c r="F50" s="6">
        <f>IFERROR(LN(Cotacao!L51/Cotacao!L50),F49)</f>
        <v>-5.0441362986257182E-4</v>
      </c>
      <c r="G50" s="6">
        <f>IFERROR(LN(Cotacao!N51/Cotacao!N50),G49)</f>
        <v>1.577450725383267E-2</v>
      </c>
      <c r="H50" s="6">
        <f>IFERROR(LN(Cotacao!P51/Cotacao!P50),H49)</f>
        <v>-3.4620045351846097E-4</v>
      </c>
      <c r="I50" s="6">
        <f>IFERROR(LN(Cotacao!R51/Cotacao!R50),I49)</f>
        <v>6.5520299913001141E-3</v>
      </c>
      <c r="J50" s="6">
        <f>IFERROR(LN(Cotacao!T51/Cotacao!T50),J49)</f>
        <v>-6.6582142580997386E-2</v>
      </c>
      <c r="K50" s="6">
        <f>IFERROR(LN(Cotacao!V51/Cotacao!V50),K49)</f>
        <v>1.955617879386716E-2</v>
      </c>
      <c r="L50" s="6">
        <f>IFERROR(LN(Cotacao!X51/Cotacao!X50),L49)</f>
        <v>-8.6699543039712619E-3</v>
      </c>
      <c r="M50" s="6">
        <f>IFERROR(LN(Profit!B50/Profit!B49),M49)</f>
        <v>1.7351505311199708E-2</v>
      </c>
      <c r="N50" s="6">
        <f>IFERROR(LN(Cotacao!AB51/Cotacao!AB50),N49)</f>
        <v>1.6194685919980606E-2</v>
      </c>
      <c r="O50" s="6">
        <f>IFERROR(LN(Cotacao!AD51/Cotacao!AD50),O49)</f>
        <v>5.6038107378490482E-4</v>
      </c>
      <c r="P50" s="6">
        <f>IFERROR(LN(Cotacao!AF51/Cotacao!AF50),P49)</f>
        <v>5.0768977045159785E-2</v>
      </c>
      <c r="Q50" s="6">
        <f>IFERROR(LN(Cotacao!AH51/Cotacao!AH50),Q49)</f>
        <v>2.1730537832388094E-2</v>
      </c>
      <c r="R50" s="6">
        <f>IFERROR(LN(Cotacao!AJ51/Cotacao!AJ50),R49)</f>
        <v>1.3952700736546749E-2</v>
      </c>
      <c r="S50" s="6">
        <f>IFERROR(LN(Cotacao!AL51/Cotacao!AL50),S49)</f>
        <v>-8.3102971336280369E-3</v>
      </c>
      <c r="T50" s="6">
        <f>IFERROR(LN(Cotacao!AN51/Cotacao!AN50),T49)</f>
        <v>7.5067376637533512E-3</v>
      </c>
      <c r="U50" s="6">
        <f>IFERROR(LN(Cotacao!AP51/Cotacao!AP50),U49)</f>
        <v>3.9590945808068547E-3</v>
      </c>
      <c r="V50" s="6">
        <f>IFERROR(LN(Cotacao!AR51/Cotacao!AR50),V49)</f>
        <v>-6.454609776679692E-3</v>
      </c>
      <c r="W50" s="6">
        <f>IFERROR(LN(Cotacao!AT51/Cotacao!AT50),W49)</f>
        <v>8.4475978612391176E-3</v>
      </c>
      <c r="X50" s="6">
        <f>IFERROR(LN(Cotacao!AV51/Cotacao!AV50),X49)</f>
        <v>2.219597803822406E-3</v>
      </c>
      <c r="Y50" s="6">
        <f>IFERROR(LN(Cotacao!AX51/Cotacao!AX50),Y49)</f>
        <v>-3.747236542882006E-3</v>
      </c>
      <c r="Z50" s="6">
        <f>IFERROR(LN(Cotacao!AZ51/Cotacao!AZ50),Z49)</f>
        <v>7.2202479734870973E-3</v>
      </c>
      <c r="AA50" s="6">
        <f>IFERROR(LN(Cotacao!BB51/Cotacao!BB50),AA49)</f>
        <v>5.2287700827992759E-3</v>
      </c>
      <c r="AB50" s="6">
        <f>IFERROR(LN(Cotacao!BD51/Cotacao!BD50),AB49)</f>
        <v>-7.6923456231557255E-3</v>
      </c>
      <c r="AC50" s="6">
        <f>IFERROR(LN(Cotacao!BF51/Cotacao!BF50),AC49)</f>
        <v>-1.8911884884510715E-2</v>
      </c>
      <c r="AD50" s="6">
        <f>IFERROR(LN(Cotacao!BH51/Cotacao!BH50),AD49)</f>
        <v>3.2680836936555241E-2</v>
      </c>
      <c r="AE50" s="6">
        <f>IFERROR(LN(Cotacao!BJ51/Cotacao!BJ50),AE49)</f>
        <v>1.9212301778938723E-3</v>
      </c>
      <c r="AF50" s="6">
        <f>IFERROR(LN(Cotacao!BL51/Cotacao!BL50),AF49)</f>
        <v>1.9634722700943272E-2</v>
      </c>
      <c r="AG50" s="6">
        <f>IFERROR(LN(Cotacao!BN51/Cotacao!BN50),AG49)</f>
        <v>1.9914665837555141E-2</v>
      </c>
      <c r="AH50" s="6">
        <f>IFERROR(LN(Cotacao!BP51/Cotacao!BP50),AH49)</f>
        <v>2.5454517389133423E-2</v>
      </c>
      <c r="AI50" s="6">
        <f>IFERROR(LN(Cotacao!BR51/Cotacao!BR50),AI49)</f>
        <v>4.1456973797065659E-3</v>
      </c>
      <c r="AJ50" s="6">
        <f>IFERROR(LN(Profit!C50/Profit!C49),AJ49)</f>
        <v>-4.1339455317282257E-3</v>
      </c>
      <c r="AK50" s="6">
        <f>IFERROR(LN(Cotacao!BV51/Cotacao!BV50),AK49)</f>
        <v>1.5134169631355627E-2</v>
      </c>
      <c r="AL50" s="6">
        <f>IFERROR(LN(Cotacao!BX51/Cotacao!BX50),AL49)</f>
        <v>-1.8034269991506827E-3</v>
      </c>
      <c r="AM50" t="s">
        <v>292</v>
      </c>
      <c r="AN50" s="61" t="s">
        <v>293</v>
      </c>
      <c r="AO50" s="62">
        <f ca="1">(AO33-$AP$19)/AO34</f>
        <v>-0.6494863065520351</v>
      </c>
      <c r="AP50" s="60">
        <f t="shared" ref="AP50:AY50" si="183">(AP33-$AP$19)/AP34</f>
        <v>-0.17764896404930144</v>
      </c>
      <c r="AQ50" s="60">
        <f t="shared" si="183"/>
        <v>-7.4144691596635073E-2</v>
      </c>
      <c r="AR50" s="60">
        <f>(AR33-$AP$19)/AR34</f>
        <v>-0.38837968622695968</v>
      </c>
      <c r="AS50" s="60">
        <f t="shared" si="183"/>
        <v>-0.10582113612019627</v>
      </c>
      <c r="AT50" s="60">
        <f t="shared" si="183"/>
        <v>-0.47043259147520322</v>
      </c>
      <c r="AU50" s="60">
        <f t="shared" si="183"/>
        <v>-0.21225413877976324</v>
      </c>
      <c r="AV50" s="60">
        <f t="shared" si="183"/>
        <v>-0.66570763193600846</v>
      </c>
      <c r="AW50" s="60">
        <f t="shared" si="183"/>
        <v>-0.2043788098421831</v>
      </c>
      <c r="AX50" s="60">
        <f t="shared" si="183"/>
        <v>0.86387220917758767</v>
      </c>
      <c r="AY50" s="60">
        <f t="shared" si="183"/>
        <v>-0.30124476826864138</v>
      </c>
      <c r="AZ50" s="60">
        <f>(AZ33-$AP$19)/AZ34</f>
        <v>0.58575614794958009</v>
      </c>
      <c r="BA50" s="60">
        <f t="shared" ref="BA50:BW50" si="184">(BA33-$AP$19)/BA34</f>
        <v>-0.57387647698891553</v>
      </c>
      <c r="BB50" s="60">
        <f t="shared" si="184"/>
        <v>-0.10064612534863189</v>
      </c>
      <c r="BC50" s="60">
        <f t="shared" si="184"/>
        <v>-0.76969520422965909</v>
      </c>
      <c r="BD50" s="60">
        <f t="shared" si="184"/>
        <v>1.4498216809668148E-2</v>
      </c>
      <c r="BE50" s="60">
        <f t="shared" si="184"/>
        <v>0.45663852049825365</v>
      </c>
      <c r="BF50" s="60">
        <f t="shared" si="184"/>
        <v>-0.42150373250605105</v>
      </c>
      <c r="BG50" s="60">
        <f t="shared" si="184"/>
        <v>-3.4046285854888066E-2</v>
      </c>
      <c r="BH50" s="60">
        <f t="shared" si="184"/>
        <v>-0.58184756393179349</v>
      </c>
      <c r="BI50" s="60">
        <f>(BI33-$AP$19)/BI34</f>
        <v>-0.26868901155772767</v>
      </c>
      <c r="BJ50" s="60">
        <f t="shared" si="184"/>
        <v>5.2409918172718471E-2</v>
      </c>
      <c r="BK50" s="60">
        <f t="shared" si="184"/>
        <v>-0.31982041668064209</v>
      </c>
      <c r="BL50" s="60">
        <f t="shared" si="184"/>
        <v>7.3333056348459907E-2</v>
      </c>
      <c r="BM50" s="60">
        <f t="shared" si="184"/>
        <v>-9.0797870691428251E-2</v>
      </c>
      <c r="BN50" s="60">
        <f t="shared" si="184"/>
        <v>0.81117773718636355</v>
      </c>
      <c r="BO50" s="60">
        <f t="shared" si="184"/>
        <v>0.11223824963158113</v>
      </c>
      <c r="BP50" s="60">
        <f t="shared" si="184"/>
        <v>1.6014376766317362</v>
      </c>
      <c r="BQ50" s="60">
        <f t="shared" si="184"/>
        <v>8.0190877315628059E-2</v>
      </c>
      <c r="BR50" s="60">
        <f>(BR33-$AP$19)/BR34</f>
        <v>0.25158436628202069</v>
      </c>
      <c r="BS50" s="60">
        <f t="shared" si="184"/>
        <v>2.2017200910154746</v>
      </c>
      <c r="BT50" s="60">
        <f t="shared" si="184"/>
        <v>0.69571262778808918</v>
      </c>
      <c r="BU50" s="60">
        <f t="shared" si="184"/>
        <v>-0.36344735575293519</v>
      </c>
      <c r="BV50" s="60">
        <f t="shared" si="184"/>
        <v>0.91271585195172233</v>
      </c>
      <c r="BW50" s="60">
        <f t="shared" si="184"/>
        <v>0.59806412405417475</v>
      </c>
      <c r="BX50" s="20"/>
      <c r="BY50" s="20"/>
    </row>
    <row r="51" spans="1:77" ht="30" customHeight="1">
      <c r="A51" s="3" t="str">
        <f>Cotacao!C51</f>
        <v>9/4/2019 16:56:00</v>
      </c>
      <c r="B51" s="6">
        <f>IFERROR(LN(Cotacao!D52/Cotacao!D51),B50)</f>
        <v>1.7213980734687905E-2</v>
      </c>
      <c r="C51" s="6">
        <f>IFERROR(LN(Cotacao!F52/Cotacao!F51),C50)</f>
        <v>6.1124884690770551E-3</v>
      </c>
      <c r="D51" s="6">
        <f>IFERROR(LN(Cotacao!H52/Cotacao!H51),D50)</f>
        <v>1.0572587516059906E-2</v>
      </c>
      <c r="E51" s="6">
        <f>IFERROR(LN(Cotacao!J52/Cotacao!J51),E50)</f>
        <v>-3.3336420267591718E-2</v>
      </c>
      <c r="F51" s="6">
        <f>IFERROR(LN(Cotacao!L52/Cotacao!L51),F50)</f>
        <v>3.0226723265858856E-3</v>
      </c>
      <c r="G51" s="6">
        <f>IFERROR(LN(Cotacao!N52/Cotacao!N51),G50)</f>
        <v>3.5602465640942306E-2</v>
      </c>
      <c r="H51" s="6">
        <f>IFERROR(LN(Cotacao!P52/Cotacao!P51),H50)</f>
        <v>3.1359079486733311E-2</v>
      </c>
      <c r="I51" s="6">
        <f>IFERROR(LN(Cotacao!R52/Cotacao!R51),I50)</f>
        <v>7.7251858064069263E-3</v>
      </c>
      <c r="J51" s="6">
        <f>IFERROR(LN(Cotacao!T52/Cotacao!T51),J50)</f>
        <v>1.400975561853285E-2</v>
      </c>
      <c r="K51" s="6">
        <f>IFERROR(LN(Cotacao!V52/Cotacao!V51),K50)</f>
        <v>1.2248622076199239E-2</v>
      </c>
      <c r="L51" s="6">
        <f>IFERROR(LN(Cotacao!X52/Cotacao!X51),L50)</f>
        <v>6.5309160552217789E-3</v>
      </c>
      <c r="M51" s="6">
        <f>IFERROR(LN(Profit!B51/Profit!B50),M50)</f>
        <v>0</v>
      </c>
      <c r="N51" s="6">
        <f>IFERROR(LN(Cotacao!AB52/Cotacao!AB51),N50)</f>
        <v>2.4067400305650593E-3</v>
      </c>
      <c r="O51" s="6">
        <f>IFERROR(LN(Cotacao!AD52/Cotacao!AD51),O50)</f>
        <v>1.1142176553241803E-2</v>
      </c>
      <c r="P51" s="6">
        <f>IFERROR(LN(Cotacao!AF52/Cotacao!AF51),P50)</f>
        <v>-6.4495547655206457E-3</v>
      </c>
      <c r="Q51" s="6">
        <f>IFERROR(LN(Cotacao!AH52/Cotacao!AH51),Q50)</f>
        <v>0</v>
      </c>
      <c r="R51" s="6">
        <f>IFERROR(LN(Cotacao!AJ52/Cotacao!AJ51),R50)</f>
        <v>1.0766684540331656E-2</v>
      </c>
      <c r="S51" s="6">
        <f>IFERROR(LN(Cotacao!AL52/Cotacao!AL51),S50)</f>
        <v>1.6552102028731711E-2</v>
      </c>
      <c r="T51" s="6">
        <f>IFERROR(LN(Cotacao!AN52/Cotacao!AN51),T50)</f>
        <v>2.667379548971453E-3</v>
      </c>
      <c r="U51" s="6">
        <f>IFERROR(LN(Cotacao!AP52/Cotacao!AP51),U50)</f>
        <v>-2.3075665423339838E-3</v>
      </c>
      <c r="V51" s="6">
        <f>IFERROR(LN(Cotacao!AR52/Cotacao!AR51),V50)</f>
        <v>8.2911575839811815E-3</v>
      </c>
      <c r="W51" s="6">
        <f>IFERROR(LN(Cotacao!AT52/Cotacao!AT51),W50)</f>
        <v>1.7021687569430524E-2</v>
      </c>
      <c r="X51" s="6">
        <f>IFERROR(LN(Cotacao!AV52/Cotacao!AV51),X50)</f>
        <v>4.8516076899614673E-3</v>
      </c>
      <c r="Y51" s="6">
        <f>IFERROR(LN(Cotacao!AX52/Cotacao!AX51),Y50)</f>
        <v>-1.7079423451561474E-3</v>
      </c>
      <c r="Z51" s="6">
        <f>IFERROR(LN(Cotacao!AZ52/Cotacao!AZ51),Z50)</f>
        <v>-2.4009615375381503E-3</v>
      </c>
      <c r="AA51" s="6">
        <f>IFERROR(LN(Cotacao!BB52/Cotacao!BB51),AA50)</f>
        <v>3.7738349167476377E-3</v>
      </c>
      <c r="AB51" s="6">
        <f>IFERROR(LN(Cotacao!BD52/Cotacao!BD51),AB50)</f>
        <v>-2.5699738435154506E-2</v>
      </c>
      <c r="AC51" s="6">
        <f>IFERROR(LN(Cotacao!BF52/Cotacao!BF51),AC50)</f>
        <v>-1.0373537007327944E-2</v>
      </c>
      <c r="AD51" s="6">
        <f>IFERROR(LN(Cotacao!BH52/Cotacao!BH51),AD50)</f>
        <v>2.4493140561582753E-3</v>
      </c>
      <c r="AE51" s="6">
        <f>IFERROR(LN(Cotacao!BJ52/Cotacao!BJ51),AE50)</f>
        <v>1.2787725527770174E-3</v>
      </c>
      <c r="AF51" s="6">
        <f>IFERROR(LN(Cotacao!BL52/Cotacao!BL51),AF50)</f>
        <v>6.6064983735901073E-3</v>
      </c>
      <c r="AG51" s="6">
        <f>IFERROR(LN(Cotacao!BN52/Cotacao!BN51),AG50)</f>
        <v>1.4900753847809771E-2</v>
      </c>
      <c r="AH51" s="6">
        <f>IFERROR(LN(Cotacao!BP52/Cotacao!BP51),AH50)</f>
        <v>4.9382816405825767E-3</v>
      </c>
      <c r="AI51" s="6">
        <f>IFERROR(LN(Cotacao!BR52/Cotacao!BR51),AI50)</f>
        <v>-4.1456973797064671E-3</v>
      </c>
      <c r="AJ51" s="6">
        <f>IFERROR(LN(Profit!C51/Profit!C50),AJ50)</f>
        <v>4.1339455317281112E-3</v>
      </c>
      <c r="AK51" s="6">
        <f>IFERROR(LN(Cotacao!BV52/Cotacao!BV51),AK50)</f>
        <v>1.0244781640642804E-2</v>
      </c>
      <c r="AL51" s="6">
        <f>IFERROR(LN(Cotacao!BX52/Cotacao!BX51),AL50)</f>
        <v>0</v>
      </c>
      <c r="AN51" s="61" t="s">
        <v>294</v>
      </c>
      <c r="AO51" s="62">
        <f ca="1">(AO41-AP19)/AO42</f>
        <v>0.25131386704251141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</row>
    <row r="52" spans="1:77" ht="30" customHeight="1">
      <c r="A52" s="3" t="str">
        <f>Cotacao!C52</f>
        <v>9/5/2019 16:56:00</v>
      </c>
      <c r="B52" s="6">
        <f>IFERROR(LN(Cotacao!D53/Cotacao!D52),B51)</f>
        <v>-5.3347560614374495E-4</v>
      </c>
      <c r="C52" s="6">
        <f>IFERROR(LN(Cotacao!F53/Cotacao!F52),C51)</f>
        <v>-2.7459971488558478E-3</v>
      </c>
      <c r="D52" s="6">
        <f>IFERROR(LN(Cotacao!H53/Cotacao!H52),D51)</f>
        <v>-1.5560129027098876E-2</v>
      </c>
      <c r="E52" s="6">
        <f>IFERROR(LN(Cotacao!J53/Cotacao!J52),E51)</f>
        <v>2.4670854776595742E-2</v>
      </c>
      <c r="F52" s="6">
        <f>IFERROR(LN(Cotacao!L53/Cotacao!L52),F51)</f>
        <v>-8.5880800637990022E-3</v>
      </c>
      <c r="G52" s="6">
        <f>IFERROR(LN(Cotacao!N53/Cotacao!N52),G51)</f>
        <v>2.8987536873252187E-2</v>
      </c>
      <c r="H52" s="6">
        <f>IFERROR(LN(Cotacao!P53/Cotacao!P52),H51)</f>
        <v>2.9102582987696586E-2</v>
      </c>
      <c r="I52" s="6">
        <f>IFERROR(LN(Cotacao!R53/Cotacao!R52),I51)</f>
        <v>-7.7251858064068335E-3</v>
      </c>
      <c r="J52" s="6">
        <f>IFERROR(LN(Cotacao!T53/Cotacao!T52),J51)</f>
        <v>-2.9364052147031458E-2</v>
      </c>
      <c r="K52" s="6">
        <f>IFERROR(LN(Cotacao!V53/Cotacao!V52),K51)</f>
        <v>-1.4010737069598333E-2</v>
      </c>
      <c r="L52" s="6">
        <f>IFERROR(LN(Cotacao!X53/Cotacao!X52),L51)</f>
        <v>2.1390382487494423E-3</v>
      </c>
      <c r="M52" s="6">
        <f>IFERROR(LN(Profit!B52/Profit!B51),M51)</f>
        <v>-1.0374732825551704E-2</v>
      </c>
      <c r="N52" s="6">
        <f>IFERROR(LN(Cotacao!AB53/Cotacao!AB52),N51)</f>
        <v>-1.0471299867295478E-2</v>
      </c>
      <c r="O52" s="6">
        <f>IFERROR(LN(Cotacao!AD53/Cotacao!AD52),O51)</f>
        <v>2.76625349289011E-3</v>
      </c>
      <c r="P52" s="6">
        <f>IFERROR(LN(Cotacao!AF53/Cotacao!AF52),P51)</f>
        <v>1.2218801536765689E-2</v>
      </c>
      <c r="Q52" s="6">
        <f>IFERROR(LN(Cotacao!AH53/Cotacao!AH52),Q51)</f>
        <v>-1.5058623906161416E-3</v>
      </c>
      <c r="R52" s="6">
        <f>IFERROR(LN(Cotacao!AJ53/Cotacao!AJ52),R51)</f>
        <v>-9.9010709827115698E-3</v>
      </c>
      <c r="S52" s="6">
        <f>IFERROR(LN(Cotacao!AL53/Cotacao!AL52),S51)</f>
        <v>1.3670542115330967E-3</v>
      </c>
      <c r="T52" s="6">
        <f>IFERROR(LN(Cotacao!AN53/Cotacao!AN52),T51)</f>
        <v>-4.8064177977207561E-3</v>
      </c>
      <c r="U52" s="6">
        <f>IFERROR(LN(Cotacao!AP53/Cotacao!AP52),U51)</f>
        <v>-2.4783160144670898E-3</v>
      </c>
      <c r="V52" s="6">
        <f>IFERROR(LN(Cotacao!AR53/Cotacao!AR52),V51)</f>
        <v>-9.1785229022888577E-4</v>
      </c>
      <c r="W52" s="6">
        <f>IFERROR(LN(Cotacao!AT53/Cotacao!AT52),W51)</f>
        <v>-5.0931167041568075E-3</v>
      </c>
      <c r="X52" s="6">
        <f>IFERROR(LN(Cotacao!AV53/Cotacao!AV52),X51)</f>
        <v>7.8261182892409333E-4</v>
      </c>
      <c r="Y52" s="6">
        <f>IFERROR(LN(Cotacao!AX53/Cotacao!AX52),Y51)</f>
        <v>-4.2744176756808513E-4</v>
      </c>
      <c r="Z52" s="6">
        <f>IFERROR(LN(Cotacao!AZ53/Cotacao!AZ52),Z51)</f>
        <v>-2.4067400305649764E-3</v>
      </c>
      <c r="AA52" s="6">
        <f>IFERROR(LN(Cotacao!BB53/Cotacao!BB52),AA51)</f>
        <v>4.0184123034181021E-3</v>
      </c>
      <c r="AB52" s="6">
        <f>IFERROR(LN(Cotacao!BD53/Cotacao!BD52),AB51)</f>
        <v>6.2059437541534387E-3</v>
      </c>
      <c r="AC52" s="6">
        <f>IFERROR(LN(Cotacao!BF53/Cotacao!BF52),AC51)</f>
        <v>-4.6967009607916846E-2</v>
      </c>
      <c r="AD52" s="6">
        <f>IFERROR(LN(Cotacao!BH53/Cotacao!BH52),AD51)</f>
        <v>-2.087414435668106E-2</v>
      </c>
      <c r="AE52" s="6">
        <f>IFERROR(LN(Cotacao!BJ53/Cotacao!BJ52),AE51)</f>
        <v>-6.3918186899714307E-4</v>
      </c>
      <c r="AF52" s="6">
        <f>IFERROR(LN(Cotacao!BL53/Cotacao!BL52),AF51)</f>
        <v>2.6304267687734199E-3</v>
      </c>
      <c r="AG52" s="6">
        <f>IFERROR(LN(Cotacao!BN53/Cotacao!BN52),AG51)</f>
        <v>1.3158084577511201E-2</v>
      </c>
      <c r="AH52" s="6">
        <f>IFERROR(LN(Cotacao!BP53/Cotacao!BP52),AH51)</f>
        <v>4.9140148024289414E-3</v>
      </c>
      <c r="AI52" s="6">
        <f>IFERROR(LN(Cotacao!BR53/Cotacao!BR52),AI51)</f>
        <v>1.0038466346857185E-2</v>
      </c>
      <c r="AJ52" s="6">
        <f>IFERROR(LN(Profit!C52/Profit!C51),AJ51)</f>
        <v>-2.0842772019591782E-2</v>
      </c>
      <c r="AK52" s="6">
        <f>IFERROR(LN(Cotacao!BV53/Cotacao!BV52),AK51)</f>
        <v>6.7495655243069155E-3</v>
      </c>
      <c r="AL52" s="6">
        <f>IFERROR(LN(Cotacao!BX53/Cotacao!BX52),AL51)</f>
        <v>1.8034269991507267E-3</v>
      </c>
      <c r="AN52" s="61" t="s">
        <v>731</v>
      </c>
      <c r="AO52" s="62">
        <f ca="1">(AO41-AP19)/AO44</f>
        <v>0.13017176124651197</v>
      </c>
    </row>
    <row r="53" spans="1:77" ht="15" thickBot="1">
      <c r="A53" s="3" t="str">
        <f>Cotacao!C53</f>
        <v>9/6/2019 16:56:00</v>
      </c>
      <c r="B53" s="6">
        <f>IFERROR(LN(Cotacao!D54/Cotacao!D53),B52)</f>
        <v>-1.9941377583241656E-2</v>
      </c>
      <c r="C53" s="6">
        <f>IFERROR(LN(Cotacao!F54/Cotacao!F53),C52)</f>
        <v>-9.2081681938624774E-3</v>
      </c>
      <c r="D53" s="6">
        <f>IFERROR(LN(Cotacao!H54/Cotacao!H53),D52)</f>
        <v>-5.6980211146377786E-3</v>
      </c>
      <c r="E53" s="6">
        <f>IFERROR(LN(Cotacao!J54/Cotacao!J53),E52)</f>
        <v>-8.7413144015735487E-3</v>
      </c>
      <c r="F53" s="6">
        <f>IFERROR(LN(Cotacao!L54/Cotacao!L53),F52)</f>
        <v>-2.4134675927068572E-2</v>
      </c>
      <c r="G53" s="6">
        <f>IFERROR(LN(Cotacao!N54/Cotacao!N53),G52)</f>
        <v>1.2279509630061781E-2</v>
      </c>
      <c r="H53" s="6">
        <f>IFERROR(LN(Cotacao!P54/Cotacao!P53),H52)</f>
        <v>1.6486554120656444E-2</v>
      </c>
      <c r="I53" s="6">
        <f>IFERROR(LN(Cotacao!R54/Cotacao!R53),I52)</f>
        <v>-4.0899852515251661E-3</v>
      </c>
      <c r="J53" s="6">
        <f>IFERROR(LN(Cotacao!T54/Cotacao!T53),J52)</f>
        <v>-3.6176640445721643E-2</v>
      </c>
      <c r="K53" s="6">
        <f>IFERROR(LN(Cotacao!V54/Cotacao!V53),K52)</f>
        <v>-2.3194616980468204E-2</v>
      </c>
      <c r="L53" s="6">
        <f>IFERROR(LN(Cotacao!X54/Cotacao!X53),L52)</f>
        <v>-3.4193879628783311E-4</v>
      </c>
      <c r="M53" s="6">
        <f>IFERROR(LN(Profit!B53/Profit!B52),M52)</f>
        <v>2.7430291226151513E-2</v>
      </c>
      <c r="N53" s="6">
        <f>IFERROR(LN(Cotacao!AB54/Cotacao!AB53),N52)</f>
        <v>-1.5915455305899568E-2</v>
      </c>
      <c r="O53" s="6">
        <f>IFERROR(LN(Cotacao!AD54/Cotacao!AD53),O52)</f>
        <v>3.3094349013670092E-3</v>
      </c>
      <c r="P53" s="6">
        <f>IFERROR(LN(Cotacao!AF54/Cotacao!AF53),P52)</f>
        <v>6.3714774321423839E-3</v>
      </c>
      <c r="Q53" s="6">
        <f>IFERROR(LN(Cotacao!AH54/Cotacao!AH53),Q52)</f>
        <v>3.0530249094670382E-2</v>
      </c>
      <c r="R53" s="6">
        <f>IFERROR(LN(Cotacao!AJ54/Cotacao!AJ53),R52)</f>
        <v>-2.7188695147053053E-2</v>
      </c>
      <c r="S53" s="6">
        <f>IFERROR(LN(Cotacao!AL54/Cotacao!AL53),S52)</f>
        <v>-2.0704673361691281E-2</v>
      </c>
      <c r="T53" s="6">
        <f>IFERROR(LN(Cotacao!AN54/Cotacao!AN53),T52)</f>
        <v>-1.1738867232736875E-2</v>
      </c>
      <c r="U53" s="6">
        <f>IFERROR(LN(Cotacao!AP54/Cotacao!AP53),U52)</f>
        <v>-7.472014838701066E-3</v>
      </c>
      <c r="V53" s="6">
        <f>IFERROR(LN(Cotacao!AR54/Cotacao!AR53),V52)</f>
        <v>-1.8382358117511204E-3</v>
      </c>
      <c r="W53" s="6">
        <f>IFERROR(LN(Cotacao!AT54/Cotacao!AT53),W52)</f>
        <v>5.0846778499843192E-3</v>
      </c>
      <c r="X53" s="6">
        <f>IFERROR(LN(Cotacao!AV54/Cotacao!AV53),X52)</f>
        <v>-5.7772708030145638E-3</v>
      </c>
      <c r="Y53" s="6">
        <f>IFERROR(LN(Cotacao!AX54/Cotacao!AX53),Y52)</f>
        <v>2.5619142962006645E-3</v>
      </c>
      <c r="Z53" s="6">
        <f>IFERROR(LN(Cotacao!AZ54/Cotacao!AZ53),Z52)</f>
        <v>4.8077015681030778E-3</v>
      </c>
      <c r="AA53" s="6">
        <f>IFERROR(LN(Cotacao!BB54/Cotacao!BB53),AA52)</f>
        <v>-6.4703981552144288E-4</v>
      </c>
      <c r="AB53" s="6">
        <f>IFERROR(LN(Cotacao!BD54/Cotacao!BD53),AB52)</f>
        <v>-4.3097735411161561E-2</v>
      </c>
      <c r="AC53" s="6">
        <f>IFERROR(LN(Cotacao!BF54/Cotacao!BF53),AC52)</f>
        <v>-5.9668794611828356E-2</v>
      </c>
      <c r="AD53" s="6">
        <f>IFERROR(LN(Cotacao!BH54/Cotacao!BH53),AD52)</f>
        <v>8.0166289730905956E-3</v>
      </c>
      <c r="AE53" s="6">
        <f>IFERROR(LN(Cotacao!BJ54/Cotacao!BJ53),AE52)</f>
        <v>6.3918186899707369E-4</v>
      </c>
      <c r="AF53" s="6">
        <f>IFERROR(LN(Cotacao!BL54/Cotacao!BL53),AF52)</f>
        <v>-1.1448826066293541E-2</v>
      </c>
      <c r="AG53" s="6">
        <f>IFERROR(LN(Cotacao!BN54/Cotacao!BN53),AG52)</f>
        <v>-4.6374782899178991E-2</v>
      </c>
      <c r="AH53" s="6">
        <f>IFERROR(LN(Cotacao!BP54/Cotacao!BP53),AH52)</f>
        <v>1.5341741505845729E-2</v>
      </c>
      <c r="AI53" s="6">
        <f>IFERROR(LN(Cotacao!BR54/Cotacao!BR53),AI52)</f>
        <v>5.8737152936886824E-4</v>
      </c>
      <c r="AJ53" s="6">
        <f>IFERROR(LN(Profit!C53/Profit!C52),AJ52)</f>
        <v>5.8798993428794714E-3</v>
      </c>
      <c r="AK53" s="6">
        <f>IFERROR(LN(Cotacao!BV54/Cotacao!BV53),AK52)</f>
        <v>2.3788555165426082E-3</v>
      </c>
      <c r="AL53" s="6">
        <f>IFERROR(LN(Cotacao!BX54/Cotacao!BX53),AL52)</f>
        <v>-9.0498355199179273E-3</v>
      </c>
    </row>
    <row r="54" spans="1:77" ht="18">
      <c r="A54" s="3" t="str">
        <f>Cotacao!C54</f>
        <v>9/9/2019 16:56:00</v>
      </c>
      <c r="B54" s="6">
        <f>IFERROR(LN(Cotacao!D55/Cotacao!D54),B53)</f>
        <v>-1.4254627331712342E-2</v>
      </c>
      <c r="C54" s="6">
        <f>IFERROR(LN(Cotacao!F55/Cotacao!F54),C53)</f>
        <v>8.9025914153196464E-3</v>
      </c>
      <c r="D54" s="6">
        <f>IFERROR(LN(Cotacao!H55/Cotacao!H54),D53)</f>
        <v>-3.2051309489483358E-3</v>
      </c>
      <c r="E54" s="6">
        <f>IFERROR(LN(Cotacao!J55/Cotacao!J54),E53)</f>
        <v>1.4815085785140682E-2</v>
      </c>
      <c r="F54" s="6">
        <f>IFERROR(LN(Cotacao!L55/Cotacao!L54),F53)</f>
        <v>3.1136506732795752E-3</v>
      </c>
      <c r="G54" s="6">
        <f>IFERROR(LN(Cotacao!N55/Cotacao!N54),G53)</f>
        <v>-9.9655864996645062E-3</v>
      </c>
      <c r="H54" s="6">
        <f>IFERROR(LN(Cotacao!P55/Cotacao!P54),H53)</f>
        <v>-9.6650236892216069E-3</v>
      </c>
      <c r="I54" s="6">
        <f>IFERROR(LN(Cotacao!R55/Cotacao!R54),I53)</f>
        <v>1.6663665404553468E-2</v>
      </c>
      <c r="J54" s="6">
        <f>IFERROR(LN(Cotacao!T55/Cotacao!T54),J53)</f>
        <v>8.2840710434204396E-3</v>
      </c>
      <c r="K54" s="6">
        <f>IFERROR(LN(Cotacao!V55/Cotacao!V54),K53)</f>
        <v>-1.8066852249489244E-3</v>
      </c>
      <c r="L54" s="6">
        <f>IFERROR(LN(Cotacao!X55/Cotacao!X54),L53)</f>
        <v>2.4764113249204616E-3</v>
      </c>
      <c r="M54" s="6">
        <f>IFERROR(LN(Profit!B54/Profit!B53),M53)</f>
        <v>-3.387919671936003E-3</v>
      </c>
      <c r="N54" s="6">
        <f>IFERROR(LN(Cotacao!AB55/Cotacao!AB54),N53)</f>
        <v>1.2265076074932621E-2</v>
      </c>
      <c r="O54" s="6">
        <f>IFERROR(LN(Cotacao!AD55/Cotacao!AD54),O53)</f>
        <v>7.6796866742281358E-3</v>
      </c>
      <c r="P54" s="6">
        <f>IFERROR(LN(Cotacao!AF55/Cotacao!AF54),P53)</f>
        <v>-7.6506589305227364E-3</v>
      </c>
      <c r="Q54" s="6">
        <f>IFERROR(LN(Cotacao!AH55/Cotacao!AH54),Q53)</f>
        <v>7.2818380644120561E-3</v>
      </c>
      <c r="R54" s="6">
        <f>IFERROR(LN(Cotacao!AJ55/Cotacao!AJ54),R53)</f>
        <v>-7.5859355305729036E-3</v>
      </c>
      <c r="S54" s="6">
        <f>IFERROR(LN(Cotacao!AL55/Cotacao!AL54),S53)</f>
        <v>1.6597891409037831E-2</v>
      </c>
      <c r="T54" s="6">
        <f>IFERROR(LN(Cotacao!AN55/Cotacao!AN54),T53)</f>
        <v>3.6764747293086273E-3</v>
      </c>
      <c r="U54" s="6">
        <f>IFERROR(LN(Cotacao!AP55/Cotacao!AP54),U53)</f>
        <v>-2.3524545046957192E-2</v>
      </c>
      <c r="V54" s="6">
        <f>IFERROR(LN(Cotacao!AR55/Cotacao!AR54),V53)</f>
        <v>-6.4605670029439059E-3</v>
      </c>
      <c r="W54" s="6">
        <f>IFERROR(LN(Cotacao!AT55/Cotacao!AT54),W53)</f>
        <v>-6.6805492966242929E-3</v>
      </c>
      <c r="X54" s="6">
        <f>IFERROR(LN(Cotacao!AV55/Cotacao!AV54),X53)</f>
        <v>1.3581616870239769E-3</v>
      </c>
      <c r="Y54" s="6">
        <f>IFERROR(LN(Cotacao!AX55/Cotacao!AX54),Y53)</f>
        <v>-6.4171343206335402E-3</v>
      </c>
      <c r="Z54" s="6">
        <f>IFERROR(LN(Cotacao!AZ55/Cotacao!AZ54),Z53)</f>
        <v>-2.4009615375381503E-3</v>
      </c>
      <c r="AA54" s="6">
        <f>IFERROR(LN(Cotacao!BB55/Cotacao!BB54),AA53)</f>
        <v>-1.2953369686848708E-3</v>
      </c>
      <c r="AB54" s="6">
        <f>IFERROR(LN(Cotacao!BD55/Cotacao!BD54),AB53)</f>
        <v>1.2835648802771703E-2</v>
      </c>
      <c r="AC54" s="6">
        <f>IFERROR(LN(Cotacao!BF55/Cotacao!BF54),AC53)</f>
        <v>4.3139492660617743E-2</v>
      </c>
      <c r="AD54" s="6">
        <f>IFERROR(LN(Cotacao!BH55/Cotacao!BH54),AD53)</f>
        <v>1.4487064902253108E-2</v>
      </c>
      <c r="AE54" s="6">
        <f>IFERROR(LN(Cotacao!BJ55/Cotacao!BJ54),AE53)</f>
        <v>-4.6112544884053964E-3</v>
      </c>
      <c r="AF54" s="6">
        <f>IFERROR(LN(Cotacao!BL55/Cotacao!BL54),AF53)</f>
        <v>1.5381538148297073E-2</v>
      </c>
      <c r="AG54" s="6">
        <f>IFERROR(LN(Cotacao!BN55/Cotacao!BN54),AG53)</f>
        <v>1.8239859138050683E-3</v>
      </c>
      <c r="AH54" s="6">
        <f>IFERROR(LN(Cotacao!BP55/Cotacao!BP54),AH53)</f>
        <v>6.2928210621476851E-3</v>
      </c>
      <c r="AI54" s="6">
        <f>IFERROR(LN(Cotacao!BR55/Cotacao!BR54),AI53)</f>
        <v>-5.8892985295530692E-3</v>
      </c>
      <c r="AJ54" s="6">
        <f>IFERROR(LN(Profit!C54/Profit!C53),AJ53)</f>
        <v>-4.1963972617654532E-3</v>
      </c>
      <c r="AK54" s="6">
        <f>IFERROR(LN(Cotacao!BV55/Cotacao!BV54),AK53)</f>
        <v>-1.4459872452427835E-3</v>
      </c>
      <c r="AL54" s="6">
        <f>IFERROR(LN(Cotacao!BX55/Cotacao!BX54),AL53)</f>
        <v>-1.4652276786870375E-2</v>
      </c>
      <c r="AN54" s="112" t="s">
        <v>732</v>
      </c>
      <c r="AO54" s="102"/>
      <c r="AP54" s="75" t="s">
        <v>3</v>
      </c>
      <c r="AQ54" s="75" t="s">
        <v>4</v>
      </c>
      <c r="AR54" s="75" t="s">
        <v>5</v>
      </c>
      <c r="AS54" s="75" t="s">
        <v>6</v>
      </c>
      <c r="AT54" s="75" t="s">
        <v>7</v>
      </c>
      <c r="AU54" s="75" t="s">
        <v>8</v>
      </c>
      <c r="AV54" s="75" t="s">
        <v>9</v>
      </c>
      <c r="AW54" s="75" t="s">
        <v>10</v>
      </c>
      <c r="AX54" s="75" t="s">
        <v>11</v>
      </c>
      <c r="AY54" s="75" t="s">
        <v>12</v>
      </c>
      <c r="AZ54" s="75" t="s">
        <v>13</v>
      </c>
      <c r="BA54" s="75" t="s">
        <v>14</v>
      </c>
      <c r="BB54" s="75" t="s">
        <v>15</v>
      </c>
      <c r="BC54" s="75" t="s">
        <v>16</v>
      </c>
      <c r="BD54" s="75" t="s">
        <v>17</v>
      </c>
      <c r="BE54" s="75" t="s">
        <v>18</v>
      </c>
      <c r="BF54" s="75" t="s">
        <v>19</v>
      </c>
      <c r="BG54" s="75" t="s">
        <v>20</v>
      </c>
      <c r="BH54" s="75" t="s">
        <v>21</v>
      </c>
      <c r="BI54" s="75" t="s">
        <v>22</v>
      </c>
      <c r="BJ54" s="75" t="s">
        <v>23</v>
      </c>
      <c r="BK54" s="75" t="s">
        <v>24</v>
      </c>
      <c r="BL54" s="75" t="s">
        <v>25</v>
      </c>
      <c r="BM54" s="75" t="s">
        <v>26</v>
      </c>
      <c r="BN54" s="75" t="s">
        <v>27</v>
      </c>
      <c r="BO54" s="75" t="s">
        <v>28</v>
      </c>
      <c r="BP54" s="75" t="s">
        <v>29</v>
      </c>
      <c r="BQ54" s="75" t="s">
        <v>30</v>
      </c>
      <c r="BR54" s="75" t="s">
        <v>31</v>
      </c>
      <c r="BS54" s="75" t="s">
        <v>32</v>
      </c>
      <c r="BT54" s="75" t="s">
        <v>33</v>
      </c>
      <c r="BU54" s="75" t="s">
        <v>34</v>
      </c>
      <c r="BV54" s="75" t="s">
        <v>35</v>
      </c>
      <c r="BW54" s="75" t="s">
        <v>36</v>
      </c>
      <c r="BX54" s="76" t="s">
        <v>37</v>
      </c>
      <c r="BY54" s="69" t="s">
        <v>299</v>
      </c>
    </row>
    <row r="55" spans="1:77" ht="18.600000000000001" thickBot="1">
      <c r="A55" s="3" t="str">
        <f>Cotacao!C55</f>
        <v>9/10/2019 16:56:00</v>
      </c>
      <c r="B55" s="6">
        <f>IFERROR(LN(Cotacao!D56/Cotacao!D55),B54)</f>
        <v>1.3165302605257308E-2</v>
      </c>
      <c r="C55" s="6">
        <f>IFERROR(LN(Cotacao!F56/Cotacao!F55),C54)</f>
        <v>2.3260375071566919E-2</v>
      </c>
      <c r="D55" s="6">
        <f>IFERROR(LN(Cotacao!H56/Cotacao!H55),D54)</f>
        <v>1.7277083536142945E-2</v>
      </c>
      <c r="E55" s="6">
        <f>IFERROR(LN(Cotacao!J56/Cotacao!J55),E54)</f>
        <v>2.3087814746063969E-2</v>
      </c>
      <c r="F55" s="6">
        <f>IFERROR(LN(Cotacao!L56/Cotacao!L55),F54)</f>
        <v>1.8481018808180604E-2</v>
      </c>
      <c r="G55" s="6">
        <f>IFERROR(LN(Cotacao!N56/Cotacao!N55),G54)</f>
        <v>-3.0864222031895027E-3</v>
      </c>
      <c r="H55" s="6">
        <f>IFERROR(LN(Cotacao!P56/Cotacao!P55),H54)</f>
        <v>-2.9178169509615922E-3</v>
      </c>
      <c r="I55" s="6">
        <f>IFERROR(LN(Cotacao!R56/Cotacao!R55),I54)</f>
        <v>1.4008634128530208E-2</v>
      </c>
      <c r="J55" s="6">
        <f>IFERROR(LN(Cotacao!T56/Cotacao!T55),J54)</f>
        <v>8.6323652838144208E-2</v>
      </c>
      <c r="K55" s="6">
        <f>IFERROR(LN(Cotacao!V56/Cotacao!V55),K54)</f>
        <v>2.6763417198816506E-2</v>
      </c>
      <c r="L55" s="6">
        <f>IFERROR(LN(Cotacao!X56/Cotacao!X55),L54)</f>
        <v>0</v>
      </c>
      <c r="M55" s="6">
        <f>IFERROR(LN(Profit!B55/Profit!B54),M54)</f>
        <v>4.8899852941917702E-3</v>
      </c>
      <c r="N55" s="6">
        <f>IFERROR(LN(Cotacao!AB56/Cotacao!AB55),N54)</f>
        <v>2.1705032142783645E-2</v>
      </c>
      <c r="O55" s="6">
        <f>IFERROR(LN(Cotacao!AD56/Cotacao!AD55),O54)</f>
        <v>-2.6579637804712012E-2</v>
      </c>
      <c r="P55" s="6">
        <f>IFERROR(LN(Cotacao!AF56/Cotacao!AF55),P54)</f>
        <v>1.7761329578642172E-2</v>
      </c>
      <c r="Q55" s="6">
        <f>IFERROR(LN(Cotacao!AH56/Cotacao!AH55),Q54)</f>
        <v>-6.0297510894827345E-3</v>
      </c>
      <c r="R55" s="6">
        <f>IFERROR(LN(Cotacao!AJ56/Cotacao!AJ55),R54)</f>
        <v>-4.2643987864574278E-3</v>
      </c>
      <c r="S55" s="6">
        <f>IFERROR(LN(Cotacao!AL56/Cotacao!AL55),S54)</f>
        <v>2.7065251508561351E-2</v>
      </c>
      <c r="T55" s="6">
        <f>IFERROR(LN(Cotacao!AN56/Cotacao!AN55),T54)</f>
        <v>-1.6203082129893137E-3</v>
      </c>
      <c r="U55" s="6">
        <f>IFERROR(LN(Cotacao!AP56/Cotacao!AP55),U54)</f>
        <v>1.6667757583744072E-2</v>
      </c>
      <c r="V55" s="6">
        <f>IFERROR(LN(Cotacao!AR56/Cotacao!AR55),V54)</f>
        <v>8.2988028146950641E-3</v>
      </c>
      <c r="W55" s="6">
        <f>IFERROR(LN(Cotacao!AT56/Cotacao!AT55),W54)</f>
        <v>-1.1305343190714729E-3</v>
      </c>
      <c r="X55" s="6">
        <f>IFERROR(LN(Cotacao!AV56/Cotacao!AV55),X54)</f>
        <v>2.8569388095180614E-4</v>
      </c>
      <c r="Y55" s="6">
        <f>IFERROR(LN(Cotacao!AX56/Cotacao!AX55),Y54)</f>
        <v>0</v>
      </c>
      <c r="Z55" s="6">
        <f>IFERROR(LN(Cotacao!AZ56/Cotacao!AZ55),Z54)</f>
        <v>4.7961722634930135E-3</v>
      </c>
      <c r="AA55" s="6">
        <f>IFERROR(LN(Cotacao!BB56/Cotacao!BB55),AA54)</f>
        <v>0</v>
      </c>
      <c r="AB55" s="6">
        <f>IFERROR(LN(Cotacao!BD56/Cotacao!BD55),AB54)</f>
        <v>2.178985293241013E-2</v>
      </c>
      <c r="AC55" s="6">
        <f>IFERROR(LN(Cotacao!BF56/Cotacao!BF55),AC54)</f>
        <v>-2.076976148638594E-2</v>
      </c>
      <c r="AD55" s="6">
        <f>IFERROR(LN(Cotacao!BH56/Cotacao!BH55),AD54)</f>
        <v>-1.2836445545369335E-2</v>
      </c>
      <c r="AE55" s="6">
        <f>IFERROR(LN(Cotacao!BJ56/Cotacao!BJ55),AE54)</f>
        <v>-2.7641196527461113E-3</v>
      </c>
      <c r="AF55" s="6">
        <f>IFERROR(LN(Cotacao!BL56/Cotacao!BL55),AF54)</f>
        <v>6.52034477008572E-3</v>
      </c>
      <c r="AG55" s="6">
        <f>IFERROR(LN(Cotacao!BN56/Cotacao!BN55),AG54)</f>
        <v>1.4248799252485428E-2</v>
      </c>
      <c r="AH55" s="6">
        <f>IFERROR(LN(Cotacao!BP56/Cotacao!BP55),AH54)</f>
        <v>-8.5233052582553547E-3</v>
      </c>
      <c r="AI55" s="6">
        <f>IFERROR(LN(Cotacao!BR56/Cotacao!BR55),AI54)</f>
        <v>1.2910977466904802E-2</v>
      </c>
      <c r="AJ55" s="6">
        <f>IFERROR(LN(Profit!C55/Profit!C54),AJ54)</f>
        <v>-3.369843121550324E-3</v>
      </c>
      <c r="AK55" s="6">
        <f>IFERROR(LN(Cotacao!BV56/Cotacao!BV55),AK54)</f>
        <v>4.011103945211098E-3</v>
      </c>
      <c r="AL55" s="6">
        <f>IFERROR(LN(Cotacao!BX56/Cotacao!BX55),AL54)</f>
        <v>1.7919660343539368E-2</v>
      </c>
      <c r="AN55" s="113"/>
      <c r="AO55" s="103" t="s">
        <v>733</v>
      </c>
      <c r="AP55" s="101">
        <f t="shared" ref="AP55:BX55" ca="1" si="185">AO32</f>
        <v>3.0888240077181765E-2</v>
      </c>
      <c r="AQ55" s="67">
        <f t="shared" si="185"/>
        <v>2.5932405472795371E-2</v>
      </c>
      <c r="AR55" s="67">
        <f t="shared" si="185"/>
        <v>2.1809910378411183E-2</v>
      </c>
      <c r="AS55" s="67">
        <f t="shared" si="185"/>
        <v>4.5687932549761057E-2</v>
      </c>
      <c r="AT55" s="67">
        <f t="shared" si="185"/>
        <v>2.4619210993571141E-2</v>
      </c>
      <c r="AU55" s="67">
        <f t="shared" si="185"/>
        <v>2.6403489528635988E-2</v>
      </c>
      <c r="AV55" s="67">
        <f t="shared" si="185"/>
        <v>2.5801550677679613E-2</v>
      </c>
      <c r="AW55" s="67">
        <f t="shared" si="185"/>
        <v>2.877072417296541E-2</v>
      </c>
      <c r="AX55" s="67">
        <f t="shared" si="185"/>
        <v>4.2944425673647618E-2</v>
      </c>
      <c r="AY55" s="67">
        <f t="shared" si="185"/>
        <v>3.3257824808773782E-2</v>
      </c>
      <c r="AZ55" s="67">
        <f t="shared" si="185"/>
        <v>2.661181013393946E-2</v>
      </c>
      <c r="BA55" s="67">
        <f t="shared" si="185"/>
        <v>1.5678892764579785E-2</v>
      </c>
      <c r="BB55" s="67">
        <f t="shared" si="185"/>
        <v>1.9226884347929667E-2</v>
      </c>
      <c r="BC55" s="67">
        <f t="shared" si="185"/>
        <v>3.2587693586377517E-2</v>
      </c>
      <c r="BD55" s="67">
        <f t="shared" si="185"/>
        <v>4.2585431917902566E-2</v>
      </c>
      <c r="BE55" s="67">
        <f t="shared" si="185"/>
        <v>3.3945948765926916E-2</v>
      </c>
      <c r="BF55" s="67">
        <f t="shared" si="185"/>
        <v>2.6316163978627308E-2</v>
      </c>
      <c r="BG55" s="67">
        <f t="shared" si="185"/>
        <v>3.6285529545969968E-2</v>
      </c>
      <c r="BH55" s="67">
        <f t="shared" si="185"/>
        <v>2.2404282637538898E-2</v>
      </c>
      <c r="BI55" s="67">
        <f t="shared" si="185"/>
        <v>1.4914707523285903E-2</v>
      </c>
      <c r="BJ55" s="67">
        <f t="shared" si="185"/>
        <v>1.6083428303413683E-2</v>
      </c>
      <c r="BK55" s="67">
        <f t="shared" si="185"/>
        <v>1.7772013062109477E-2</v>
      </c>
      <c r="BL55" s="67">
        <f t="shared" si="185"/>
        <v>1.7834991509470779E-2</v>
      </c>
      <c r="BM55" s="67">
        <f t="shared" si="185"/>
        <v>1.6067220847092445E-2</v>
      </c>
      <c r="BN55" s="67">
        <f t="shared" si="185"/>
        <v>2.925165263612612E-2</v>
      </c>
      <c r="BO55" s="67">
        <f t="shared" si="185"/>
        <v>2.2342255876278316E-2</v>
      </c>
      <c r="BP55" s="67">
        <f t="shared" si="185"/>
        <v>4.9967957743243682E-2</v>
      </c>
      <c r="BQ55" s="67">
        <f t="shared" si="185"/>
        <v>4.2534168185193878E-2</v>
      </c>
      <c r="BR55" s="67">
        <f t="shared" si="185"/>
        <v>3.2800767608899786E-2</v>
      </c>
      <c r="BS55" s="67">
        <f t="shared" si="185"/>
        <v>1.6509582702654832E-2</v>
      </c>
      <c r="BT55" s="67">
        <f t="shared" si="185"/>
        <v>3.4168274914639724E-2</v>
      </c>
      <c r="BU55" s="67">
        <f t="shared" si="185"/>
        <v>3.4572417056243261E-2</v>
      </c>
      <c r="BV55" s="67">
        <f t="shared" si="185"/>
        <v>4.3180794351955036E-2</v>
      </c>
      <c r="BW55" s="67">
        <f t="shared" si="185"/>
        <v>6.7977481454001967E-2</v>
      </c>
      <c r="BX55" s="68">
        <f t="shared" si="185"/>
        <v>2.9436619943028694E-2</v>
      </c>
      <c r="BY55" s="70">
        <f>AO40</f>
        <v>2.0733824380019101E-2</v>
      </c>
    </row>
    <row r="56" spans="1:77" ht="18">
      <c r="A56" s="3" t="str">
        <f>Cotacao!C56</f>
        <v>9/11/2019 16:56:00</v>
      </c>
      <c r="B56" s="6">
        <f>IFERROR(LN(Cotacao!D57/Cotacao!D56),B55)</f>
        <v>-3.2751120978051097E-3</v>
      </c>
      <c r="C56" s="6">
        <f>IFERROR(LN(Cotacao!F57/Cotacao!F56),C55)</f>
        <v>1.1873098812846797E-2</v>
      </c>
      <c r="D56" s="6">
        <f>IFERROR(LN(Cotacao!H57/Cotacao!H56),D55)</f>
        <v>6.7385699732092691E-3</v>
      </c>
      <c r="E56" s="6">
        <f>IFERROR(LN(Cotacao!J57/Cotacao!J56),E55)</f>
        <v>1.6764851996292091E-2</v>
      </c>
      <c r="F56" s="6">
        <f>IFERROR(LN(Cotacao!L57/Cotacao!L56),F55)</f>
        <v>4.0609192863150121E-3</v>
      </c>
      <c r="G56" s="6">
        <f>IFERROR(LN(Cotacao!N57/Cotacao!N56),G55)</f>
        <v>1.3052008702853966E-2</v>
      </c>
      <c r="H56" s="6">
        <f>IFERROR(LN(Cotacao!P57/Cotacao!P56),H55)</f>
        <v>-2.2753138371355394E-3</v>
      </c>
      <c r="I56" s="6">
        <f>IFERROR(LN(Cotacao!R57/Cotacao!R56),I55)</f>
        <v>-2.9443546562590652E-2</v>
      </c>
      <c r="J56" s="6">
        <f>IFERROR(LN(Cotacao!T57/Cotacao!T56),J55)</f>
        <v>-1.9100171373419378E-2</v>
      </c>
      <c r="K56" s="6">
        <f>IFERROR(LN(Cotacao!V57/Cotacao!V56),K55)</f>
        <v>-1.7762456339840388E-2</v>
      </c>
      <c r="L56" s="6">
        <f>IFERROR(LN(Cotacao!X57/Cotacao!X56),L55)</f>
        <v>-2.1344725286326811E-3</v>
      </c>
      <c r="M56" s="6">
        <f>IFERROR(LN(Profit!B56/Profit!B55),M55)</f>
        <v>3.7453227301621132E-3</v>
      </c>
      <c r="N56" s="6">
        <f>IFERROR(LN(Cotacao!AB57/Cotacao!AB56),N55)</f>
        <v>2.357673056399702E-2</v>
      </c>
      <c r="O56" s="6">
        <f>IFERROR(LN(Cotacao!AD57/Cotacao!AD56),O55)</f>
        <v>2.6579637804712102E-2</v>
      </c>
      <c r="P56" s="6">
        <f>IFERROR(LN(Cotacao!AF57/Cotacao!AF56),P55)</f>
        <v>1.8844226681923367E-3</v>
      </c>
      <c r="Q56" s="6">
        <f>IFERROR(LN(Cotacao!AH57/Cotacao!AH56),Q55)</f>
        <v>3.5644904284781807E-2</v>
      </c>
      <c r="R56" s="6">
        <f>IFERROR(LN(Cotacao!AJ57/Cotacao!AJ56),R55)</f>
        <v>-3.1538660970221806E-3</v>
      </c>
      <c r="S56" s="6">
        <f>IFERROR(LN(Cotacao!AL57/Cotacao!AL56),S55)</f>
        <v>2.3747817850036775E-2</v>
      </c>
      <c r="T56" s="6">
        <f>IFERROR(LN(Cotacao!AN57/Cotacao!AN56),T55)</f>
        <v>1.728235470122698E-3</v>
      </c>
      <c r="U56" s="6">
        <f>IFERROR(LN(Cotacao!AP57/Cotacao!AP56),U55)</f>
        <v>2.6814160527323782E-3</v>
      </c>
      <c r="V56" s="6">
        <f>IFERROR(LN(Cotacao!AR57/Cotacao!AR56),V55)</f>
        <v>0</v>
      </c>
      <c r="W56" s="6">
        <f>IFERROR(LN(Cotacao!AT57/Cotacao!AT56),W55)</f>
        <v>3.5827117481665198E-3</v>
      </c>
      <c r="X56" s="6">
        <f>IFERROR(LN(Cotacao!AV57/Cotacao!AV56),X55)</f>
        <v>1.9263017407295218E-3</v>
      </c>
      <c r="Y56" s="6">
        <f>IFERROR(LN(Cotacao!AX57/Cotacao!AX56),Y55)</f>
        <v>2.8286137233016506E-3</v>
      </c>
      <c r="Z56" s="6">
        <f>IFERROR(LN(Cotacao!AZ57/Cotacao!AZ56),Z55)</f>
        <v>0</v>
      </c>
      <c r="AA56" s="6">
        <f>IFERROR(LN(Cotacao!BB57/Cotacao!BB56),AA55)</f>
        <v>-3.5708526824879605E-3</v>
      </c>
      <c r="AB56" s="6">
        <f>IFERROR(LN(Cotacao!BD57/Cotacao!BD56),AB55)</f>
        <v>1.1337869695268951E-3</v>
      </c>
      <c r="AC56" s="6">
        <f>IFERROR(LN(Cotacao!BF57/Cotacao!BF56),AC55)</f>
        <v>3.4563083618721707E-2</v>
      </c>
      <c r="AD56" s="6">
        <f>IFERROR(LN(Cotacao!BH57/Cotacao!BH56),AD55)</f>
        <v>2.1965961605407455E-3</v>
      </c>
      <c r="AE56" s="6">
        <f>IFERROR(LN(Cotacao!BJ57/Cotacao!BJ56),AE55)</f>
        <v>9.6509578023242198E-4</v>
      </c>
      <c r="AF56" s="6">
        <f>IFERROR(LN(Cotacao!BL57/Cotacao!BL56),AF55)</f>
        <v>-1.3006721972411651E-3</v>
      </c>
      <c r="AG56" s="6">
        <f>IFERROR(LN(Cotacao!BN57/Cotacao!BN56),AG55)</f>
        <v>-1.1234693912841509E-3</v>
      </c>
      <c r="AH56" s="6">
        <f>IFERROR(LN(Cotacao!BP57/Cotacao!BP56),AH55)</f>
        <v>7.0462001152420389E-3</v>
      </c>
      <c r="AI56" s="6">
        <f>IFERROR(LN(Cotacao!BR57/Cotacao!BR56),AI55)</f>
        <v>-1.7508028983526933E-3</v>
      </c>
      <c r="AJ56" s="6">
        <f>IFERROR(LN(Profit!C56/Profit!C55),AJ55)</f>
        <v>1.6736792355523826E-2</v>
      </c>
      <c r="AK56" s="6">
        <f>IFERROR(LN(Cotacao!BV57/Cotacao!BV56),AK55)</f>
        <v>8.9051261119421909E-3</v>
      </c>
      <c r="AL56" s="6">
        <f>IFERROR(LN(Cotacao!BX57/Cotacao!BX56),AL55)</f>
        <v>2.9287807636901798E-2</v>
      </c>
      <c r="AN56" s="66" t="s">
        <v>295</v>
      </c>
      <c r="AO56" s="77" t="s">
        <v>296</v>
      </c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1"/>
    </row>
    <row r="57" spans="1:77" ht="18">
      <c r="A57" s="3" t="str">
        <f>Cotacao!C57</f>
        <v>9/12/2019 16:56:00</v>
      </c>
      <c r="B57" s="6">
        <f>IFERROR(LN(Cotacao!D58/Cotacao!D57),B56)</f>
        <v>-2.1893823742737731E-3</v>
      </c>
      <c r="C57" s="6">
        <f>IFERROR(LN(Cotacao!F58/Cotacao!F57),C56)</f>
        <v>-7.4041505142126924E-3</v>
      </c>
      <c r="D57" s="6">
        <f>IFERROR(LN(Cotacao!H58/Cotacao!H57),D56)</f>
        <v>-1.4658059265711613E-2</v>
      </c>
      <c r="E57" s="6">
        <f>IFERROR(LN(Cotacao!J58/Cotacao!J57),E56)</f>
        <v>-4.0718093018784804E-2</v>
      </c>
      <c r="F57" s="6">
        <f>IFERROR(LN(Cotacao!L58/Cotacao!L57),F56)</f>
        <v>-1.8405427542715298E-2</v>
      </c>
      <c r="G57" s="6">
        <f>IFERROR(LN(Cotacao!N58/Cotacao!N57),G56)</f>
        <v>3.8066281215627671E-3</v>
      </c>
      <c r="H57" s="6">
        <f>IFERROR(LN(Cotacao!P58/Cotacao!P57),H56)</f>
        <v>8.7478283427529346E-3</v>
      </c>
      <c r="I57" s="6">
        <f>IFERROR(LN(Cotacao!R58/Cotacao!R57),I56)</f>
        <v>3.6772257983615428E-3</v>
      </c>
      <c r="J57" s="6">
        <f>IFERROR(LN(Cotacao!T58/Cotacao!T57),J56)</f>
        <v>-2.5105921131076243E-2</v>
      </c>
      <c r="K57" s="6">
        <f>IFERROR(LN(Cotacao!V58/Cotacao!V57),K56)</f>
        <v>3.5778213478839024E-3</v>
      </c>
      <c r="L57" s="6">
        <f>IFERROR(LN(Cotacao!X58/Cotacao!X57),L56)</f>
        <v>6.3897980987709883E-3</v>
      </c>
      <c r="M57" s="6">
        <f>IFERROR(LN(Profit!B57/Profit!B56),M56)</f>
        <v>1.4942102145018336E-3</v>
      </c>
      <c r="N57" s="6">
        <f>IFERROR(LN(Cotacao!AB58/Cotacao!AB57),N56)</f>
        <v>-3.2763933190492658E-2</v>
      </c>
      <c r="O57" s="6">
        <f>IFERROR(LN(Cotacao!AD58/Cotacao!AD57),O56)</f>
        <v>-1.4309545212897741E-2</v>
      </c>
      <c r="P57" s="6">
        <f>IFERROR(LN(Cotacao!AF58/Cotacao!AF57),P56)</f>
        <v>-1.5175757575382871E-2</v>
      </c>
      <c r="Q57" s="6">
        <f>IFERROR(LN(Cotacao!AH58/Cotacao!AH57),Q56)</f>
        <v>2.0104550398621721E-3</v>
      </c>
      <c r="R57" s="6">
        <f>IFERROR(LN(Cotacao!AJ58/Cotacao!AJ57),R56)</f>
        <v>-2.4207621914115667E-2</v>
      </c>
      <c r="S57" s="6">
        <f>IFERROR(LN(Cotacao!AL58/Cotacao!AL57),S56)</f>
        <v>-5.2287700827991761E-3</v>
      </c>
      <c r="T57" s="6">
        <f>IFERROR(LN(Cotacao!AN58/Cotacao!AN57),T56)</f>
        <v>7.7403095542885447E-3</v>
      </c>
      <c r="U57" s="6">
        <f>IFERROR(LN(Cotacao!AP58/Cotacao!AP57),U56)</f>
        <v>0</v>
      </c>
      <c r="V57" s="6">
        <f>IFERROR(LN(Cotacao!AR58/Cotacao!AR57),V56)</f>
        <v>9.1785229022895971E-4</v>
      </c>
      <c r="W57" s="6">
        <f>IFERROR(LN(Cotacao!AT58/Cotacao!AT57),W56)</f>
        <v>3.7303533799064093E-3</v>
      </c>
      <c r="X57" s="6">
        <f>IFERROR(LN(Cotacao!AV58/Cotacao!AV57),X56)</f>
        <v>0</v>
      </c>
      <c r="Y57" s="6">
        <f>IFERROR(LN(Cotacao!AX58/Cotacao!AX57),Y56)</f>
        <v>5.9898174896569106E-4</v>
      </c>
      <c r="Z57" s="6">
        <f>IFERROR(LN(Cotacao!AZ58/Cotacao!AZ57),Z56)</f>
        <v>0</v>
      </c>
      <c r="AA57" s="6">
        <f>IFERROR(LN(Cotacao!BB58/Cotacao!BB57),AA56)</f>
        <v>3.5708526824879813E-3</v>
      </c>
      <c r="AB57" s="6">
        <f>IFERROR(LN(Cotacao!BD58/Cotacao!BD57),AB56)</f>
        <v>-1.1396134730869582E-2</v>
      </c>
      <c r="AC57" s="6">
        <f>IFERROR(LN(Cotacao!BF58/Cotacao!BF57),AC56)</f>
        <v>0</v>
      </c>
      <c r="AD57" s="6">
        <f>IFERROR(LN(Cotacao!BH58/Cotacao!BH57),AD56)</f>
        <v>-2.0785007644159876E-2</v>
      </c>
      <c r="AE57" s="6">
        <f>IFERROR(LN(Cotacao!BJ58/Cotacao!BJ57),AE56)</f>
        <v>1.6706294446553339E-3</v>
      </c>
      <c r="AF57" s="6">
        <f>IFERROR(LN(Cotacao!BL58/Cotacao!BL57),AF56)</f>
        <v>2.8652804686867022E-2</v>
      </c>
      <c r="AG57" s="6">
        <f>IFERROR(LN(Cotacao!BN58/Cotacao!BN57),AG56)</f>
        <v>-3.3839534248764416E-2</v>
      </c>
      <c r="AH57" s="6">
        <f>IFERROR(LN(Cotacao!BP58/Cotacao!BP57),AH56)</f>
        <v>-6.6741070876931317E-3</v>
      </c>
      <c r="AI57" s="6">
        <f>IFERROR(LN(Cotacao!BR58/Cotacao!BR57),AI56)</f>
        <v>-5.2708760389991666E-3</v>
      </c>
      <c r="AJ57" s="6">
        <f>IFERROR(LN(Profit!C57/Profit!C56),AJ56)</f>
        <v>-1.9271647958711908E-2</v>
      </c>
      <c r="AK57" s="6">
        <f>IFERROR(LN(Cotacao!BV58/Cotacao!BV57),AK56)</f>
        <v>-8.3679831678835307E-3</v>
      </c>
      <c r="AL57" s="6">
        <f>IFERROR(LN(Cotacao!BX58/Cotacao!BX57),AL56)</f>
        <v>-1.761494202169847E-3</v>
      </c>
      <c r="AN57" s="84">
        <v>0.05</v>
      </c>
      <c r="AO57" s="77">
        <v>30</v>
      </c>
      <c r="AP57" s="79">
        <f>PERCENTILE(B3:B247,$AN$57)*SQRT($AO$57)</f>
        <v>-0.27335455296890271</v>
      </c>
      <c r="AQ57" s="79">
        <f t="shared" ref="AQ57:BX57" si="186">PERCENTILE(C3:C247,$AN$57)*SQRT($AO$57)</f>
        <v>-0.23533697500081685</v>
      </c>
      <c r="AR57" s="79">
        <f t="shared" si="186"/>
        <v>-0.19809401575883798</v>
      </c>
      <c r="AS57" s="79">
        <f t="shared" si="186"/>
        <v>-0.30081752529739753</v>
      </c>
      <c r="AT57" s="79">
        <f t="shared" si="186"/>
        <v>-0.20595275061841725</v>
      </c>
      <c r="AU57" s="79">
        <f t="shared" si="186"/>
        <v>-0.23920353493481336</v>
      </c>
      <c r="AV57" s="79">
        <f t="shared" si="186"/>
        <v>-0.21640217568583878</v>
      </c>
      <c r="AW57" s="79">
        <f t="shared" si="186"/>
        <v>-0.29148559068435165</v>
      </c>
      <c r="AX57" s="79">
        <f t="shared" si="186"/>
        <v>-0.34247979724411792</v>
      </c>
      <c r="AY57" s="79">
        <f t="shared" si="186"/>
        <v>-0.26359848732814206</v>
      </c>
      <c r="AZ57" s="79">
        <f t="shared" si="186"/>
        <v>-0.19005104814643448</v>
      </c>
      <c r="BA57" s="79">
        <f t="shared" si="186"/>
        <v>-0.12405558252178318</v>
      </c>
      <c r="BB57" s="79">
        <f t="shared" si="186"/>
        <v>-0.19966267446994101</v>
      </c>
      <c r="BC57" s="79">
        <f t="shared" si="186"/>
        <v>-0.2977461144116052</v>
      </c>
      <c r="BD57" s="79">
        <f t="shared" si="186"/>
        <v>-0.37524976239725322</v>
      </c>
      <c r="BE57" s="79">
        <f t="shared" si="186"/>
        <v>-0.23332027902671199</v>
      </c>
      <c r="BF57" s="79">
        <f t="shared" si="186"/>
        <v>-0.17043634565878171</v>
      </c>
      <c r="BG57" s="79">
        <f t="shared" si="186"/>
        <v>-0.30134477575563867</v>
      </c>
      <c r="BH57" s="79">
        <f t="shared" si="186"/>
        <v>-0.17327894641564262</v>
      </c>
      <c r="BI57" s="79">
        <f t="shared" si="186"/>
        <v>-0.13296341233049511</v>
      </c>
      <c r="BJ57" s="79">
        <f t="shared" si="186"/>
        <v>-0.1625585001405648</v>
      </c>
      <c r="BK57" s="79">
        <f t="shared" si="186"/>
        <v>-0.12195880455298608</v>
      </c>
      <c r="BL57" s="79">
        <f t="shared" si="186"/>
        <v>-0.11824788042181744</v>
      </c>
      <c r="BM57" s="79">
        <f t="shared" si="186"/>
        <v>-9.8239703992179794E-2</v>
      </c>
      <c r="BN57" s="79">
        <f t="shared" si="186"/>
        <v>-0.22528369367004189</v>
      </c>
      <c r="BO57" s="79">
        <f t="shared" si="186"/>
        <v>-0.14429767118792097</v>
      </c>
      <c r="BP57" s="79">
        <f t="shared" si="186"/>
        <v>-0.36436598628659228</v>
      </c>
      <c r="BQ57" s="79">
        <f t="shared" si="186"/>
        <v>-0.33120190501082575</v>
      </c>
      <c r="BR57" s="79">
        <f t="shared" si="186"/>
        <v>-0.22269454939203986</v>
      </c>
      <c r="BS57" s="79">
        <f t="shared" si="186"/>
        <v>-0.10511387547924489</v>
      </c>
      <c r="BT57" s="79">
        <f t="shared" si="186"/>
        <v>-0.21242285849149212</v>
      </c>
      <c r="BU57" s="79">
        <f t="shared" si="186"/>
        <v>-0.25338152032959987</v>
      </c>
      <c r="BV57" s="79">
        <f t="shared" si="186"/>
        <v>-0.22194705237329235</v>
      </c>
      <c r="BW57" s="79">
        <f t="shared" si="186"/>
        <v>-0.35467215826779808</v>
      </c>
      <c r="BX57" s="79">
        <f t="shared" si="186"/>
        <v>-0.22574714850707922</v>
      </c>
      <c r="BY57" s="72"/>
    </row>
    <row r="58" spans="1:77" ht="18">
      <c r="A58" s="3" t="str">
        <f>Cotacao!C58</f>
        <v>9/13/2019 16:56:00</v>
      </c>
      <c r="B58" s="6">
        <f>IFERROR(LN(Cotacao!D59/Cotacao!D58),B57)</f>
        <v>-7.1487794136671874E-3</v>
      </c>
      <c r="C58" s="6">
        <f>IFERROR(LN(Cotacao!F59/Cotacao!F58),C57)</f>
        <v>-6.2621346727400546E-3</v>
      </c>
      <c r="D58" s="6">
        <f>IFERROR(LN(Cotacao!H59/Cotacao!H58),D57)</f>
        <v>9.0457423679657714E-3</v>
      </c>
      <c r="E58" s="6">
        <f>IFERROR(LN(Cotacao!J59/Cotacao!J58),E57)</f>
        <v>3.8221212820197671E-2</v>
      </c>
      <c r="F58" s="6">
        <f>IFERROR(LN(Cotacao!L59/Cotacao!L58),F57)</f>
        <v>-4.1365105517801671E-3</v>
      </c>
      <c r="G58" s="6">
        <f>IFERROR(LN(Cotacao!N59/Cotacao!N58),G57)</f>
        <v>-3.044142381228244E-3</v>
      </c>
      <c r="H58" s="6">
        <f>IFERROR(LN(Cotacao!P59/Cotacao!P58),H57)</f>
        <v>-2.2509513415434536E-2</v>
      </c>
      <c r="I58" s="6">
        <f>IFERROR(LN(Cotacao!R59/Cotacao!R58),I57)</f>
        <v>4.0774720238742743E-4</v>
      </c>
      <c r="J58" s="6">
        <f>IFERROR(LN(Cotacao!T59/Cotacao!T58),J57)</f>
        <v>-1.6519885799685708E-2</v>
      </c>
      <c r="K58" s="6">
        <f>IFERROR(LN(Cotacao!V59/Cotacao!V58),K57)</f>
        <v>-1.077209698191107E-2</v>
      </c>
      <c r="L58" s="6">
        <f>IFERROR(LN(Cotacao!X59/Cotacao!X58),L57)</f>
        <v>-6.38979809877101E-3</v>
      </c>
      <c r="M58" s="6">
        <f>IFERROR(LN(Profit!B58/Profit!B57),M57)</f>
        <v>1.7024837552735712E-2</v>
      </c>
      <c r="N58" s="6">
        <f>IFERROR(LN(Cotacao!AB59/Cotacao!AB58),N57)</f>
        <v>-8.0289044859062407E-4</v>
      </c>
      <c r="O58" s="6">
        <f>IFERROR(LN(Cotacao!AD59/Cotacao!AD58),O57)</f>
        <v>-1.5079872467917565E-2</v>
      </c>
      <c r="P58" s="6">
        <f>IFERROR(LN(Cotacao!AF59/Cotacao!AF58),P57)</f>
        <v>1.9096122925873439E-3</v>
      </c>
      <c r="Q58" s="6">
        <f>IFERROR(LN(Cotacao!AH59/Cotacao!AH58),Q57)</f>
        <v>-2.439641223627969E-2</v>
      </c>
      <c r="R58" s="6">
        <f>IFERROR(LN(Cotacao!AJ59/Cotacao!AJ58),R57)</f>
        <v>1.2405396857487731E-2</v>
      </c>
      <c r="S58" s="6">
        <f>IFERROR(LN(Cotacao!AL59/Cotacao!AL58),S57)</f>
        <v>-1.5852379520322327E-2</v>
      </c>
      <c r="T58" s="6">
        <f>IFERROR(LN(Cotacao!AN59/Cotacao!AN58),T57)</f>
        <v>-4.8306679735429176E-3</v>
      </c>
      <c r="U58" s="6">
        <f>IFERROR(LN(Cotacao!AP59/Cotacao!AP58),U57)</f>
        <v>-8.4034107963795041E-3</v>
      </c>
      <c r="V58" s="6">
        <f>IFERROR(LN(Cotacao!AR59/Cotacao!AR58),V57)</f>
        <v>0</v>
      </c>
      <c r="W58" s="6">
        <f>IFERROR(LN(Cotacao!AT59/Cotacao!AT58),W57)</f>
        <v>-4.1372192469304406E-3</v>
      </c>
      <c r="X58" s="6">
        <f>IFERROR(LN(Cotacao!AV59/Cotacao!AV58),X57)</f>
        <v>7.1250448329549995E-4</v>
      </c>
      <c r="Y58" s="6">
        <f>IFERROR(LN(Cotacao!AX59/Cotacao!AX58),Y57)</f>
        <v>6.8411153685688864E-4</v>
      </c>
      <c r="Z58" s="6">
        <f>IFERROR(LN(Cotacao!AZ59/Cotacao!AZ58),Z57)</f>
        <v>7.1514011576250865E-3</v>
      </c>
      <c r="AA58" s="6">
        <f>IFERROR(LN(Cotacao!BB59/Cotacao!BB58),AA57)</f>
        <v>-3.5708526824879605E-3</v>
      </c>
      <c r="AB58" s="6">
        <f>IFERROR(LN(Cotacao!BD59/Cotacao!BD58),AB57)</f>
        <v>-4.5950683954225271E-3</v>
      </c>
      <c r="AC58" s="6">
        <f>IFERROR(LN(Cotacao!BF59/Cotacao!BF58),AC57)</f>
        <v>-1.4905050985026256E-2</v>
      </c>
      <c r="AD58" s="6">
        <f>IFERROR(LN(Cotacao!BH59/Cotacao!BH58),AD57)</f>
        <v>-3.0851237483722972E-3</v>
      </c>
      <c r="AE58" s="6">
        <f>IFERROR(LN(Cotacao!BJ59/Cotacao!BJ58),AE57)</f>
        <v>3.0769255044793202E-3</v>
      </c>
      <c r="AF58" s="6">
        <f>IFERROR(LN(Cotacao!BL59/Cotacao!BL58),AF57)</f>
        <v>-2.0443642145814202E-2</v>
      </c>
      <c r="AG58" s="6">
        <f>IFERROR(LN(Cotacao!BN59/Cotacao!BN58),AG57)</f>
        <v>1.6265833724568E-3</v>
      </c>
      <c r="AH58" s="6">
        <f>IFERROR(LN(Cotacao!BP59/Cotacao!BP58),AH57)</f>
        <v>4.2962559019366096E-2</v>
      </c>
      <c r="AI58" s="6">
        <f>IFERROR(LN(Cotacao!BR59/Cotacao!BR58),AI57)</f>
        <v>2.6652794355913584E-2</v>
      </c>
      <c r="AJ58" s="6">
        <f>IFERROR(LN(Profit!C58/Profit!C57),AJ57)</f>
        <v>-5.939771387784171E-3</v>
      </c>
      <c r="AK58" s="6">
        <f>IFERROR(LN(Cotacao!BV59/Cotacao!BV58),AK57)</f>
        <v>1.7301734648375098E-3</v>
      </c>
      <c r="AL58" s="6">
        <f>IFERROR(LN(Cotacao!BX59/Cotacao!BX58),AL57)</f>
        <v>-2.6801675721863701E-2</v>
      </c>
      <c r="AN58" s="63" t="s">
        <v>297</v>
      </c>
      <c r="AO58" s="80">
        <v>500000</v>
      </c>
      <c r="AP58" s="81">
        <f>$AO$58*AP57</f>
        <v>-136677.27648445134</v>
      </c>
      <c r="AQ58" s="81">
        <f t="shared" ref="AQ58:BY58" si="187">$AO$58*AQ57</f>
        <v>-117668.48750040843</v>
      </c>
      <c r="AR58" s="81">
        <f t="shared" si="187"/>
        <v>-99047.00787941899</v>
      </c>
      <c r="AS58" s="81">
        <f>$AO$58*AS57</f>
        <v>-150408.76264869876</v>
      </c>
      <c r="AT58" s="81">
        <f t="shared" si="187"/>
        <v>-102976.37530920863</v>
      </c>
      <c r="AU58" s="81">
        <f t="shared" si="187"/>
        <v>-119601.76746740668</v>
      </c>
      <c r="AV58" s="81">
        <f t="shared" si="187"/>
        <v>-108201.08784291938</v>
      </c>
      <c r="AW58" s="81">
        <f t="shared" si="187"/>
        <v>-145742.79534217581</v>
      </c>
      <c r="AX58" s="81">
        <f t="shared" si="187"/>
        <v>-171239.89862205897</v>
      </c>
      <c r="AY58" s="81">
        <f t="shared" si="187"/>
        <v>-131799.24366407102</v>
      </c>
      <c r="AZ58" s="81">
        <f t="shared" si="187"/>
        <v>-95025.524073217239</v>
      </c>
      <c r="BA58" s="81">
        <f t="shared" si="187"/>
        <v>-62027.791260891594</v>
      </c>
      <c r="BB58" s="81">
        <f t="shared" si="187"/>
        <v>-99831.337234970502</v>
      </c>
      <c r="BC58" s="81">
        <f t="shared" si="187"/>
        <v>-148873.05720580259</v>
      </c>
      <c r="BD58" s="81">
        <f t="shared" si="187"/>
        <v>-187624.88119862662</v>
      </c>
      <c r="BE58" s="81">
        <f t="shared" si="187"/>
        <v>-116660.13951335599</v>
      </c>
      <c r="BF58" s="81">
        <f t="shared" si="187"/>
        <v>-85218.172829390853</v>
      </c>
      <c r="BG58" s="81">
        <f t="shared" si="187"/>
        <v>-150672.38787781933</v>
      </c>
      <c r="BH58" s="81">
        <f t="shared" si="187"/>
        <v>-86639.473207821313</v>
      </c>
      <c r="BI58" s="81">
        <f t="shared" si="187"/>
        <v>-66481.706165247553</v>
      </c>
      <c r="BJ58" s="81">
        <f t="shared" si="187"/>
        <v>-81279.250070282404</v>
      </c>
      <c r="BK58" s="81">
        <f t="shared" si="187"/>
        <v>-60979.402276493041</v>
      </c>
      <c r="BL58" s="81">
        <f t="shared" si="187"/>
        <v>-59123.940210908724</v>
      </c>
      <c r="BM58" s="81">
        <f t="shared" si="187"/>
        <v>-49119.851996089899</v>
      </c>
      <c r="BN58" s="81">
        <f t="shared" si="187"/>
        <v>-112641.84683502094</v>
      </c>
      <c r="BO58" s="81">
        <f t="shared" si="187"/>
        <v>-72148.835593960481</v>
      </c>
      <c r="BP58" s="81">
        <f t="shared" si="187"/>
        <v>-182182.99314329613</v>
      </c>
      <c r="BQ58" s="81">
        <f t="shared" si="187"/>
        <v>-165600.95250541286</v>
      </c>
      <c r="BR58" s="81">
        <f t="shared" si="187"/>
        <v>-111347.27469601993</v>
      </c>
      <c r="BS58" s="81">
        <f t="shared" si="187"/>
        <v>-52556.937739622444</v>
      </c>
      <c r="BT58" s="81">
        <f t="shared" si="187"/>
        <v>-106211.42924574605</v>
      </c>
      <c r="BU58" s="81">
        <f t="shared" si="187"/>
        <v>-126690.76016479994</v>
      </c>
      <c r="BV58" s="81">
        <f t="shared" si="187"/>
        <v>-110973.52618664618</v>
      </c>
      <c r="BW58" s="81">
        <f t="shared" si="187"/>
        <v>-177336.07913389904</v>
      </c>
      <c r="BX58" s="81">
        <f t="shared" si="187"/>
        <v>-112873.57425353961</v>
      </c>
      <c r="BY58" s="73">
        <f t="shared" si="187"/>
        <v>0</v>
      </c>
    </row>
    <row r="59" spans="1:77" ht="18">
      <c r="A59" s="3" t="str">
        <f>Cotacao!C59</f>
        <v>9/16/2019 16:56:00</v>
      </c>
      <c r="B59" s="6">
        <f>IFERROR(LN(Cotacao!D60/Cotacao!D59),B58)</f>
        <v>2.2050725583139755E-3</v>
      </c>
      <c r="C59" s="6">
        <f>IFERROR(LN(Cotacao!F60/Cotacao!F59),C58)</f>
        <v>8.6374327016475166E-3</v>
      </c>
      <c r="D59" s="6">
        <f>IFERROR(LN(Cotacao!H60/Cotacao!H59),D58)</f>
        <v>-1.1775498385155743E-2</v>
      </c>
      <c r="E59" s="6">
        <f>IFERROR(LN(Cotacao!J60/Cotacao!J59),E58)</f>
        <v>-2.5317807984289897E-2</v>
      </c>
      <c r="F59" s="6">
        <f>IFERROR(LN(Cotacao!L60/Cotacao!L59),F58)</f>
        <v>9.7964176086294784E-3</v>
      </c>
      <c r="G59" s="6">
        <f>IFERROR(LN(Cotacao!N60/Cotacao!N59),G58)</f>
        <v>4.562745558418237E-3</v>
      </c>
      <c r="H59" s="6">
        <f>IFERROR(LN(Cotacao!P60/Cotacao!P59),H58)</f>
        <v>1.0502229774972137E-2</v>
      </c>
      <c r="I59" s="6">
        <f>IFERROR(LN(Cotacao!R60/Cotacao!R59),I58)</f>
        <v>-6.5439906332831173E-3</v>
      </c>
      <c r="J59" s="6">
        <f>IFERROR(LN(Cotacao!T60/Cotacao!T59),J58)</f>
        <v>6.8801392309726789E-2</v>
      </c>
      <c r="K59" s="6">
        <f>IFERROR(LN(Cotacao!V60/Cotacao!V59),K58)</f>
        <v>1.8034269991507267E-3</v>
      </c>
      <c r="L59" s="6">
        <f>IFERROR(LN(Cotacao!X60/Cotacao!X59),L58)</f>
        <v>0</v>
      </c>
      <c r="M59" s="6">
        <f>IFERROR(LN(Profit!B59/Profit!B58),M58)</f>
        <v>-2.4894467824153915E-2</v>
      </c>
      <c r="N59" s="6">
        <f>IFERROR(LN(Cotacao!AB60/Cotacao!AB59),N58)</f>
        <v>1.3958352250706855E-2</v>
      </c>
      <c r="O59" s="6">
        <f>IFERROR(LN(Cotacao!AD60/Cotacao!AD59),O58)</f>
        <v>-9.0447196584452026E-3</v>
      </c>
      <c r="P59" s="6">
        <f>IFERROR(LN(Cotacao!AF60/Cotacao!AF59),P58)</f>
        <v>-6.3796069640390399E-3</v>
      </c>
      <c r="Q59" s="6">
        <f>IFERROR(LN(Cotacao!AH60/Cotacao!AH59),Q58)</f>
        <v>6.3596480630146758E-3</v>
      </c>
      <c r="R59" s="6">
        <f>IFERROR(LN(Cotacao!AJ60/Cotacao!AJ59),R58)</f>
        <v>2.7359798188748455E-3</v>
      </c>
      <c r="S59" s="6">
        <f>IFERROR(LN(Cotacao!AL60/Cotacao!AL59),S58)</f>
        <v>1.3227706097551126E-2</v>
      </c>
      <c r="T59" s="6">
        <f>IFERROR(LN(Cotacao!AN60/Cotacao!AN59),T58)</f>
        <v>7.529715840079342E-4</v>
      </c>
      <c r="U59" s="6">
        <f>IFERROR(LN(Cotacao!AP60/Cotacao!AP59),U58)</f>
        <v>5.7219947436470122E-3</v>
      </c>
      <c r="V59" s="6">
        <f>IFERROR(LN(Cotacao!AR60/Cotacao!AR59),V58)</f>
        <v>-9.1785229022888577E-4</v>
      </c>
      <c r="W59" s="6">
        <f>IFERROR(LN(Cotacao!AT60/Cotacao!AT59),W58)</f>
        <v>1.4736036875643991E-2</v>
      </c>
      <c r="X59" s="6">
        <f>IFERROR(LN(Cotacao!AV60/Cotacao!AV59),X58)</f>
        <v>1.2809346792894227E-2</v>
      </c>
      <c r="Y59" s="6">
        <f>IFERROR(LN(Cotacao!AX60/Cotacao!AX59),Y58)</f>
        <v>9.8673818642093254E-3</v>
      </c>
      <c r="Z59" s="6">
        <f>IFERROR(LN(Cotacao!AZ60/Cotacao!AZ59),Z58)</f>
        <v>2.3724803536303955E-3</v>
      </c>
      <c r="AA59" s="6">
        <f>IFERROR(LN(Cotacao!BB60/Cotacao!BB59),AA58)</f>
        <v>3.2467560988698732E-3</v>
      </c>
      <c r="AB59" s="6">
        <f>IFERROR(LN(Cotacao!BD60/Cotacao!BD59),AB58)</f>
        <v>1.1448321945992126E-2</v>
      </c>
      <c r="AC59" s="6">
        <f>IFERROR(LN(Cotacao!BF60/Cotacao!BF59),AC58)</f>
        <v>-3.1641057619117396E-2</v>
      </c>
      <c r="AD59" s="6">
        <f>IFERROR(LN(Cotacao!BH60/Cotacao!BH59),AD58)</f>
        <v>-1.6426311000278943E-2</v>
      </c>
      <c r="AE59" s="6">
        <f>IFERROR(LN(Cotacao!BJ60/Cotacao!BJ59),AE58)</f>
        <v>-1.0886620139613258E-3</v>
      </c>
      <c r="AF59" s="6">
        <f>IFERROR(LN(Cotacao!BL60/Cotacao!BL59),AF58)</f>
        <v>2.3810648693718607E-2</v>
      </c>
      <c r="AG59" s="6">
        <f>IFERROR(LN(Cotacao!BN60/Cotacao!BN59),AG58)</f>
        <v>2.408649531928243E-2</v>
      </c>
      <c r="AH59" s="6">
        <f>IFERROR(LN(Cotacao!BP60/Cotacao!BP59),AH58)</f>
        <v>-1.3273737491444259E-2</v>
      </c>
      <c r="AI59" s="6">
        <f>IFERROR(LN(Cotacao!BR60/Cotacao!BR59),AI58)</f>
        <v>-2.3135791903011134E-2</v>
      </c>
      <c r="AJ59" s="6">
        <f>IFERROR(LN(Profit!C59/Profit!C58),AJ58)</f>
        <v>-2.499052930357434E-2</v>
      </c>
      <c r="AK59" s="6">
        <f>IFERROR(LN(Cotacao!BV60/Cotacao!BV59),AK58)</f>
        <v>8.9915370388375451E-3</v>
      </c>
      <c r="AL59" s="6">
        <f>IFERROR(LN(Cotacao!BX60/Cotacao!BX59),AL58)</f>
        <v>1.5810606026642245E-2</v>
      </c>
      <c r="AN59" s="64" t="s">
        <v>298</v>
      </c>
      <c r="AO59" s="82" t="s">
        <v>296</v>
      </c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1"/>
    </row>
    <row r="60" spans="1:77" ht="18">
      <c r="A60" s="3" t="str">
        <f>Cotacao!C60</f>
        <v>9/17/2019 16:56:00</v>
      </c>
      <c r="B60" s="6">
        <f>IFERROR(LN(Cotacao!D61/Cotacao!D60),B59)</f>
        <v>2.2002209096023376E-3</v>
      </c>
      <c r="C60" s="6">
        <f>IFERROR(LN(Cotacao!F61/Cotacao!F60),C59)</f>
        <v>6.7977208710506528E-3</v>
      </c>
      <c r="D60" s="6">
        <f>IFERROR(LN(Cotacao!H61/Cotacao!H60),D59)</f>
        <v>1.5932631115930949E-3</v>
      </c>
      <c r="E60" s="6">
        <f>IFERROR(LN(Cotacao!J61/Cotacao!J60),E59)</f>
        <v>2.1978906718775382E-2</v>
      </c>
      <c r="F60" s="6">
        <f>IFERROR(LN(Cotacao!L61/Cotacao!L60),F59)</f>
        <v>-3.5980506562903938E-3</v>
      </c>
      <c r="G60" s="6">
        <f>IFERROR(LN(Cotacao!N61/Cotacao!N60),G59)</f>
        <v>1.516300517964008E-3</v>
      </c>
      <c r="H60" s="6">
        <f>IFERROR(LN(Cotacao!P61/Cotacao!P60),H59)</f>
        <v>3.584817265765889E-3</v>
      </c>
      <c r="I60" s="6">
        <f>IFERROR(LN(Cotacao!R61/Cotacao!R60),I59)</f>
        <v>1.3450375996816605E-2</v>
      </c>
      <c r="J60" s="6">
        <f>IFERROR(LN(Cotacao!T61/Cotacao!T60),J59)</f>
        <v>-2.3326254258012234E-2</v>
      </c>
      <c r="K60" s="6">
        <f>IFERROR(LN(Cotacao!V61/Cotacao!V60),K59)</f>
        <v>1.2533736147256657E-2</v>
      </c>
      <c r="L60" s="6">
        <f>IFERROR(LN(Cotacao!X61/Cotacao!X60),L59)</f>
        <v>-4.3685023860704905E-3</v>
      </c>
      <c r="M60" s="6">
        <f>IFERROR(LN(Profit!B60/Profit!B59),M59)</f>
        <v>-1.6692345089023244E-2</v>
      </c>
      <c r="N60" s="6">
        <f>IFERROR(LN(Cotacao!AB61/Cotacao!AB60),N59)</f>
        <v>3.9525743158233418E-3</v>
      </c>
      <c r="O60" s="6">
        <f>IFERROR(LN(Cotacao!AD61/Cotacao!AD60),O59)</f>
        <v>6.7911975780017555E-3</v>
      </c>
      <c r="P60" s="6">
        <f>IFERROR(LN(Cotacao!AF61/Cotacao!AF60),P59)</f>
        <v>4.7885167317970939E-3</v>
      </c>
      <c r="Q60" s="6">
        <f>IFERROR(LN(Cotacao!AH61/Cotacao!AH60),Q59)</f>
        <v>-1.0277582758240296E-2</v>
      </c>
      <c r="R60" s="6">
        <f>IFERROR(LN(Cotacao!AJ61/Cotacao!AJ60),R59)</f>
        <v>9.1033233414538565E-4</v>
      </c>
      <c r="S60" s="6">
        <f>IFERROR(LN(Cotacao!AL61/Cotacao!AL60),S59)</f>
        <v>0</v>
      </c>
      <c r="T60" s="6">
        <f>IFERROR(LN(Cotacao!AN61/Cotacao!AN60),T59)</f>
        <v>-7.6636998757705233E-3</v>
      </c>
      <c r="U60" s="6">
        <f>IFERROR(LN(Cotacao!AP61/Cotacao!AP60),U59)</f>
        <v>-1.4196621734619195E-2</v>
      </c>
      <c r="V60" s="6">
        <f>IFERROR(LN(Cotacao!AR61/Cotacao!AR60),V59)</f>
        <v>9.1785229022895971E-4</v>
      </c>
      <c r="W60" s="6">
        <f>IFERROR(LN(Cotacao!AT61/Cotacao!AT60),W59)</f>
        <v>-1.4320696396439325E-2</v>
      </c>
      <c r="X60" s="6">
        <f>IFERROR(LN(Cotacao!AV61/Cotacao!AV60),X59)</f>
        <v>-5.429239495271721E-3</v>
      </c>
      <c r="Y60" s="6">
        <f>IFERROR(LN(Cotacao!AX61/Cotacao!AX60),Y59)</f>
        <v>4.7289397365332959E-3</v>
      </c>
      <c r="Z60" s="6">
        <f>IFERROR(LN(Cotacao!AZ61/Cotacao!AZ60),Z59)</f>
        <v>7.0838548884050419E-3</v>
      </c>
      <c r="AA60" s="6">
        <f>IFERROR(LN(Cotacao!BB61/Cotacao!BB60),AA59)</f>
        <v>-1.6869975451756906E-3</v>
      </c>
      <c r="AB60" s="6">
        <f>IFERROR(LN(Cotacao!BD61/Cotacao!BD60),AB59)</f>
        <v>1.7059998451003046E-3</v>
      </c>
      <c r="AC60" s="6">
        <f>IFERROR(LN(Cotacao!BF61/Cotacao!BF60),AC59)</f>
        <v>-3.20820748664798E-2</v>
      </c>
      <c r="AD60" s="6">
        <f>IFERROR(LN(Cotacao!BH61/Cotacao!BH60),AD59)</f>
        <v>-5.712653682921516E-4</v>
      </c>
      <c r="AE60" s="6">
        <f>IFERROR(LN(Cotacao!BJ61/Cotacao!BJ60),AE59)</f>
        <v>-1.7314911178142572E-3</v>
      </c>
      <c r="AF60" s="6">
        <f>IFERROR(LN(Cotacao!BL61/Cotacao!BL60),AF59)</f>
        <v>8.3682496705165792E-3</v>
      </c>
      <c r="AG60" s="6">
        <f>IFERROR(LN(Cotacao!BN61/Cotacao!BN60),AG59)</f>
        <v>1.7969935484940861E-2</v>
      </c>
      <c r="AH60" s="6">
        <f>IFERROR(LN(Cotacao!BP61/Cotacao!BP60),AH59)</f>
        <v>-1.7119339959550544E-2</v>
      </c>
      <c r="AI60" s="6">
        <f>IFERROR(LN(Cotacao!BR61/Cotacao!BR60),AI59)</f>
        <v>2.9405404916606648E-2</v>
      </c>
      <c r="AJ60" s="6">
        <f>IFERROR(LN(Profit!C60/Profit!C59),AJ59)</f>
        <v>-2.563109820548426E-2</v>
      </c>
      <c r="AK60" s="6">
        <f>IFERROR(LN(Cotacao!BV61/Cotacao!BV60),AK59)</f>
        <v>-8.1214913715954476E-4</v>
      </c>
      <c r="AL60" s="6">
        <f>IFERROR(LN(Cotacao!BX61/Cotacao!BX60),AL59)</f>
        <v>1.5915455305899582E-2</v>
      </c>
      <c r="AN60" s="85">
        <v>0.05</v>
      </c>
      <c r="AO60" s="82">
        <v>30</v>
      </c>
      <c r="AP60" s="79">
        <f t="shared" ref="AP60:BX60" ca="1" si="188">NORMSINV($AN$60)*AP55*SQRT($AO$60)</f>
        <v>-0.2782793935994925</v>
      </c>
      <c r="AQ60" s="79">
        <f t="shared" si="188"/>
        <v>-0.23363111823508217</v>
      </c>
      <c r="AR60" s="79">
        <f t="shared" si="188"/>
        <v>-0.19649059381169179</v>
      </c>
      <c r="AS60" s="79">
        <f t="shared" si="188"/>
        <v>-0.41161329143366482</v>
      </c>
      <c r="AT60" s="79">
        <f t="shared" si="188"/>
        <v>-0.22180024142100691</v>
      </c>
      <c r="AU60" s="79">
        <f t="shared" si="188"/>
        <v>-0.23787522489399665</v>
      </c>
      <c r="AV60" s="79">
        <f t="shared" si="188"/>
        <v>-0.23245221671970254</v>
      </c>
      <c r="AW60" s="79">
        <f t="shared" si="188"/>
        <v>-0.25920219657272126</v>
      </c>
      <c r="AX60" s="79">
        <f t="shared" si="188"/>
        <v>-0.38689639503836382</v>
      </c>
      <c r="AY60" s="79">
        <f t="shared" si="188"/>
        <v>-0.29962753776511525</v>
      </c>
      <c r="AZ60" s="79">
        <f t="shared" si="188"/>
        <v>-0.23975203404768344</v>
      </c>
      <c r="BA60" s="79">
        <f t="shared" si="188"/>
        <v>-0.14125481930781542</v>
      </c>
      <c r="BB60" s="79">
        <f t="shared" si="188"/>
        <v>-0.17321950696381713</v>
      </c>
      <c r="BC60" s="79">
        <f t="shared" si="188"/>
        <v>-0.29359016853544906</v>
      </c>
      <c r="BD60" s="79">
        <f t="shared" si="188"/>
        <v>-0.38366213616168088</v>
      </c>
      <c r="BE60" s="79">
        <f t="shared" si="188"/>
        <v>-0.30582700775885302</v>
      </c>
      <c r="BF60" s="79">
        <f t="shared" si="188"/>
        <v>-0.2370884885489852</v>
      </c>
      <c r="BG60" s="79">
        <f t="shared" si="188"/>
        <v>-0.32690483929346242</v>
      </c>
      <c r="BH60" s="79">
        <f t="shared" si="188"/>
        <v>-0.20184543278694986</v>
      </c>
      <c r="BI60" s="79">
        <f t="shared" si="188"/>
        <v>-0.13437009538008216</v>
      </c>
      <c r="BJ60" s="79">
        <f t="shared" si="188"/>
        <v>-0.14489937478118808</v>
      </c>
      <c r="BK60" s="79">
        <f t="shared" si="188"/>
        <v>-0.16011223059676888</v>
      </c>
      <c r="BL60" s="79">
        <f t="shared" si="188"/>
        <v>-0.16067961818821949</v>
      </c>
      <c r="BM60" s="79">
        <f t="shared" si="188"/>
        <v>-0.144753358008928</v>
      </c>
      <c r="BN60" s="79">
        <f t="shared" si="188"/>
        <v>-0.26353499380424644</v>
      </c>
      <c r="BO60" s="79">
        <f t="shared" si="188"/>
        <v>-0.20128661915861087</v>
      </c>
      <c r="BP60" s="79">
        <f t="shared" si="188"/>
        <v>-0.45017304143744569</v>
      </c>
      <c r="BQ60" s="79">
        <f t="shared" si="188"/>
        <v>-0.38320028917991134</v>
      </c>
      <c r="BR60" s="79">
        <f t="shared" si="188"/>
        <v>-0.29550980233883639</v>
      </c>
      <c r="BS60" s="79">
        <f t="shared" si="188"/>
        <v>-0.14873869963440914</v>
      </c>
      <c r="BT60" s="79">
        <f t="shared" si="188"/>
        <v>-0.30782999613535222</v>
      </c>
      <c r="BU60" s="79">
        <f t="shared" si="188"/>
        <v>-0.31147100740088279</v>
      </c>
      <c r="BV60" s="79">
        <f t="shared" si="188"/>
        <v>-0.38902589585488634</v>
      </c>
      <c r="BW60" s="79">
        <f t="shared" si="188"/>
        <v>-0.6124250611291665</v>
      </c>
      <c r="BX60" s="79">
        <f t="shared" si="188"/>
        <v>-0.26520140761972971</v>
      </c>
      <c r="BY60" s="72">
        <f>NORMSINV($AN$60)*BY55*SQRT($AO$60)</f>
        <v>-0.18679588286845908</v>
      </c>
    </row>
    <row r="61" spans="1:77" ht="18.600000000000001" thickBot="1">
      <c r="A61" s="3" t="str">
        <f>Cotacao!C61</f>
        <v>9/18/2019 16:56:00</v>
      </c>
      <c r="B61" s="6">
        <f>IFERROR(LN(Cotacao!D62/Cotacao!D61),B60)</f>
        <v>-5.4960155271866797E-4</v>
      </c>
      <c r="C61" s="6">
        <f>IFERROR(LN(Cotacao!F62/Cotacao!F61),C60)</f>
        <v>1.2295236857037119E-2</v>
      </c>
      <c r="D61" s="6">
        <f>IFERROR(LN(Cotacao!H62/Cotacao!H61),D60)</f>
        <v>2.692556647379413E-2</v>
      </c>
      <c r="E61" s="6">
        <f>IFERROR(LN(Cotacao!J62/Cotacao!J61),E60)</f>
        <v>-8.3647014496617022E-4</v>
      </c>
      <c r="F61" s="6">
        <f>IFERROR(LN(Cotacao!L62/Cotacao!L61),F60)</f>
        <v>1.0245991274038227E-2</v>
      </c>
      <c r="G61" s="6">
        <f>IFERROR(LN(Cotacao!N62/Cotacao!N61),G60)</f>
        <v>-9.1324835632724741E-3</v>
      </c>
      <c r="H61" s="6">
        <f>IFERROR(LN(Cotacao!P62/Cotacao!P61),H60)</f>
        <v>-3.1056344599090974E-2</v>
      </c>
      <c r="I61" s="6">
        <f>IFERROR(LN(Cotacao!R62/Cotacao!R61),I60)</f>
        <v>-1.0582109330536859E-2</v>
      </c>
      <c r="J61" s="6">
        <f>IFERROR(LN(Cotacao!T62/Cotacao!T61),J60)</f>
        <v>4.3811680155630946E-3</v>
      </c>
      <c r="K61" s="6">
        <f>IFERROR(LN(Cotacao!V62/Cotacao!V61),K60)</f>
        <v>1.7777782459993572E-3</v>
      </c>
      <c r="L61" s="6">
        <f>IFERROR(LN(Cotacao!X62/Cotacao!X61),L60)</f>
        <v>4.3685023860705512E-3</v>
      </c>
      <c r="M61" s="6">
        <f>IFERROR(LN(Profit!B61/Profit!B60),M60)</f>
        <v>0</v>
      </c>
      <c r="N61" s="6">
        <f>IFERROR(LN(Cotacao!AB62/Cotacao!AB61),N60)</f>
        <v>-3.1608086370893958E-3</v>
      </c>
      <c r="O61" s="6">
        <f>IFERROR(LN(Cotacao!AD62/Cotacao!AD61),O60)</f>
        <v>5.0633019565466345E-3</v>
      </c>
      <c r="P61" s="6">
        <f>IFERROR(LN(Cotacao!AF62/Cotacao!AF61),P60)</f>
        <v>-1.7023054400139691E-2</v>
      </c>
      <c r="Q61" s="6">
        <f>IFERROR(LN(Cotacao!AH62/Cotacao!AH61),Q60)</f>
        <v>-1.6542600960264651E-3</v>
      </c>
      <c r="R61" s="6">
        <f>IFERROR(LN(Cotacao!AJ62/Cotacao!AJ61),R60)</f>
        <v>1.0184539768590168E-2</v>
      </c>
      <c r="S61" s="6">
        <f>IFERROR(LN(Cotacao!AL62/Cotacao!AL61),S60)</f>
        <v>2.2093166316705676E-2</v>
      </c>
      <c r="T61" s="6">
        <f>IFERROR(LN(Cotacao!AN62/Cotacao!AN61),T60)</f>
        <v>7.6636998757704878E-3</v>
      </c>
      <c r="U61" s="6">
        <f>IFERROR(LN(Cotacao!AP62/Cotacao!AP61),U60)</f>
        <v>6.3626937878286504E-3</v>
      </c>
      <c r="V61" s="6">
        <f>IFERROR(LN(Cotacao!AR62/Cotacao!AR61),V60)</f>
        <v>0</v>
      </c>
      <c r="W61" s="6">
        <f>IFERROR(LN(Cotacao!AT62/Cotacao!AT61),W60)</f>
        <v>0</v>
      </c>
      <c r="X61" s="6">
        <f>IFERROR(LN(Cotacao!AV62/Cotacao!AV61),X60)</f>
        <v>-3.6122856859135493E-3</v>
      </c>
      <c r="Y61" s="6">
        <f>IFERROR(LN(Cotacao!AX62/Cotacao!AX61),Y60)</f>
        <v>0</v>
      </c>
      <c r="Z61" s="6">
        <f>IFERROR(LN(Cotacao!AZ62/Cotacao!AZ61),Z60)</f>
        <v>2.3501773449534514E-3</v>
      </c>
      <c r="AA61" s="6">
        <f>IFERROR(LN(Cotacao!BB62/Cotacao!BB61),AA60)</f>
        <v>-1.2346081687778711E-3</v>
      </c>
      <c r="AB61" s="6">
        <f>IFERROR(LN(Cotacao!BD62/Cotacao!BD61),AB60)</f>
        <v>1.8018505502678431E-2</v>
      </c>
      <c r="AC61" s="6">
        <f>IFERROR(LN(Cotacao!BF62/Cotacao!BF61),AC60)</f>
        <v>-3.8675515031377061E-2</v>
      </c>
      <c r="AD61" s="6">
        <f>IFERROR(LN(Cotacao!BH62/Cotacao!BH61),AD60)</f>
        <v>1.2775191488722869E-2</v>
      </c>
      <c r="AE61" s="6">
        <f>IFERROR(LN(Cotacao!BJ62/Cotacao!BJ61),AE60)</f>
        <v>2.564103968937634E-3</v>
      </c>
      <c r="AF61" s="6">
        <f>IFERROR(LN(Cotacao!BL62/Cotacao!BL61),AF60)</f>
        <v>-1.3000812177251434E-2</v>
      </c>
      <c r="AG61" s="6">
        <f>IFERROR(LN(Cotacao!BN62/Cotacao!BN61),AG60)</f>
        <v>-7.5978019125197138E-3</v>
      </c>
      <c r="AH61" s="6">
        <f>IFERROR(LN(Cotacao!BP62/Cotacao!BP61),AH60)</f>
        <v>2.5683374969270511E-3</v>
      </c>
      <c r="AI61" s="6">
        <f>IFERROR(LN(Cotacao!BR62/Cotacao!BR61),AI60)</f>
        <v>2.911739857072717E-2</v>
      </c>
      <c r="AJ61" s="6">
        <f>IFERROR(LN(Profit!C61/Profit!C60),AJ60)</f>
        <v>6.2472313844357348E-3</v>
      </c>
      <c r="AK61" s="6">
        <f>IFERROR(LN(Cotacao!BV62/Cotacao!BV61),AK60)</f>
        <v>-1.8458280150872102E-3</v>
      </c>
      <c r="AL61" s="6">
        <f>IFERROR(LN(Cotacao!BX62/Cotacao!BX61),AL60)</f>
        <v>5.249355886143745E-3</v>
      </c>
      <c r="AN61" s="65" t="s">
        <v>297</v>
      </c>
      <c r="AO61" s="104">
        <v>500000</v>
      </c>
      <c r="AP61" s="83">
        <f t="shared" ref="AP61:BX61" ca="1" si="189">$AO$61*AP60</f>
        <v>-139139.69679974625</v>
      </c>
      <c r="AQ61" s="83">
        <f t="shared" si="189"/>
        <v>-116815.55911754108</v>
      </c>
      <c r="AR61" s="83">
        <f t="shared" si="189"/>
        <v>-98245.296905845898</v>
      </c>
      <c r="AS61" s="83">
        <f t="shared" si="189"/>
        <v>-205806.6457168324</v>
      </c>
      <c r="AT61" s="83">
        <f t="shared" si="189"/>
        <v>-110900.12071050346</v>
      </c>
      <c r="AU61" s="83">
        <f t="shared" si="189"/>
        <v>-118937.61244699832</v>
      </c>
      <c r="AV61" s="83">
        <f t="shared" si="189"/>
        <v>-116226.10835985126</v>
      </c>
      <c r="AW61" s="83">
        <f t="shared" si="189"/>
        <v>-129601.09828636063</v>
      </c>
      <c r="AX61" s="83">
        <f t="shared" si="189"/>
        <v>-193448.19751918191</v>
      </c>
      <c r="AY61" s="83">
        <f t="shared" si="189"/>
        <v>-149813.76888255763</v>
      </c>
      <c r="AZ61" s="83">
        <f t="shared" si="189"/>
        <v>-119876.01702384172</v>
      </c>
      <c r="BA61" s="83">
        <f t="shared" si="189"/>
        <v>-70627.409653907715</v>
      </c>
      <c r="BB61" s="83">
        <f t="shared" si="189"/>
        <v>-86609.75348190857</v>
      </c>
      <c r="BC61" s="83">
        <f t="shared" si="189"/>
        <v>-146795.08426772454</v>
      </c>
      <c r="BD61" s="83">
        <f t="shared" si="189"/>
        <v>-191831.06808084043</v>
      </c>
      <c r="BE61" s="83">
        <f t="shared" si="189"/>
        <v>-152913.50387942651</v>
      </c>
      <c r="BF61" s="83">
        <f t="shared" si="189"/>
        <v>-118544.24427449261</v>
      </c>
      <c r="BG61" s="83">
        <f t="shared" si="189"/>
        <v>-163452.4196467312</v>
      </c>
      <c r="BH61" s="83">
        <f t="shared" si="189"/>
        <v>-100922.71639347493</v>
      </c>
      <c r="BI61" s="83">
        <f t="shared" si="189"/>
        <v>-67185.047690041072</v>
      </c>
      <c r="BJ61" s="83">
        <f t="shared" si="189"/>
        <v>-72449.687390594045</v>
      </c>
      <c r="BK61" s="83">
        <f t="shared" si="189"/>
        <v>-80056.115298384437</v>
      </c>
      <c r="BL61" s="83">
        <f t="shared" si="189"/>
        <v>-80339.809094109747</v>
      </c>
      <c r="BM61" s="83">
        <f t="shared" si="189"/>
        <v>-72376.679004463993</v>
      </c>
      <c r="BN61" s="83">
        <f t="shared" si="189"/>
        <v>-131767.49690212321</v>
      </c>
      <c r="BO61" s="83">
        <f t="shared" si="189"/>
        <v>-100643.30957930544</v>
      </c>
      <c r="BP61" s="83">
        <f t="shared" si="189"/>
        <v>-225086.52071872284</v>
      </c>
      <c r="BQ61" s="83">
        <f t="shared" si="189"/>
        <v>-191600.14458995566</v>
      </c>
      <c r="BR61" s="83">
        <f t="shared" si="189"/>
        <v>-147754.90116941818</v>
      </c>
      <c r="BS61" s="83">
        <f t="shared" si="189"/>
        <v>-74369.349817204566</v>
      </c>
      <c r="BT61" s="83">
        <f t="shared" si="189"/>
        <v>-153914.99806767612</v>
      </c>
      <c r="BU61" s="83">
        <f t="shared" si="189"/>
        <v>-155735.50370044139</v>
      </c>
      <c r="BV61" s="83">
        <f t="shared" si="189"/>
        <v>-194512.94792744317</v>
      </c>
      <c r="BW61" s="83">
        <f t="shared" si="189"/>
        <v>-306212.53056458326</v>
      </c>
      <c r="BX61" s="83">
        <f t="shared" si="189"/>
        <v>-132600.70380986485</v>
      </c>
      <c r="BY61" s="74">
        <f>$AO$61*BY60</f>
        <v>-93397.941434229535</v>
      </c>
    </row>
    <row r="62" spans="1:77" ht="15" thickBot="1">
      <c r="A62" s="3" t="str">
        <f>Cotacao!C62</f>
        <v>9/19/2019 16:56:00</v>
      </c>
      <c r="B62" s="6">
        <f>IFERROR(LN(Cotacao!D63/Cotacao!D62),B61)</f>
        <v>-4.4077206347090166E-3</v>
      </c>
      <c r="C62" s="6">
        <f>IFERROR(LN(Cotacao!F63/Cotacao!F62),C61)</f>
        <v>8.1136347741698513E-3</v>
      </c>
      <c r="D62" s="6">
        <f>IFERROR(LN(Cotacao!H63/Cotacao!H62),D61)</f>
        <v>-6.2180968726720407E-3</v>
      </c>
      <c r="E62" s="6">
        <f>IFERROR(LN(Cotacao!J63/Cotacao!J62),E61)</f>
        <v>1.3300279187481201E-2</v>
      </c>
      <c r="F62" s="6">
        <f>IFERROR(LN(Cotacao!L63/Cotacao!L62),F61)</f>
        <v>-1.9038393403423816E-2</v>
      </c>
      <c r="G62" s="6">
        <f>IFERROR(LN(Cotacao!N63/Cotacao!N62),G61)</f>
        <v>1.2158204479809583E-2</v>
      </c>
      <c r="H62" s="6">
        <f>IFERROR(LN(Cotacao!P63/Cotacao!P62),H61)</f>
        <v>1.1344799686990542E-2</v>
      </c>
      <c r="I62" s="6">
        <f>IFERROR(LN(Cotacao!R63/Cotacao!R62),I61)</f>
        <v>-9.8685011407538912E-3</v>
      </c>
      <c r="J62" s="6">
        <f>IFERROR(LN(Cotacao!T63/Cotacao!T62),J61)</f>
        <v>0</v>
      </c>
      <c r="K62" s="6">
        <f>IFERROR(LN(Cotacao!V63/Cotacao!V62),K61)</f>
        <v>-5.3428444104954695E-3</v>
      </c>
      <c r="L62" s="6">
        <f>IFERROR(LN(Cotacao!X63/Cotacao!X62),L61)</f>
        <v>0</v>
      </c>
      <c r="M62" s="6">
        <f>IFERROR(LN(Profit!B62/Profit!B61),M61)</f>
        <v>-8.0661086455029556E-3</v>
      </c>
      <c r="N62" s="6">
        <f>IFERROR(LN(Cotacao!AB63/Cotacao!AB62),N61)</f>
        <v>-1.3546023864636389E-2</v>
      </c>
      <c r="O62" s="6">
        <f>IFERROR(LN(Cotacao!AD63/Cotacao!AD62),O61)</f>
        <v>5.037794029957081E-3</v>
      </c>
      <c r="P62" s="6">
        <f>IFERROR(LN(Cotacao!AF63/Cotacao!AF62),P61)</f>
        <v>-9.1116803512558894E-3</v>
      </c>
      <c r="Q62" s="6">
        <f>IFERROR(LN(Cotacao!AH63/Cotacao!AH62),Q61)</f>
        <v>2.0673978833528638E-3</v>
      </c>
      <c r="R62" s="6">
        <f>IFERROR(LN(Cotacao!AJ63/Cotacao!AJ62),R61)</f>
        <v>7.4032867579728566E-3</v>
      </c>
      <c r="S62" s="6">
        <f>IFERROR(LN(Cotacao!AL63/Cotacao!AL62),S61)</f>
        <v>-2.077996849174531E-2</v>
      </c>
      <c r="T62" s="6">
        <f>IFERROR(LN(Cotacao!AN63/Cotacao!AN62),T61)</f>
        <v>-5.3777898580286971E-4</v>
      </c>
      <c r="U62" s="6">
        <f>IFERROR(LN(Cotacao!AP63/Cotacao!AP62),U61)</f>
        <v>5.9022093769243566E-3</v>
      </c>
      <c r="V62" s="6">
        <f>IFERROR(LN(Cotacao!AR63/Cotacao!AR62),V61)</f>
        <v>-9.1785229022888577E-4</v>
      </c>
      <c r="W62" s="6">
        <f>IFERROR(LN(Cotacao!AT63/Cotacao!AT62),W61)</f>
        <v>1.4153600850817811E-2</v>
      </c>
      <c r="X62" s="6">
        <f>IFERROR(LN(Cotacao!AV63/Cotacao!AV62),X61)</f>
        <v>-4.3377845795468427E-3</v>
      </c>
      <c r="Y62" s="6">
        <f>IFERROR(LN(Cotacao!AX63/Cotacao!AX62),Y61)</f>
        <v>3.7839019291287224E-3</v>
      </c>
      <c r="Z62" s="6">
        <f>IFERROR(LN(Cotacao!AZ63/Cotacao!AZ62),Z61)</f>
        <v>2.3446669592540547E-3</v>
      </c>
      <c r="AA62" s="6">
        <f>IFERROR(LN(Cotacao!BB63/Cotacao!BB62),AA61)</f>
        <v>-2.0176387462268732E-3</v>
      </c>
      <c r="AB62" s="6">
        <f>IFERROR(LN(Cotacao!BD63/Cotacao!BD62),AB61)</f>
        <v>-2.0863457634909675E-2</v>
      </c>
      <c r="AC62" s="6">
        <f>IFERROR(LN(Cotacao!BF63/Cotacao!BF62),AC61)</f>
        <v>-1.4272659286718638E-2</v>
      </c>
      <c r="AD62" s="6">
        <f>IFERROR(LN(Cotacao!BH63/Cotacao!BH62),AD61)</f>
        <v>1.9553695626637158E-2</v>
      </c>
      <c r="AE62" s="6">
        <f>IFERROR(LN(Cotacao!BJ63/Cotacao!BJ62),AE61)</f>
        <v>2.5575461511171929E-3</v>
      </c>
      <c r="AF62" s="6">
        <f>IFERROR(LN(Cotacao!BL63/Cotacao!BL62),AF61)</f>
        <v>2.9530114128461901E-2</v>
      </c>
      <c r="AG62" s="6">
        <f>IFERROR(LN(Cotacao!BN63/Cotacao!BN62),AG61)</f>
        <v>1.6463108202082716E-2</v>
      </c>
      <c r="AH62" s="6">
        <f>IFERROR(LN(Cotacao!BP63/Cotacao!BP62),AH61)</f>
        <v>-1.0683468715917997E-2</v>
      </c>
      <c r="AI62" s="6">
        <f>IFERROR(LN(Cotacao!BR63/Cotacao!BR62),AI61)</f>
        <v>6.0522880757383742E-3</v>
      </c>
      <c r="AJ62" s="6">
        <f>IFERROR(LN(Profit!C62/Profit!C61),AJ61)</f>
        <v>-8.9007571519322836E-4</v>
      </c>
      <c r="AK62" s="6">
        <f>IFERROR(LN(Cotacao!BV63/Cotacao!BV62),AK61)</f>
        <v>4.5730416817041011E-3</v>
      </c>
      <c r="AL62" s="6">
        <f>IFERROR(LN(Cotacao!BX63/Cotacao!BX62),AL61)</f>
        <v>-2.3306139633386378E-2</v>
      </c>
      <c r="AN62" s="54"/>
    </row>
    <row r="63" spans="1:77">
      <c r="A63" s="3" t="str">
        <f>Cotacao!C63</f>
        <v>9/20/2019 16:56:00</v>
      </c>
      <c r="B63" s="6">
        <f>IFERROR(LN(Cotacao!D64/Cotacao!D63),B62)</f>
        <v>-1.6579169312916926E-3</v>
      </c>
      <c r="C63" s="6">
        <f>IFERROR(LN(Cotacao!F64/Cotacao!F63),C62)</f>
        <v>-3.469214234011198E-3</v>
      </c>
      <c r="D63" s="6">
        <f>IFERROR(LN(Cotacao!H64/Cotacao!H63),D62)</f>
        <v>-5.1368063818290621E-3</v>
      </c>
      <c r="E63" s="6">
        <f>IFERROR(LN(Cotacao!J64/Cotacao!J63),E62)</f>
        <v>-1.7493157447517116E-2</v>
      </c>
      <c r="F63" s="6">
        <f>IFERROR(LN(Cotacao!L64/Cotacao!L63),F62)</f>
        <v>4.1472324864461679E-3</v>
      </c>
      <c r="G63" s="6">
        <f>IFERROR(LN(Cotacao!N64/Cotacao!N63),G62)</f>
        <v>-1.063032030175637E-2</v>
      </c>
      <c r="H63" s="6">
        <f>IFERROR(LN(Cotacao!P64/Cotacao!P63),H62)</f>
        <v>-2.9905322171328162E-3</v>
      </c>
      <c r="I63" s="6">
        <f>IFERROR(LN(Cotacao!R64/Cotacao!R63),I62)</f>
        <v>-2.4824174932551956E-3</v>
      </c>
      <c r="J63" s="6">
        <f>IFERROR(LN(Cotacao!T64/Cotacao!T63),J62)</f>
        <v>-1.0989121575595206E-2</v>
      </c>
      <c r="K63" s="6">
        <f>IFERROR(LN(Cotacao!V64/Cotacao!V63),K62)</f>
        <v>-1.801850550267825E-2</v>
      </c>
      <c r="L63" s="6">
        <f>IFERROR(LN(Cotacao!X64/Cotacao!X63),L62)</f>
        <v>0</v>
      </c>
      <c r="M63" s="6">
        <f>IFERROR(LN(Profit!B63/Profit!B62),M62)</f>
        <v>-1.3980810247477778E-2</v>
      </c>
      <c r="N63" s="6">
        <f>IFERROR(LN(Cotacao!AB64/Cotacao!AB63),N62)</f>
        <v>-2.0076296644878982E-3</v>
      </c>
      <c r="O63" s="6">
        <f>IFERROR(LN(Cotacao!AD64/Cotacao!AD63),O62)</f>
        <v>-8.4104785085962926E-3</v>
      </c>
      <c r="P63" s="6">
        <f>IFERROR(LN(Cotacao!AF64/Cotacao!AF63),P62)</f>
        <v>1.4925650216675792E-2</v>
      </c>
      <c r="Q63" s="6">
        <f>IFERROR(LN(Cotacao!AH64/Cotacao!AH63),Q62)</f>
        <v>-6.6307743981968937E-3</v>
      </c>
      <c r="R63" s="6">
        <f>IFERROR(LN(Cotacao!AJ64/Cotacao!AJ63),R62)</f>
        <v>-7.4032867579727291E-3</v>
      </c>
      <c r="S63" s="6">
        <f>IFERROR(LN(Cotacao!AL64/Cotacao!AL63),S62)</f>
        <v>1.9493794681001132E-2</v>
      </c>
      <c r="T63" s="6">
        <f>IFERROR(LN(Cotacao!AN64/Cotacao!AN63),T62)</f>
        <v>-3.2696587076338178E-2</v>
      </c>
      <c r="U63" s="6">
        <f>IFERROR(LN(Cotacao!AP64/Cotacao!AP63),U62)</f>
        <v>4.2025636256278842E-4</v>
      </c>
      <c r="V63" s="6">
        <f>IFERROR(LN(Cotacao!AR64/Cotacao!AR63),V62)</f>
        <v>9.1785229022895971E-4</v>
      </c>
      <c r="W63" s="6">
        <f>IFERROR(LN(Cotacao!AT64/Cotacao!AT63),W62)</f>
        <v>-8.3555102501256637E-6</v>
      </c>
      <c r="X63" s="6">
        <f>IFERROR(LN(Cotacao!AV64/Cotacao!AV63),X62)</f>
        <v>8.374188459419462E-3</v>
      </c>
      <c r="Y63" s="6">
        <f>IFERROR(LN(Cotacao!AX64/Cotacao!AX63),Y62)</f>
        <v>5.0344018515901124E-4</v>
      </c>
      <c r="Z63" s="6">
        <f>IFERROR(LN(Cotacao!AZ64/Cotacao!AZ63),Z62)</f>
        <v>4.6729056993924231E-3</v>
      </c>
      <c r="AA63" s="6">
        <f>IFERROR(LN(Cotacao!BB64/Cotacao!BB63),AA62)</f>
        <v>6.5148701935043029E-5</v>
      </c>
      <c r="AB63" s="6">
        <f>IFERROR(LN(Cotacao!BD64/Cotacao!BD63),AB62)</f>
        <v>-1.3769580723756995E-2</v>
      </c>
      <c r="AC63" s="6">
        <f>IFERROR(LN(Cotacao!BF64/Cotacao!BF63),AC62)</f>
        <v>-2.3396577806395945E-2</v>
      </c>
      <c r="AD63" s="6">
        <f>IFERROR(LN(Cotacao!BH64/Cotacao!BH63),AD62)</f>
        <v>-1.8144252123403516E-2</v>
      </c>
      <c r="AE63" s="6">
        <f>IFERROR(LN(Cotacao!BJ64/Cotacao!BJ63),AE62)</f>
        <v>-5.4426258891402107E-3</v>
      </c>
      <c r="AF63" s="6">
        <f>IFERROR(LN(Cotacao!BL64/Cotacao!BL63),AF62)</f>
        <v>-8.23049913651548E-3</v>
      </c>
      <c r="AG63" s="6">
        <f>IFERROR(LN(Cotacao!BN64/Cotacao!BN63),AG62)</f>
        <v>-1.0201907067743352E-2</v>
      </c>
      <c r="AH63" s="6">
        <f>IFERROR(LN(Cotacao!BP64/Cotacao!BP63),AH62)</f>
        <v>1.7621601349819629E-2</v>
      </c>
      <c r="AI63" s="6">
        <f>IFERROR(LN(Cotacao!BR64/Cotacao!BR63),AI62)</f>
        <v>1.0964913379287709E-3</v>
      </c>
      <c r="AJ63" s="6">
        <f>IFERROR(LN(Profit!C63/Profit!C62),AJ62)</f>
        <v>-8.9086865580157131E-4</v>
      </c>
      <c r="AK63" s="6">
        <f>IFERROR(LN(Cotacao!BV64/Cotacao!BV63),AK62)</f>
        <v>-1.7147344812107402E-3</v>
      </c>
      <c r="AL63" s="6">
        <f>IFERROR(LN(Cotacao!BX64/Cotacao!BX63),AL62)</f>
        <v>7.4746744167057538E-3</v>
      </c>
      <c r="AN63" s="46"/>
      <c r="AO63" s="46" t="s">
        <v>3</v>
      </c>
      <c r="AP63" s="46" t="s">
        <v>4</v>
      </c>
      <c r="AQ63" s="46" t="s">
        <v>5</v>
      </c>
      <c r="AR63" s="46" t="s">
        <v>6</v>
      </c>
      <c r="AS63" s="46" t="s">
        <v>7</v>
      </c>
      <c r="AT63" s="46" t="s">
        <v>8</v>
      </c>
      <c r="AU63" s="46" t="s">
        <v>9</v>
      </c>
      <c r="AV63" s="46" t="s">
        <v>10</v>
      </c>
      <c r="AW63" s="46" t="s">
        <v>11</v>
      </c>
      <c r="AX63" s="46" t="s">
        <v>12</v>
      </c>
      <c r="AY63" s="46" t="s">
        <v>13</v>
      </c>
      <c r="AZ63" s="46" t="s">
        <v>14</v>
      </c>
      <c r="BA63" s="46" t="s">
        <v>15</v>
      </c>
      <c r="BB63" s="46" t="s">
        <v>16</v>
      </c>
      <c r="BC63" s="46" t="s">
        <v>17</v>
      </c>
      <c r="BD63" s="46" t="s">
        <v>18</v>
      </c>
      <c r="BE63" s="46" t="s">
        <v>19</v>
      </c>
      <c r="BF63" s="46" t="s">
        <v>20</v>
      </c>
      <c r="BG63" s="46" t="s">
        <v>21</v>
      </c>
      <c r="BH63" s="46" t="s">
        <v>22</v>
      </c>
      <c r="BI63" s="46" t="s">
        <v>23</v>
      </c>
      <c r="BJ63" s="46" t="s">
        <v>24</v>
      </c>
      <c r="BK63" s="46" t="s">
        <v>25</v>
      </c>
      <c r="BL63" s="46" t="s">
        <v>26</v>
      </c>
      <c r="BM63" s="46" t="s">
        <v>27</v>
      </c>
      <c r="BN63" s="46" t="s">
        <v>28</v>
      </c>
      <c r="BO63" s="46" t="s">
        <v>29</v>
      </c>
      <c r="BP63" s="46" t="s">
        <v>30</v>
      </c>
      <c r="BQ63" s="46" t="s">
        <v>31</v>
      </c>
      <c r="BR63" s="46" t="s">
        <v>32</v>
      </c>
      <c r="BS63" s="46" t="s">
        <v>33</v>
      </c>
      <c r="BT63" s="46" t="s">
        <v>34</v>
      </c>
      <c r="BU63" s="46" t="s">
        <v>35</v>
      </c>
      <c r="BV63" s="46" t="s">
        <v>36</v>
      </c>
      <c r="BW63" s="46" t="s">
        <v>37</v>
      </c>
    </row>
    <row r="64" spans="1:77">
      <c r="A64" s="3" t="str">
        <f>Cotacao!C64</f>
        <v>9/23/2019 16:56:00</v>
      </c>
      <c r="B64" s="6">
        <f>IFERROR(LN(Cotacao!D65/Cotacao!D64),B63)</f>
        <v>-6.1026541685627054E-3</v>
      </c>
      <c r="C64" s="6">
        <f>IFERROR(LN(Cotacao!F65/Cotacao!F64),C63)</f>
        <v>-1.4490656064087694E-3</v>
      </c>
      <c r="D64" s="6">
        <f>IFERROR(LN(Cotacao!H65/Cotacao!H64),D63)</f>
        <v>1.1189438338775701E-3</v>
      </c>
      <c r="E64" s="6">
        <f>IFERROR(LN(Cotacao!J65/Cotacao!J64),E63)</f>
        <v>-1.694955831377332E-2</v>
      </c>
      <c r="F64" s="6">
        <f>IFERROR(LN(Cotacao!L65/Cotacao!L64),F63)</f>
        <v>-1.4066394994183459E-2</v>
      </c>
      <c r="G64" s="6">
        <f>IFERROR(LN(Cotacao!N65/Cotacao!N64),G63)</f>
        <v>-3.0581063588207735E-3</v>
      </c>
      <c r="H64" s="6">
        <f>IFERROR(LN(Cotacao!P65/Cotacao!P64),H63)</f>
        <v>-1.0369719949207696E-2</v>
      </c>
      <c r="I64" s="6">
        <f>IFERROR(LN(Cotacao!R65/Cotacao!R64),I63)</f>
        <v>-2.9039638744048891E-3</v>
      </c>
      <c r="J64" s="6">
        <f>IFERROR(LN(Cotacao!T65/Cotacao!T64),J63)</f>
        <v>-1.8963200707756055E-2</v>
      </c>
      <c r="K64" s="6">
        <f>IFERROR(LN(Cotacao!V65/Cotacao!V64),K63)</f>
        <v>1.8165309263977853E-3</v>
      </c>
      <c r="L64" s="6">
        <f>IFERROR(LN(Cotacao!X65/Cotacao!X64),L63)</f>
        <v>0</v>
      </c>
      <c r="M64" s="6">
        <f>IFERROR(LN(Profit!B64/Profit!B63),M63)</f>
        <v>1.9365438642315103E-2</v>
      </c>
      <c r="N64" s="6">
        <f>IFERROR(LN(Cotacao!AB65/Cotacao!AB64),N63)</f>
        <v>-5.6429009066368526E-3</v>
      </c>
      <c r="O64" s="6">
        <f>IFERROR(LN(Cotacao!AD65/Cotacao!AD64),O63)</f>
        <v>-9.0498355199179273E-3</v>
      </c>
      <c r="P64" s="6">
        <f>IFERROR(LN(Cotacao!AF65/Cotacao!AF64),P63)</f>
        <v>2.0717872503747032E-2</v>
      </c>
      <c r="Q64" s="6">
        <f>IFERROR(LN(Cotacao!AH65/Cotacao!AH64),Q63)</f>
        <v>-2.4625047305389294E-2</v>
      </c>
      <c r="R64" s="6">
        <f>IFERROR(LN(Cotacao!AJ65/Cotacao!AJ64),R63)</f>
        <v>-1.2689950485818717E-2</v>
      </c>
      <c r="S64" s="6">
        <f>IFERROR(LN(Cotacao!AL65/Cotacao!AL64),S63)</f>
        <v>1.0243367414761045E-2</v>
      </c>
      <c r="T64" s="6">
        <f>IFERROR(LN(Cotacao!AN65/Cotacao!AN64),T63)</f>
        <v>5.9847236147654642E-3</v>
      </c>
      <c r="U64" s="6">
        <f>IFERROR(LN(Cotacao!AP65/Cotacao!AP64),U63)</f>
        <v>2.0986366569212054E-3</v>
      </c>
      <c r="V64" s="6">
        <f>IFERROR(LN(Cotacao!AR65/Cotacao!AR64),V63)</f>
        <v>0</v>
      </c>
      <c r="W64" s="6">
        <f>IFERROR(LN(Cotacao!AT65/Cotacao!AT64),W63)</f>
        <v>0</v>
      </c>
      <c r="X64" s="6">
        <f>IFERROR(LN(Cotacao!AV65/Cotacao!AV64),X63)</f>
        <v>-8.7305803517122686E-3</v>
      </c>
      <c r="Y64" s="6">
        <f>IFERROR(LN(Cotacao!AX65/Cotacao!AX64),Y63)</f>
        <v>7.4380853560275613E-3</v>
      </c>
      <c r="Z64" s="6">
        <f>IFERROR(LN(Cotacao!AZ65/Cotacao!AZ64),Z63)</f>
        <v>-4.2863704431782272E-2</v>
      </c>
      <c r="AA64" s="6">
        <f>IFERROR(LN(Cotacao!BB65/Cotacao!BB64),AA63)</f>
        <v>1.9524900442918897E-3</v>
      </c>
      <c r="AB64" s="6">
        <f>IFERROR(LN(Cotacao!BD65/Cotacao!BD64),AB63)</f>
        <v>-8.1206942787335791E-3</v>
      </c>
      <c r="AC64" s="6">
        <f>IFERROR(LN(Cotacao!BF65/Cotacao!BF64),AC63)</f>
        <v>-9.6432762718042294E-3</v>
      </c>
      <c r="AD64" s="6">
        <f>IFERROR(LN(Cotacao!BH65/Cotacao!BH64),AD63)</f>
        <v>5.6179923042232738E-3</v>
      </c>
      <c r="AE64" s="6">
        <f>IFERROR(LN(Cotacao!BJ65/Cotacao!BJ64),AE63)</f>
        <v>1.4342875359404282E-2</v>
      </c>
      <c r="AF64" s="6">
        <f>IFERROR(LN(Cotacao!BL65/Cotacao!BL64),AF63)</f>
        <v>-1.3311344638239421E-2</v>
      </c>
      <c r="AG64" s="6">
        <f>IFERROR(LN(Cotacao!BN65/Cotacao!BN64),AG63)</f>
        <v>-1.2561852040972392E-2</v>
      </c>
      <c r="AH64" s="6">
        <f>IFERROR(LN(Cotacao!BP65/Cotacao!BP64),AH63)</f>
        <v>-7.6712704966514795E-3</v>
      </c>
      <c r="AI64" s="6">
        <f>IFERROR(LN(Cotacao!BR65/Cotacao!BR64),AI63)</f>
        <v>-7.700808133178509E-3</v>
      </c>
      <c r="AJ64" s="6">
        <f>IFERROR(LN(Profit!C64/Profit!C63),AJ63)</f>
        <v>1.8543577712168885E-2</v>
      </c>
      <c r="AK64" s="6">
        <f>IFERROR(LN(Cotacao!BV65/Cotacao!BV64),AK63)</f>
        <v>-7.3104472124976552E-3</v>
      </c>
      <c r="AL64" s="6">
        <f>IFERROR(LN(Cotacao!BX65/Cotacao!BX64),AL63)</f>
        <v>-7.1174677688639896E-3</v>
      </c>
      <c r="AN64" s="44" t="s">
        <v>3</v>
      </c>
      <c r="AO64" s="44">
        <f t="shared" ref="AO64:AO98" si="190">AO103</f>
        <v>9.5018915720820711E-4</v>
      </c>
      <c r="AP64" s="44">
        <f t="array" ref="AP64:BW64">TRANSPOSE(AO65:AO98)</f>
        <v>4.0070684521526493E-4</v>
      </c>
      <c r="AQ64" s="44">
        <v>3.7564740524296923E-4</v>
      </c>
      <c r="AR64" s="44">
        <v>6.7544169730195537E-4</v>
      </c>
      <c r="AS64" s="44">
        <v>5.0733190426652957E-4</v>
      </c>
      <c r="AT64" s="44">
        <v>5.2052665040877805E-4</v>
      </c>
      <c r="AU64" s="44">
        <v>5.0719596365740821E-4</v>
      </c>
      <c r="AV64" s="44">
        <v>5.8778527084153167E-4</v>
      </c>
      <c r="AW64" s="44">
        <v>8.089005834182384E-4</v>
      </c>
      <c r="AX64" s="44">
        <v>6.3149046287651193E-4</v>
      </c>
      <c r="AY64" s="44">
        <v>3.6878278312884092E-4</v>
      </c>
      <c r="AZ64" s="44">
        <v>2.6259284137850134E-4</v>
      </c>
      <c r="BA64" s="44">
        <v>-2.9339046518115248E-5</v>
      </c>
      <c r="BB64" s="44">
        <v>5.2427005513340725E-4</v>
      </c>
      <c r="BC64" s="44">
        <v>7.9272261754467061E-4</v>
      </c>
      <c r="BD64" s="44">
        <v>6.0854305942998038E-4</v>
      </c>
      <c r="BE64" s="44">
        <v>3.3099254944101873E-4</v>
      </c>
      <c r="BF64" s="44">
        <v>6.9818935323781508E-4</v>
      </c>
      <c r="BG64" s="44">
        <v>3.6063298245413481E-4</v>
      </c>
      <c r="BH64" s="44">
        <v>1.9743952575880514E-4</v>
      </c>
      <c r="BI64" s="44">
        <v>2.2454664319205588E-4</v>
      </c>
      <c r="BJ64" s="44">
        <v>2.4114961702899343E-4</v>
      </c>
      <c r="BK64" s="44">
        <v>2.6795211238343097E-4</v>
      </c>
      <c r="BL64" s="44">
        <v>2.468760865135481E-4</v>
      </c>
      <c r="BM64" s="44">
        <v>3.6740016886215265E-4</v>
      </c>
      <c r="BN64" s="44">
        <v>3.9209846213782027E-4</v>
      </c>
      <c r="BO64" s="44">
        <v>1.0880176604718638E-3</v>
      </c>
      <c r="BP64" s="44">
        <v>7.10098375816506E-4</v>
      </c>
      <c r="BQ64" s="44">
        <v>4.6791072196991016E-4</v>
      </c>
      <c r="BR64" s="44">
        <v>2.8109035388660763E-4</v>
      </c>
      <c r="BS64" s="44">
        <v>5.6154270963976541E-4</v>
      </c>
      <c r="BT64" s="44">
        <v>6.7635491411557674E-4</v>
      </c>
      <c r="BU64" s="44">
        <v>8.3861728519566434E-4</v>
      </c>
      <c r="BV64" s="44">
        <v>1.2877994164832846E-3</v>
      </c>
      <c r="BW64" s="44">
        <v>4.7243777439174564E-4</v>
      </c>
    </row>
    <row r="65" spans="1:75">
      <c r="A65" s="3" t="str">
        <f>Cotacao!C65</f>
        <v>9/24/2019 16:56:00</v>
      </c>
      <c r="B65" s="6">
        <f>IFERROR(LN(Cotacao!D66/Cotacao!D65),B64)</f>
        <v>1.6680571006970134E-3</v>
      </c>
      <c r="C65" s="6">
        <f>IFERROR(LN(Cotacao!F66/Cotacao!F65),C64)</f>
        <v>8.6630631306447454E-3</v>
      </c>
      <c r="D65" s="6">
        <f>IFERROR(LN(Cotacao!H66/Cotacao!H65),D64)</f>
        <v>-1.578030942288932E-2</v>
      </c>
      <c r="E65" s="6">
        <f>IFERROR(LN(Cotacao!J66/Cotacao!J65),E64)</f>
        <v>-1.2037978559478867E-2</v>
      </c>
      <c r="F65" s="6">
        <f>IFERROR(LN(Cotacao!L66/Cotacao!L65),F64)</f>
        <v>3.1430093971992214E-3</v>
      </c>
      <c r="G65" s="6">
        <f>IFERROR(LN(Cotacao!N66/Cotacao!N65),G64)</f>
        <v>6.1068892081794805E-3</v>
      </c>
      <c r="H65" s="6">
        <f>IFERROR(LN(Cotacao!P66/Cotacao!P65),H64)</f>
        <v>5.0310352638374767E-3</v>
      </c>
      <c r="I65" s="6">
        <f>IFERROR(LN(Cotacao!R66/Cotacao!R65),I64)</f>
        <v>8.3056483179949311E-4</v>
      </c>
      <c r="J65" s="6">
        <f>IFERROR(LN(Cotacao!T66/Cotacao!T65),J64)</f>
        <v>-1.9329766139667238E-2</v>
      </c>
      <c r="K65" s="6">
        <f>IFERROR(LN(Cotacao!V66/Cotacao!V65),K64)</f>
        <v>-1.0949014489670358E-2</v>
      </c>
      <c r="L65" s="6">
        <f>IFERROR(LN(Cotacao!X66/Cotacao!X65),L64)</f>
        <v>-2.1390382487494184E-3</v>
      </c>
      <c r="M65" s="6">
        <f>IFERROR(LN(Profit!B65/Profit!B64),M64)</f>
        <v>4.9741828216408679E-3</v>
      </c>
      <c r="N65" s="6">
        <f>IFERROR(LN(Cotacao!AB66/Cotacao!AB65),N64)</f>
        <v>-1.7122309866375501E-2</v>
      </c>
      <c r="O65" s="6">
        <f>IFERROR(LN(Cotacao!AD66/Cotacao!AD65),O64)</f>
        <v>2.2701485345390775E-3</v>
      </c>
      <c r="P65" s="6">
        <f>IFERROR(LN(Cotacao!AF66/Cotacao!AF65),P64)</f>
        <v>-2.5268491019089108E-3</v>
      </c>
      <c r="Q65" s="6">
        <f>IFERROR(LN(Cotacao!AH66/Cotacao!AH65),Q64)</f>
        <v>1.9622952673900924E-2</v>
      </c>
      <c r="R65" s="6">
        <f>IFERROR(LN(Cotacao!AJ66/Cotacao!AJ65),R64)</f>
        <v>-7.7839220856034006E-3</v>
      </c>
      <c r="S65" s="6">
        <f>IFERROR(LN(Cotacao!AL66/Cotacao!AL65),S64)</f>
        <v>6.3492276786587445E-3</v>
      </c>
      <c r="T65" s="6">
        <f>IFERROR(LN(Cotacao!AN66/Cotacao!AN65),T64)</f>
        <v>1.524235880691307E-2</v>
      </c>
      <c r="U65" s="6">
        <f>IFERROR(LN(Cotacao!AP66/Cotacao!AP65),U64)</f>
        <v>-4.1937513720117576E-4</v>
      </c>
      <c r="V65" s="6">
        <f>IFERROR(LN(Cotacao!AR66/Cotacao!AR65),V64)</f>
        <v>5.4894922847715149E-3</v>
      </c>
      <c r="W65" s="6">
        <f>IFERROR(LN(Cotacao!AT66/Cotacao!AT65),W64)</f>
        <v>2.6785395035928273E-3</v>
      </c>
      <c r="X65" s="6">
        <f>IFERROR(LN(Cotacao!AV66/Cotacao!AV65),X64)</f>
        <v>7.2453790461363514E-3</v>
      </c>
      <c r="Y65" s="6">
        <f>IFERROR(LN(Cotacao!AX66/Cotacao!AX65),Y64)</f>
        <v>4.4861751737080699E-3</v>
      </c>
      <c r="Z65" s="6">
        <f>IFERROR(LN(Cotacao!AZ66/Cotacao!AZ65),Z64)</f>
        <v>2.1661496781179249E-2</v>
      </c>
      <c r="AA65" s="6">
        <f>IFERROR(LN(Cotacao!BB66/Cotacao!BB65),AA64)</f>
        <v>-2.2782760057985765E-3</v>
      </c>
      <c r="AB65" s="6">
        <f>IFERROR(LN(Cotacao!BD66/Cotacao!BD65),AB64)</f>
        <v>-2.4765416638308838E-2</v>
      </c>
      <c r="AC65" s="6">
        <f>IFERROR(LN(Cotacao!BF66/Cotacao!BF65),AC64)</f>
        <v>-2.4854124340702496E-2</v>
      </c>
      <c r="AD65" s="6">
        <f>IFERROR(LN(Cotacao!BH66/Cotacao!BH65),AD64)</f>
        <v>-1.5810606026642315E-2</v>
      </c>
      <c r="AE65" s="6">
        <f>IFERROR(LN(Cotacao!BJ66/Cotacao!BJ65),AE64)</f>
        <v>5.3653276885583818E-3</v>
      </c>
      <c r="AF65" s="6">
        <f>IFERROR(LN(Cotacao!BL66/Cotacao!BL65),AF64)</f>
        <v>1.496287267671232E-2</v>
      </c>
      <c r="AG65" s="6">
        <f>IFERROR(LN(Cotacao!BN66/Cotacao!BN65),AG64)</f>
        <v>-6.5677962280898828E-3</v>
      </c>
      <c r="AH65" s="6">
        <f>IFERROR(LN(Cotacao!BP66/Cotacao!BP65),AH64)</f>
        <v>2.5636344383064371E-3</v>
      </c>
      <c r="AI65" s="6">
        <f>IFERROR(LN(Cotacao!BR66/Cotacao!BR65),AI64)</f>
        <v>-5.5233362354187895E-4</v>
      </c>
      <c r="AJ65" s="6">
        <f>IFERROR(LN(Profit!C65/Profit!C64),AJ64)</f>
        <v>1.5625317903080815E-2</v>
      </c>
      <c r="AK65" s="6">
        <f>IFERROR(LN(Cotacao!BV66/Cotacao!BV65),AK64)</f>
        <v>5.8104383236950398E-3</v>
      </c>
      <c r="AL65" s="6">
        <f>IFERROR(LN(Cotacao!BX66/Cotacao!BX65),AL64)</f>
        <v>-1.765493523872071E-2</v>
      </c>
      <c r="AN65" s="44" t="s">
        <v>4</v>
      </c>
      <c r="AO65" s="44">
        <f t="shared" si="190"/>
        <v>4.0070684521526493E-4</v>
      </c>
      <c r="AP65" s="44">
        <f t="shared" ref="AP65:AP98" si="191">AP104</f>
        <v>6.6974479787646542E-4</v>
      </c>
      <c r="AQ65" s="44">
        <f t="array" ref="AQ65:BW65">TRANSPOSE(AP66:AP98)</f>
        <v>2.8930993627063894E-4</v>
      </c>
      <c r="AR65" s="44">
        <v>2.4583505838221976E-4</v>
      </c>
      <c r="AS65" s="44">
        <v>3.3308943525576156E-4</v>
      </c>
      <c r="AT65" s="44">
        <v>4.6088409184028278E-4</v>
      </c>
      <c r="AU65" s="44">
        <v>3.7987062332068378E-4</v>
      </c>
      <c r="AV65" s="44">
        <v>3.8233204613330566E-4</v>
      </c>
      <c r="AW65" s="44">
        <v>5.3238882479805891E-4</v>
      </c>
      <c r="AX65" s="44">
        <v>3.3182821364580032E-4</v>
      </c>
      <c r="AY65" s="44">
        <v>1.3126351636502854E-4</v>
      </c>
      <c r="AZ65" s="44">
        <v>1.9484130098077111E-4</v>
      </c>
      <c r="BA65" s="44">
        <v>-4.9419038812265883E-5</v>
      </c>
      <c r="BB65" s="44">
        <v>2.460600576185815E-4</v>
      </c>
      <c r="BC65" s="44">
        <v>4.8020981598216725E-4</v>
      </c>
      <c r="BD65" s="44">
        <v>4.4196601904863606E-4</v>
      </c>
      <c r="BE65" s="44">
        <v>2.3792297281424347E-4</v>
      </c>
      <c r="BF65" s="44">
        <v>4.1089233078187785E-4</v>
      </c>
      <c r="BG65" s="44">
        <v>1.6711488686648002E-4</v>
      </c>
      <c r="BH65" s="44">
        <v>1.2895870488377405E-4</v>
      </c>
      <c r="BI65" s="44">
        <v>1.630343747664369E-4</v>
      </c>
      <c r="BJ65" s="44">
        <v>1.7042509216392375E-4</v>
      </c>
      <c r="BK65" s="44">
        <v>1.2899233725088629E-4</v>
      </c>
      <c r="BL65" s="44">
        <v>1.6535993817544617E-4</v>
      </c>
      <c r="BM65" s="44">
        <v>1.9580890941442577E-4</v>
      </c>
      <c r="BN65" s="44">
        <v>1.0887629896752071E-4</v>
      </c>
      <c r="BO65" s="44">
        <v>5.2429614289547957E-4</v>
      </c>
      <c r="BP65" s="44">
        <v>3.9927543973924772E-4</v>
      </c>
      <c r="BQ65" s="44">
        <v>3.1232721529752497E-4</v>
      </c>
      <c r="BR65" s="44">
        <v>1.2311420514055343E-4</v>
      </c>
      <c r="BS65" s="44">
        <v>3.7769261869919756E-4</v>
      </c>
      <c r="BT65" s="44">
        <v>5.3347234322003942E-4</v>
      </c>
      <c r="BU65" s="44">
        <v>5.5444767717205293E-4</v>
      </c>
      <c r="BV65" s="44">
        <v>5.9095212641650633E-4</v>
      </c>
      <c r="BW65" s="44">
        <v>2.8287561733646914E-4</v>
      </c>
    </row>
    <row r="66" spans="1:75">
      <c r="A66" s="3" t="str">
        <f>Cotacao!C66</f>
        <v>9/25/2019 16:56:00</v>
      </c>
      <c r="B66" s="6">
        <f>IFERROR(LN(Cotacao!D67/Cotacao!D66),B65)</f>
        <v>5.5401803756153509E-3</v>
      </c>
      <c r="C66" s="6">
        <f>IFERROR(LN(Cotacao!F67/Cotacao!F66),C65)</f>
        <v>2.0490187555233144E-2</v>
      </c>
      <c r="D66" s="6">
        <f>IFERROR(LN(Cotacao!H67/Cotacao!H66),D65)</f>
        <v>-2.5025607418744135E-3</v>
      </c>
      <c r="E66" s="6">
        <f>IFERROR(LN(Cotacao!J67/Cotacao!J66),E65)</f>
        <v>-5.2038278750271101E-3</v>
      </c>
      <c r="F66" s="6">
        <f>IFERROR(LN(Cotacao!L67/Cotacao!L66),F65)</f>
        <v>9.370188287584541E-3</v>
      </c>
      <c r="G66" s="6">
        <f>IFERROR(LN(Cotacao!N67/Cotacao!N66),G65)</f>
        <v>2.1085118487071172E-2</v>
      </c>
      <c r="H66" s="6">
        <f>IFERROR(LN(Cotacao!P67/Cotacao!P66),H65)</f>
        <v>2.1840709321757863E-2</v>
      </c>
      <c r="I66" s="6">
        <f>IFERROR(LN(Cotacao!R67/Cotacao!R66),I65)</f>
        <v>-1.7166006610975056E-2</v>
      </c>
      <c r="J66" s="6">
        <f>IFERROR(LN(Cotacao!T67/Cotacao!T66),J65)</f>
        <v>1.084795108375799E-2</v>
      </c>
      <c r="K66" s="6">
        <f>IFERROR(LN(Cotacao!V67/Cotacao!V66),K65)</f>
        <v>-3.6764747293087483E-3</v>
      </c>
      <c r="L66" s="6">
        <f>IFERROR(LN(Cotacao!X67/Cotacao!X66),L65)</f>
        <v>-2.1436235432514528E-3</v>
      </c>
      <c r="M66" s="6">
        <f>IFERROR(LN(Profit!B66/Profit!B65),M65)</f>
        <v>-1.5384918839479343E-2</v>
      </c>
      <c r="N66" s="6">
        <f>IFERROR(LN(Cotacao!AB67/Cotacao!AB66),N65)</f>
        <v>8.2203046141487968E-4</v>
      </c>
      <c r="O66" s="6">
        <f>IFERROR(LN(Cotacao!AD67/Cotacao!AD66),O65)</f>
        <v>-1.025650016718911E-2</v>
      </c>
      <c r="P66" s="6">
        <f>IFERROR(LN(Cotacao!AF67/Cotacao!AF66),P65)</f>
        <v>3.1575649853212867E-3</v>
      </c>
      <c r="Q66" s="6">
        <f>IFERROR(LN(Cotacao!AH67/Cotacao!AH66),Q65)</f>
        <v>0</v>
      </c>
      <c r="R66" s="6">
        <f>IFERROR(LN(Cotacao!AJ67/Cotacao!AJ66),R65)</f>
        <v>2.0699021733692639E-2</v>
      </c>
      <c r="S66" s="6">
        <f>IFERROR(LN(Cotacao!AL67/Cotacao!AL66),S65)</f>
        <v>1.2650223065867022E-3</v>
      </c>
      <c r="T66" s="6">
        <f>IFERROR(LN(Cotacao!AN67/Cotacao!AN66),T65)</f>
        <v>-4.2532372313179492E-3</v>
      </c>
      <c r="U66" s="6">
        <f>IFERROR(LN(Cotacao!AP67/Cotacao!AP66),U65)</f>
        <v>-1.6792615197200253E-3</v>
      </c>
      <c r="V66" s="6">
        <f>IFERROR(LN(Cotacao!AR67/Cotacao!AR66),V65)</f>
        <v>1.4493007302566606E-2</v>
      </c>
      <c r="W66" s="6">
        <f>IFERROR(LN(Cotacao!AT67/Cotacao!AT66),W65)</f>
        <v>-2.5114425619136211E-3</v>
      </c>
      <c r="X66" s="6">
        <f>IFERROR(LN(Cotacao!AV67/Cotacao!AV66),X65)</f>
        <v>-2.0546253995481619E-3</v>
      </c>
      <c r="Y66" s="6">
        <f>IFERROR(LN(Cotacao!AX67/Cotacao!AX66),Y65)</f>
        <v>2.9796413370951581E-3</v>
      </c>
      <c r="Z66" s="6">
        <f>IFERROR(LN(Cotacao!AZ67/Cotacao!AZ66),Z65)</f>
        <v>4.7506027585977988E-3</v>
      </c>
      <c r="AA66" s="6">
        <f>IFERROR(LN(Cotacao!BB67/Cotacao!BB66),AA65)</f>
        <v>3.2578596150673853E-4</v>
      </c>
      <c r="AB66" s="6">
        <f>IFERROR(LN(Cotacao!BD67/Cotacao!BD66),AB65)</f>
        <v>-2.3909156637730313E-3</v>
      </c>
      <c r="AC66" s="6">
        <f>IFERROR(LN(Cotacao!BF67/Cotacao!BF66),AC65)</f>
        <v>2.1618922554190782E-2</v>
      </c>
      <c r="AD66" s="6">
        <f>IFERROR(LN(Cotacao!BH67/Cotacao!BH66),AD65)</f>
        <v>1.4409064101353735E-2</v>
      </c>
      <c r="AE66" s="6">
        <f>IFERROR(LN(Cotacao!BJ67/Cotacao!BJ66),AE65)</f>
        <v>-4.7326165000988324E-3</v>
      </c>
      <c r="AF66" s="6">
        <f>IFERROR(LN(Cotacao!BL67/Cotacao!BL66),AF65)</f>
        <v>0</v>
      </c>
      <c r="AG66" s="6">
        <f>IFERROR(LN(Cotacao!BN67/Cotacao!BN66),AG65)</f>
        <v>1.7121391429874133E-2</v>
      </c>
      <c r="AH66" s="6">
        <f>IFERROR(LN(Cotacao!BP67/Cotacao!BP66),AH65)</f>
        <v>1.3081581897489385E-2</v>
      </c>
      <c r="AI66" s="6">
        <f>IFERROR(LN(Cotacao!BR67/Cotacao!BR66),AI65)</f>
        <v>-3.3139791974019596E-2</v>
      </c>
      <c r="AJ66" s="6">
        <f>IFERROR(LN(Profit!C66/Profit!C65),AJ65)</f>
        <v>-1.9131018250709304E-2</v>
      </c>
      <c r="AK66" s="6">
        <f>IFERROR(LN(Cotacao!BV67/Cotacao!BV66),AK65)</f>
        <v>7.9925924184840492E-3</v>
      </c>
      <c r="AL66" s="6">
        <f>IFERROR(LN(Cotacao!BX67/Cotacao!BX66),AL65)</f>
        <v>1.5867624664625008E-2</v>
      </c>
      <c r="AN66" s="44" t="s">
        <v>5</v>
      </c>
      <c r="AO66" s="44">
        <f t="shared" si="190"/>
        <v>3.7564740524296923E-4</v>
      </c>
      <c r="AP66" s="44">
        <f t="shared" si="191"/>
        <v>2.8930993627063894E-4</v>
      </c>
      <c r="AQ66" s="44">
        <f t="shared" ref="AQ66:AQ98" si="192">AQ105</f>
        <v>4.73730671568555E-4</v>
      </c>
      <c r="AR66" s="44">
        <f t="array" ref="AR66:BW66">TRANSPOSE(AQ67:AQ98)</f>
        <v>3.4823983087285188E-4</v>
      </c>
      <c r="AS66" s="44">
        <v>3.9067974674515205E-4</v>
      </c>
      <c r="AT66" s="44">
        <v>3.5951066501159343E-4</v>
      </c>
      <c r="AU66" s="44">
        <v>3.0994720482329719E-4</v>
      </c>
      <c r="AV66" s="44">
        <v>3.744021321853688E-4</v>
      </c>
      <c r="AW66" s="44">
        <v>4.5818302280007924E-4</v>
      </c>
      <c r="AX66" s="44">
        <v>4.5028097204298696E-4</v>
      </c>
      <c r="AY66" s="44">
        <v>1.6704573115879263E-4</v>
      </c>
      <c r="AZ66" s="44">
        <v>2.4191597457703769E-4</v>
      </c>
      <c r="BA66" s="44">
        <v>-3.8438916044341381E-5</v>
      </c>
      <c r="BB66" s="44">
        <v>2.8605242835469792E-4</v>
      </c>
      <c r="BC66" s="44">
        <v>4.7376633122424348E-4</v>
      </c>
      <c r="BD66" s="44">
        <v>4.175397320881242E-4</v>
      </c>
      <c r="BE66" s="44">
        <v>3.0986029701909347E-4</v>
      </c>
      <c r="BF66" s="44">
        <v>3.7359410915674532E-4</v>
      </c>
      <c r="BG66" s="44">
        <v>1.9911130090181502E-4</v>
      </c>
      <c r="BH66" s="44">
        <v>1.2245643115641806E-4</v>
      </c>
      <c r="BI66" s="44">
        <v>1.4888551697530547E-4</v>
      </c>
      <c r="BJ66" s="44">
        <v>1.371725435009031E-4</v>
      </c>
      <c r="BK66" s="44">
        <v>1.4454041781495201E-4</v>
      </c>
      <c r="BL66" s="44">
        <v>1.4328245071213588E-4</v>
      </c>
      <c r="BM66" s="44">
        <v>2.0875226014994858E-4</v>
      </c>
      <c r="BN66" s="44">
        <v>1.5231484521321942E-4</v>
      </c>
      <c r="BO66" s="44">
        <v>5.7767590079621674E-4</v>
      </c>
      <c r="BP66" s="44">
        <v>3.7405188350106292E-4</v>
      </c>
      <c r="BQ66" s="44">
        <v>3.303469363777308E-4</v>
      </c>
      <c r="BR66" s="44">
        <v>1.0970558260343349E-4</v>
      </c>
      <c r="BS66" s="44">
        <v>3.1568527699451127E-4</v>
      </c>
      <c r="BT66" s="44">
        <v>4.5976473601903189E-4</v>
      </c>
      <c r="BU66" s="44">
        <v>4.8747554867238082E-4</v>
      </c>
      <c r="BV66" s="44">
        <v>6.5534945998624327E-4</v>
      </c>
      <c r="BW66" s="44">
        <v>3.6311256741844715E-4</v>
      </c>
    </row>
    <row r="67" spans="1:75">
      <c r="A67" s="3" t="str">
        <f>Cotacao!C67</f>
        <v>9/26/2019 16:56:00</v>
      </c>
      <c r="B67" s="6">
        <f>IFERROR(LN(Cotacao!D68/Cotacao!D67),B66)</f>
        <v>0</v>
      </c>
      <c r="C67" s="6">
        <f>IFERROR(LN(Cotacao!F68/Cotacao!F67),C66)</f>
        <v>4.4969159536240545E-3</v>
      </c>
      <c r="D67" s="6">
        <f>IFERROR(LN(Cotacao!H68/Cotacao!H67),D66)</f>
        <v>1.1383040500605032E-3</v>
      </c>
      <c r="E67" s="6">
        <f>IFERROR(LN(Cotacao!J68/Cotacao!J67),E66)</f>
        <v>-1.2248622076199086E-2</v>
      </c>
      <c r="F67" s="6">
        <f>IFERROR(LN(Cotacao!L68/Cotacao!L67),F66)</f>
        <v>-9.8933376586582116E-3</v>
      </c>
      <c r="G67" s="6">
        <f>IFERROR(LN(Cotacao!N68/Cotacao!N67),G66)</f>
        <v>-2.2379718404544969E-3</v>
      </c>
      <c r="H67" s="6">
        <f>IFERROR(LN(Cotacao!P68/Cotacao!P67),H66)</f>
        <v>-6.5487887081786217E-4</v>
      </c>
      <c r="I67" s="6">
        <f>IFERROR(LN(Cotacao!R68/Cotacao!R67),I66)</f>
        <v>1.2589339583563194E-2</v>
      </c>
      <c r="J67" s="6">
        <f>IFERROR(LN(Cotacao!T68/Cotacao!T67),J66)</f>
        <v>5.6769799991878951E-4</v>
      </c>
      <c r="K67" s="6">
        <f>IFERROR(LN(Cotacao!V68/Cotacao!V67),K66)</f>
        <v>-5.5401803756152451E-3</v>
      </c>
      <c r="L67" s="6">
        <f>IFERROR(LN(Cotacao!X68/Cotacao!X67),L66)</f>
        <v>2.1436235432513691E-3</v>
      </c>
      <c r="M67" s="6">
        <f>IFERROR(LN(Profit!B67/Profit!B66),M66)</f>
        <v>-1.4444912493543476E-2</v>
      </c>
      <c r="N67" s="6">
        <f>IFERROR(LN(Cotacao!AB68/Cotacao!AB67),N66)</f>
        <v>-1.2332992313491499E-3</v>
      </c>
      <c r="O67" s="6">
        <f>IFERROR(LN(Cotacao!AD68/Cotacao!AD67),O66)</f>
        <v>1.2521506798041185E-2</v>
      </c>
      <c r="P67" s="6">
        <f>IFERROR(LN(Cotacao!AF68/Cotacao!AF67),P66)</f>
        <v>-9.8210832160920553E-3</v>
      </c>
      <c r="Q67" s="6">
        <f>IFERROR(LN(Cotacao!AH68/Cotacao!AH67),Q66)</f>
        <v>-4.1876108096313121E-3</v>
      </c>
      <c r="R67" s="6">
        <f>IFERROR(LN(Cotacao!AJ68/Cotacao!AJ67),R66)</f>
        <v>8.5183209546579042E-3</v>
      </c>
      <c r="S67" s="6">
        <f>IFERROR(LN(Cotacao!AL68/Cotacao!AL67),S66)</f>
        <v>0</v>
      </c>
      <c r="T67" s="6">
        <f>IFERROR(LN(Cotacao!AN68/Cotacao!AN67),T66)</f>
        <v>-1.6529301951210582E-2</v>
      </c>
      <c r="U67" s="6">
        <f>IFERROR(LN(Cotacao!AP68/Cotacao!AP67),U66)</f>
        <v>1.2597104332217396E-3</v>
      </c>
      <c r="V67" s="6">
        <f>IFERROR(LN(Cotacao!AR68/Cotacao!AR67),V66)</f>
        <v>4.4863242586731062E-3</v>
      </c>
      <c r="W67" s="6">
        <f>IFERROR(LN(Cotacao!AT68/Cotacao!AT67),W66)</f>
        <v>2.5364418327694718E-3</v>
      </c>
      <c r="X67" s="6">
        <f>IFERROR(LN(Cotacao!AV68/Cotacao!AV67),X66)</f>
        <v>9.5991702638237933E-3</v>
      </c>
      <c r="Y67" s="6">
        <f>IFERROR(LN(Cotacao!AX68/Cotacao!AX67),Y66)</f>
        <v>4.9464239353253954E-3</v>
      </c>
      <c r="Z67" s="6">
        <f>IFERROR(LN(Cotacao!AZ68/Cotacao!AZ67),Z66)</f>
        <v>2.3668650102662441E-3</v>
      </c>
      <c r="AA67" s="6">
        <f>IFERROR(LN(Cotacao!BB68/Cotacao!BB67),AA66)</f>
        <v>1.6273396593754076E-3</v>
      </c>
      <c r="AB67" s="6">
        <f>IFERROR(LN(Cotacao!BD68/Cotacao!BD67),AB66)</f>
        <v>-2.3966458445996534E-3</v>
      </c>
      <c r="AC67" s="6">
        <f>IFERROR(LN(Cotacao!BF68/Cotacao!BF67),AC66)</f>
        <v>6.4599707855263113E-3</v>
      </c>
      <c r="AD67" s="6">
        <f>IFERROR(LN(Cotacao!BH68/Cotacao!BH67),AD66)</f>
        <v>-2.4419157696454315E-2</v>
      </c>
      <c r="AE67" s="6">
        <f>IFERROR(LN(Cotacao!BJ68/Cotacao!BJ67),AE66)</f>
        <v>5.6764580048051221E-3</v>
      </c>
      <c r="AF67" s="6">
        <f>IFERROR(LN(Cotacao!BL68/Cotacao!BL67),AF66)</f>
        <v>-4.5482815641732675E-3</v>
      </c>
      <c r="AG67" s="6">
        <f>IFERROR(LN(Cotacao!BN68/Cotacao!BN67),AG66)</f>
        <v>-8.7493547484263721E-3</v>
      </c>
      <c r="AH67" s="6">
        <f>IFERROR(LN(Cotacao!BP68/Cotacao!BP67),AH66)</f>
        <v>-1.4450869566806853E-3</v>
      </c>
      <c r="AI67" s="6">
        <f>IFERROR(LN(Cotacao!BR68/Cotacao!BR67),AI66)</f>
        <v>-2.9558802241544505E-2</v>
      </c>
      <c r="AJ67" s="6">
        <f>IFERROR(LN(Profit!C67/Profit!C66),AJ66)</f>
        <v>-9.7045313891780203E-3</v>
      </c>
      <c r="AK67" s="6">
        <f>IFERROR(LN(Cotacao!BV68/Cotacao!BV67),AK66)</f>
        <v>-2.2982273696166566E-3</v>
      </c>
      <c r="AL67" s="6">
        <f>IFERROR(LN(Cotacao!BX68/Cotacao!BX67),AL66)</f>
        <v>1.7873105740958803E-3</v>
      </c>
      <c r="AN67" s="44" t="s">
        <v>6</v>
      </c>
      <c r="AO67" s="44">
        <f t="shared" si="190"/>
        <v>6.7544169730195537E-4</v>
      </c>
      <c r="AP67" s="44">
        <f t="shared" si="191"/>
        <v>2.4583505838221976E-4</v>
      </c>
      <c r="AQ67" s="44">
        <f t="shared" si="192"/>
        <v>3.4823983087285188E-4</v>
      </c>
      <c r="AR67" s="44">
        <f t="shared" ref="AR67:AR98" si="193">AR106</f>
        <v>2.0788672329953056E-3</v>
      </c>
      <c r="AS67" s="44">
        <f t="array" ref="AS67:BW67">TRANSPOSE(AR68:AR98)</f>
        <v>4.1910028541583056E-4</v>
      </c>
      <c r="AT67" s="44">
        <v>4.7313758725940771E-4</v>
      </c>
      <c r="AU67" s="44">
        <v>4.8680496329818636E-4</v>
      </c>
      <c r="AV67" s="44">
        <v>4.8179123381309245E-4</v>
      </c>
      <c r="AW67" s="44">
        <v>9.6728460526300606E-4</v>
      </c>
      <c r="AX67" s="44">
        <v>6.2969327145790343E-4</v>
      </c>
      <c r="AY67" s="44">
        <v>5.042259340514246E-4</v>
      </c>
      <c r="AZ67" s="44">
        <v>2.641787211696875E-4</v>
      </c>
      <c r="BA67" s="44">
        <v>-3.3173516465606557E-6</v>
      </c>
      <c r="BB67" s="44">
        <v>6.9999768109807437E-4</v>
      </c>
      <c r="BC67" s="44">
        <v>8.9754554155807521E-4</v>
      </c>
      <c r="BD67" s="44">
        <v>7.2769903407943854E-4</v>
      </c>
      <c r="BE67" s="44">
        <v>3.3870122592804196E-4</v>
      </c>
      <c r="BF67" s="44">
        <v>7.0592763460899336E-4</v>
      </c>
      <c r="BG67" s="44">
        <v>5.2416261245690344E-4</v>
      </c>
      <c r="BH67" s="44">
        <v>2.7689163577566831E-4</v>
      </c>
      <c r="BI67" s="44">
        <v>2.2578023919811018E-4</v>
      </c>
      <c r="BJ67" s="44">
        <v>2.9203227228794128E-4</v>
      </c>
      <c r="BK67" s="44">
        <v>3.816780067740783E-4</v>
      </c>
      <c r="BL67" s="44">
        <v>2.4978065085289584E-4</v>
      </c>
      <c r="BM67" s="44">
        <v>5.2544040041328799E-4</v>
      </c>
      <c r="BN67" s="44">
        <v>5.5797850267515659E-4</v>
      </c>
      <c r="BO67" s="44">
        <v>1.2659642047056561E-3</v>
      </c>
      <c r="BP67" s="44">
        <v>7.9666276258739119E-4</v>
      </c>
      <c r="BQ67" s="44">
        <v>6.2309800540255925E-4</v>
      </c>
      <c r="BR67" s="44">
        <v>3.8337506362572191E-4</v>
      </c>
      <c r="BS67" s="44">
        <v>6.9202183367751897E-4</v>
      </c>
      <c r="BT67" s="44">
        <v>7.3662838370950592E-4</v>
      </c>
      <c r="BU67" s="44">
        <v>1.2345184464313966E-3</v>
      </c>
      <c r="BV67" s="44">
        <v>2.0716078411760512E-3</v>
      </c>
      <c r="BW67" s="44">
        <v>5.940381888271827E-4</v>
      </c>
    </row>
    <row r="68" spans="1:75">
      <c r="A68" s="3" t="str">
        <f>Cotacao!C68</f>
        <v>9/27/2019 16:56:00</v>
      </c>
      <c r="B68" s="6">
        <f>IFERROR(LN(Cotacao!D69/Cotacao!D68),B67)</f>
        <v>-1.1111225425070946E-2</v>
      </c>
      <c r="C68" s="6">
        <f>IFERROR(LN(Cotacao!F69/Cotacao!F68),C67)</f>
        <v>-1.7824775225598725E-2</v>
      </c>
      <c r="D68" s="6">
        <f>IFERROR(LN(Cotacao!H69/Cotacao!H68),D67)</f>
        <v>9.9615947147578127E-3</v>
      </c>
      <c r="E68" s="6">
        <f>IFERROR(LN(Cotacao!J69/Cotacao!J68),E67)</f>
        <v>-2.4054611930729563E-2</v>
      </c>
      <c r="F68" s="6">
        <f>IFERROR(LN(Cotacao!L69/Cotacao!L68),F67)</f>
        <v>2.5317807984290001E-2</v>
      </c>
      <c r="G68" s="6">
        <f>IFERROR(LN(Cotacao!N69/Cotacao!N68),G67)</f>
        <v>-1.5807630628719996E-2</v>
      </c>
      <c r="H68" s="6">
        <f>IFERROR(LN(Cotacao!P69/Cotacao!P68),H67)</f>
        <v>-1.3520403815093625E-2</v>
      </c>
      <c r="I68" s="6">
        <f>IFERROR(LN(Cotacao!R69/Cotacao!R68),I67)</f>
        <v>-1.0480079151696008E-2</v>
      </c>
      <c r="J68" s="6">
        <f>IFERROR(LN(Cotacao!T69/Cotacao!T68),J67)</f>
        <v>1.1344300706118218E-3</v>
      </c>
      <c r="K68" s="6">
        <f>IFERROR(LN(Cotacao!V69/Cotacao!V68),K67)</f>
        <v>1.4706147389695487E-2</v>
      </c>
      <c r="L68" s="6">
        <f>IFERROR(LN(Cotacao!X69/Cotacao!X68),L67)</f>
        <v>4.1882192936849331E-3</v>
      </c>
      <c r="M68" s="6">
        <f>IFERROR(LN(Profit!B68/Profit!B67),M67)</f>
        <v>1.7540890198671499E-2</v>
      </c>
      <c r="N68" s="6">
        <f>IFERROR(LN(Cotacao!AB69/Cotacao!AB68),N67)</f>
        <v>1.5915455305899582E-2</v>
      </c>
      <c r="O68" s="6">
        <f>IFERROR(LN(Cotacao!AD69/Cotacao!AD68),O67)</f>
        <v>1.515605772479045E-2</v>
      </c>
      <c r="P68" s="6">
        <f>IFERROR(LN(Cotacao!AF69/Cotacao!AF68),P67)</f>
        <v>1.1396134730869582E-2</v>
      </c>
      <c r="Q68" s="6">
        <f>IFERROR(LN(Cotacao!AH69/Cotacao!AH68),Q67)</f>
        <v>1.8865952561433459E-3</v>
      </c>
      <c r="R68" s="6">
        <f>IFERROR(LN(Cotacao!AJ69/Cotacao!AJ68),R67)</f>
        <v>-1.7873105740957515E-3</v>
      </c>
      <c r="S68" s="6">
        <f>IFERROR(LN(Cotacao!AL69/Cotacao!AL68),S67)</f>
        <v>1.2634240467719201E-3</v>
      </c>
      <c r="T68" s="6">
        <f>IFERROR(LN(Cotacao!AN69/Cotacao!AN68),T67)</f>
        <v>0</v>
      </c>
      <c r="U68" s="6">
        <f>IFERROR(LN(Cotacao!AP69/Cotacao!AP68),U67)</f>
        <v>-4.626716981126126E-3</v>
      </c>
      <c r="V68" s="6">
        <f>IFERROR(LN(Cotacao!AR69/Cotacao!AR68),V67)</f>
        <v>8.025009630434933E-3</v>
      </c>
      <c r="W68" s="6">
        <f>IFERROR(LN(Cotacao!AT69/Cotacao!AT68),W67)</f>
        <v>2.8707556483997883E-3</v>
      </c>
      <c r="X68" s="6">
        <f>IFERROR(LN(Cotacao!AV69/Cotacao!AV68),X67)</f>
        <v>9.8557397925092809E-3</v>
      </c>
      <c r="Y68" s="6">
        <f>IFERROR(LN(Cotacao!AX69/Cotacao!AX68),Y67)</f>
        <v>2.8741551298627384E-3</v>
      </c>
      <c r="Z68" s="6">
        <f>IFERROR(LN(Cotacao!AZ69/Cotacao!AZ68),Z67)</f>
        <v>1.4084739881738802E-2</v>
      </c>
      <c r="AA68" s="6">
        <f>IFERROR(LN(Cotacao!BB69/Cotacao!BB68),AA67)</f>
        <v>1.6246957270019829E-3</v>
      </c>
      <c r="AB68" s="6">
        <f>IFERROR(LN(Cotacao!BD69/Cotacao!BD68),AB67)</f>
        <v>1.3702925166324891E-2</v>
      </c>
      <c r="AC68" s="6">
        <f>IFERROR(LN(Cotacao!BF69/Cotacao!BF68),AC67)</f>
        <v>-1.9336132353946873E-3</v>
      </c>
      <c r="AD68" s="6">
        <f>IFERROR(LN(Cotacao!BH69/Cotacao!BH68),AD67)</f>
        <v>6.0180723255629448E-3</v>
      </c>
      <c r="AE68" s="6">
        <f>IFERROR(LN(Cotacao!BJ69/Cotacao!BJ68),AE67)</f>
        <v>7.518832414027319E-3</v>
      </c>
      <c r="AF68" s="6">
        <f>IFERROR(LN(Cotacao!BL69/Cotacao!BL68),AF67)</f>
        <v>4.135655191494155E-3</v>
      </c>
      <c r="AG68" s="6">
        <f>IFERROR(LN(Cotacao!BN69/Cotacao!BN68),AG67)</f>
        <v>-1.7043930368929663E-2</v>
      </c>
      <c r="AH68" s="6">
        <f>IFERROR(LN(Cotacao!BP69/Cotacao!BP68),AH67)</f>
        <v>-3.9847906376886235E-3</v>
      </c>
      <c r="AI68" s="6">
        <f>IFERROR(LN(Cotacao!BR69/Cotacao!BR68),AI67)</f>
        <v>2.440562736814083E-2</v>
      </c>
      <c r="AJ68" s="6">
        <f>IFERROR(LN(Profit!C68/Profit!C67),AJ67)</f>
        <v>-1.8792499349367286E-2</v>
      </c>
      <c r="AK68" s="6">
        <f>IFERROR(LN(Cotacao!BV69/Cotacao!BV68),AK67)</f>
        <v>-3.1675303187346923E-3</v>
      </c>
      <c r="AL68" s="6">
        <f>IFERROR(LN(Cotacao!BX69/Cotacao!BX68),AL67)</f>
        <v>1.7699577099400857E-2</v>
      </c>
      <c r="AN68" s="44" t="s">
        <v>7</v>
      </c>
      <c r="AO68" s="44">
        <f t="shared" si="190"/>
        <v>5.0733190426652957E-4</v>
      </c>
      <c r="AP68" s="44">
        <f t="shared" si="191"/>
        <v>3.3308943525576156E-4</v>
      </c>
      <c r="AQ68" s="44">
        <f t="shared" si="192"/>
        <v>3.9067974674515205E-4</v>
      </c>
      <c r="AR68" s="44">
        <f t="shared" si="193"/>
        <v>4.1910028541583056E-4</v>
      </c>
      <c r="AS68" s="44">
        <f t="shared" ref="AS68:AS98" si="194">AS107</f>
        <v>6.0363164974211317E-4</v>
      </c>
      <c r="AT68" s="44">
        <f t="array" ref="AT68:BW68">TRANSPOSE(AS69:AS98)</f>
        <v>4.2638751077204258E-4</v>
      </c>
      <c r="AU68" s="44">
        <v>3.843784095701753E-4</v>
      </c>
      <c r="AV68" s="44">
        <v>4.5080543867672323E-4</v>
      </c>
      <c r="AW68" s="44">
        <v>6.2057029587539773E-4</v>
      </c>
      <c r="AX68" s="44">
        <v>5.4417393112975632E-4</v>
      </c>
      <c r="AY68" s="44">
        <v>2.5300247624118592E-4</v>
      </c>
      <c r="AZ68" s="44">
        <v>2.7173552440238453E-4</v>
      </c>
      <c r="BA68" s="44">
        <v>-4.2892828059181718E-5</v>
      </c>
      <c r="BB68" s="44">
        <v>4.2914989168664036E-4</v>
      </c>
      <c r="BC68" s="44">
        <v>5.7124366705063503E-4</v>
      </c>
      <c r="BD68" s="44">
        <v>4.6073740600666922E-4</v>
      </c>
      <c r="BE68" s="44">
        <v>3.3802265340539251E-4</v>
      </c>
      <c r="BF68" s="44">
        <v>5.1607533990722732E-4</v>
      </c>
      <c r="BG68" s="44">
        <v>2.6351142941462779E-4</v>
      </c>
      <c r="BH68" s="44">
        <v>1.5744278275253411E-4</v>
      </c>
      <c r="BI68" s="44">
        <v>1.9985307870753401E-4</v>
      </c>
      <c r="BJ68" s="44">
        <v>1.9263028382551377E-4</v>
      </c>
      <c r="BK68" s="44">
        <v>2.2263839620230425E-4</v>
      </c>
      <c r="BL68" s="44">
        <v>1.8547582630878628E-4</v>
      </c>
      <c r="BM68" s="44">
        <v>3.2602824324719725E-4</v>
      </c>
      <c r="BN68" s="44">
        <v>2.2277697014837108E-4</v>
      </c>
      <c r="BO68" s="44">
        <v>7.7979609189458322E-4</v>
      </c>
      <c r="BP68" s="44">
        <v>5.3357888941170785E-4</v>
      </c>
      <c r="BQ68" s="44">
        <v>4.3040442733416421E-4</v>
      </c>
      <c r="BR68" s="44">
        <v>1.6407015258521266E-4</v>
      </c>
      <c r="BS68" s="44">
        <v>4.1225257373118896E-4</v>
      </c>
      <c r="BT68" s="44">
        <v>5.1392753747727543E-4</v>
      </c>
      <c r="BU68" s="44">
        <v>5.8983634895015344E-4</v>
      </c>
      <c r="BV68" s="44">
        <v>8.5724079757906768E-4</v>
      </c>
      <c r="BW68" s="44">
        <v>4.4659868481831478E-4</v>
      </c>
    </row>
    <row r="69" spans="1:75">
      <c r="A69" s="3" t="str">
        <f>Cotacao!C69</f>
        <v>9/30/2019 16:56:00</v>
      </c>
      <c r="B69" s="6">
        <f>IFERROR(LN(Cotacao!D70/Cotacao!D69),B68)</f>
        <v>-1.6901810802603025E-2</v>
      </c>
      <c r="C69" s="6">
        <f>IFERROR(LN(Cotacao!F70/Cotacao!F69),C68)</f>
        <v>-1.7857617400006572E-2</v>
      </c>
      <c r="D69" s="6">
        <f>IFERROR(LN(Cotacao!H70/Cotacao!H69),D68)</f>
        <v>1.125745925485298E-3</v>
      </c>
      <c r="E69" s="6">
        <f>IFERROR(LN(Cotacao!J70/Cotacao!J69),E68)</f>
        <v>-9.021200431379089E-4</v>
      </c>
      <c r="F69" s="6">
        <f>IFERROR(LN(Cotacao!L70/Cotacao!L69),F68)</f>
        <v>-1.2837146760680719E-2</v>
      </c>
      <c r="G69" s="6">
        <f>IFERROR(LN(Cotacao!N70/Cotacao!N69),G68)</f>
        <v>-1.7604740928814384E-2</v>
      </c>
      <c r="H69" s="6">
        <f>IFERROR(LN(Cotacao!P70/Cotacao!P69),H68)</f>
        <v>-1.6402041346219053E-2</v>
      </c>
      <c r="I69" s="6">
        <f>IFERROR(LN(Cotacao!R70/Cotacao!R69),I68)</f>
        <v>-2.1092604318673097E-3</v>
      </c>
      <c r="J69" s="6">
        <f>IFERROR(LN(Cotacao!T70/Cotacao!T69),J68)</f>
        <v>1.7978012295408394E-2</v>
      </c>
      <c r="K69" s="6">
        <f>IFERROR(LN(Cotacao!V70/Cotacao!V69),K68)</f>
        <v>1.6289952979268552E-2</v>
      </c>
      <c r="L69" s="6">
        <f>IFERROR(LN(Cotacao!X70/Cotacao!X69),L68)</f>
        <v>6.4615086229732055E-3</v>
      </c>
      <c r="M69" s="6">
        <f>IFERROR(LN(Profit!B69/Profit!B68),M68)</f>
        <v>3.0864222031895859E-3</v>
      </c>
      <c r="N69" s="6">
        <f>IFERROR(LN(Cotacao!AB70/Cotacao!AB69),N68)</f>
        <v>-1.1810359229062822E-2</v>
      </c>
      <c r="O69" s="6">
        <f>IFERROR(LN(Cotacao!AD70/Cotacao!AD69),O68)</f>
        <v>1.65749650942126E-2</v>
      </c>
      <c r="P69" s="6">
        <f>IFERROR(LN(Cotacao!AF70/Cotacao!AF69),P68)</f>
        <v>1.3444004268937989E-2</v>
      </c>
      <c r="Q69" s="6">
        <f>IFERROR(LN(Cotacao!AH70/Cotacao!AH69),Q68)</f>
        <v>-8.3804739872354417E-4</v>
      </c>
      <c r="R69" s="6">
        <f>IFERROR(LN(Cotacao!AJ70/Cotacao!AJ69),R68)</f>
        <v>-3.8086749300254704E-3</v>
      </c>
      <c r="S69" s="6">
        <f>IFERROR(LN(Cotacao!AL70/Cotacao!AL69),S68)</f>
        <v>3.7807228399061523E-3</v>
      </c>
      <c r="T69" s="6">
        <f>IFERROR(LN(Cotacao!AN70/Cotacao!AN69),T68)</f>
        <v>-2.7816429618768026E-3</v>
      </c>
      <c r="U69" s="6">
        <f>IFERROR(LN(Cotacao!AP70/Cotacao!AP69),U68)</f>
        <v>-2.5015177256314847E-2</v>
      </c>
      <c r="V69" s="6">
        <f>IFERROR(LN(Cotacao!AR70/Cotacao!AR69),V68)</f>
        <v>-6.236100387710445E-3</v>
      </c>
      <c r="W69" s="6">
        <f>IFERROR(LN(Cotacao!AT70/Cotacao!AT69),W68)</f>
        <v>1.3600486927178754E-2</v>
      </c>
      <c r="X69" s="6">
        <f>IFERROR(LN(Cotacao!AV70/Cotacao!AV69),X68)</f>
        <v>2.086448524451665E-4</v>
      </c>
      <c r="Y69" s="6">
        <f>IFERROR(LN(Cotacao!AX70/Cotacao!AX69),Y68)</f>
        <v>-1.61193818798833E-2</v>
      </c>
      <c r="Z69" s="6">
        <f>IFERROR(LN(Cotacao!AZ70/Cotacao!AZ69),Z68)</f>
        <v>2.3282897595911681E-3</v>
      </c>
      <c r="AA69" s="6">
        <f>IFERROR(LN(Cotacao!BB70/Cotacao!BB69),AA68)</f>
        <v>-6.4937173307591102E-5</v>
      </c>
      <c r="AB69" s="6">
        <f>IFERROR(LN(Cotacao!BD70/Cotacao!BD69),AB68)</f>
        <v>1.1827322490496157E-3</v>
      </c>
      <c r="AC69" s="6">
        <f>IFERROR(LN(Cotacao!BF70/Cotacao!BF69),AC68)</f>
        <v>-6.4725145056174788E-3</v>
      </c>
      <c r="AD69" s="6">
        <f>IFERROR(LN(Cotacao!BH70/Cotacao!BH69),AD68)</f>
        <v>8.5349024498372859E-3</v>
      </c>
      <c r="AE69" s="6">
        <f>IFERROR(LN(Cotacao!BJ70/Cotacao!BJ69),AE68)</f>
        <v>-1.2492194004318168E-3</v>
      </c>
      <c r="AF69" s="6">
        <f>IFERROR(LN(Cotacao!BL70/Cotacao!BL69),AF68)</f>
        <v>0</v>
      </c>
      <c r="AG69" s="6">
        <f>IFERROR(LN(Cotacao!BN70/Cotacao!BN69),AG68)</f>
        <v>3.2036640672857427E-3</v>
      </c>
      <c r="AH69" s="6">
        <f>IFERROR(LN(Cotacao!BP70/Cotacao!BP69),AH68)</f>
        <v>-1.4529606624403065E-3</v>
      </c>
      <c r="AI69" s="6">
        <f>IFERROR(LN(Cotacao!BR70/Cotacao!BR69),AI68)</f>
        <v>-2.1468767694831029E-2</v>
      </c>
      <c r="AJ69" s="6">
        <f>IFERROR(LN(Profit!C69/Profit!C68),AJ68)</f>
        <v>4.5065421018907949E-3</v>
      </c>
      <c r="AK69" s="6">
        <f>IFERROR(LN(Cotacao!BV70/Cotacao!BV69),AK68)</f>
        <v>-6.6276510963039319E-3</v>
      </c>
      <c r="AL69" s="6">
        <f>IFERROR(LN(Cotacao!BX70/Cotacao!BX69),AL68)</f>
        <v>0</v>
      </c>
      <c r="AN69" s="44" t="s">
        <v>8</v>
      </c>
      <c r="AO69" s="44">
        <f t="shared" si="190"/>
        <v>5.2052665040877805E-4</v>
      </c>
      <c r="AP69" s="44">
        <f t="shared" si="191"/>
        <v>4.6088409184028278E-4</v>
      </c>
      <c r="AQ69" s="44">
        <f t="shared" si="192"/>
        <v>3.5951066501159343E-4</v>
      </c>
      <c r="AR69" s="44">
        <f t="shared" si="193"/>
        <v>4.7313758725940771E-4</v>
      </c>
      <c r="AS69" s="44">
        <f t="shared" si="194"/>
        <v>4.2638751077204258E-4</v>
      </c>
      <c r="AT69" s="44">
        <f t="shared" ref="AT69:AT98" si="195">AT108</f>
        <v>6.9429877251618295E-4</v>
      </c>
      <c r="AU69" s="44">
        <f t="array" ref="AU69:BW69">TRANSPOSE(AT70:AT98)</f>
        <v>5.6171479534870567E-4</v>
      </c>
      <c r="AV69" s="44">
        <v>4.6490169063109505E-4</v>
      </c>
      <c r="AW69" s="44">
        <v>6.1478680448536817E-4</v>
      </c>
      <c r="AX69" s="44">
        <v>4.8243242133720409E-4</v>
      </c>
      <c r="AY69" s="44">
        <v>2.102589029275792E-4</v>
      </c>
      <c r="AZ69" s="44">
        <v>2.4156550084366795E-4</v>
      </c>
      <c r="BA69" s="44">
        <v>-4.4565562956760368E-5</v>
      </c>
      <c r="BB69" s="44">
        <v>3.7689505609893558E-4</v>
      </c>
      <c r="BC69" s="44">
        <v>5.5821144249680891E-4</v>
      </c>
      <c r="BD69" s="44">
        <v>5.4784870260699827E-4</v>
      </c>
      <c r="BE69" s="44">
        <v>3.2911996574225782E-4</v>
      </c>
      <c r="BF69" s="44">
        <v>5.3675164162766173E-4</v>
      </c>
      <c r="BG69" s="44">
        <v>2.4753491027070803E-4</v>
      </c>
      <c r="BH69" s="44">
        <v>1.4404813400024913E-4</v>
      </c>
      <c r="BI69" s="44">
        <v>1.9511982839447324E-4</v>
      </c>
      <c r="BJ69" s="44">
        <v>1.816655953872054E-4</v>
      </c>
      <c r="BK69" s="44">
        <v>1.8958673505757213E-4</v>
      </c>
      <c r="BL69" s="44">
        <v>1.8112631241604506E-4</v>
      </c>
      <c r="BM69" s="44">
        <v>2.9922705974060705E-4</v>
      </c>
      <c r="BN69" s="44">
        <v>2.0511063366336296E-4</v>
      </c>
      <c r="BO69" s="44">
        <v>7.1968291632101367E-4</v>
      </c>
      <c r="BP69" s="44">
        <v>4.6917363731940122E-4</v>
      </c>
      <c r="BQ69" s="44">
        <v>4.0834416160926925E-4</v>
      </c>
      <c r="BR69" s="44">
        <v>1.7728218253947693E-4</v>
      </c>
      <c r="BS69" s="44">
        <v>4.3261338448162518E-4</v>
      </c>
      <c r="BT69" s="44">
        <v>6.0107504733349711E-4</v>
      </c>
      <c r="BU69" s="44">
        <v>7.145811503330115E-4</v>
      </c>
      <c r="BV69" s="44">
        <v>9.5523377243392237E-4</v>
      </c>
      <c r="BW69" s="44">
        <v>4.2057450073403443E-4</v>
      </c>
    </row>
    <row r="70" spans="1:75">
      <c r="A70" s="3" t="str">
        <f>Cotacao!C70</f>
        <v>10/1/2019 16:56:00</v>
      </c>
      <c r="B70" s="6">
        <f>IFERROR(LN(Cotacao!D71/Cotacao!D70),B69)</f>
        <v>-2.473522713472192E-2</v>
      </c>
      <c r="C70" s="6">
        <f>IFERROR(LN(Cotacao!F71/Cotacao!F70),C69)</f>
        <v>-2.3821152840230352E-2</v>
      </c>
      <c r="D70" s="6">
        <f>IFERROR(LN(Cotacao!H71/Cotacao!H70),D69)</f>
        <v>-1.885348291675417E-2</v>
      </c>
      <c r="E70" s="6">
        <f>IFERROR(LN(Cotacao!J71/Cotacao!J70),E69)</f>
        <v>-9.9774070319987914E-3</v>
      </c>
      <c r="F70" s="6">
        <f>IFERROR(LN(Cotacao!L71/Cotacao!L70),F69)</f>
        <v>-1.562531790308087E-2</v>
      </c>
      <c r="G70" s="6">
        <f>IFERROR(LN(Cotacao!N71/Cotacao!N70),G69)</f>
        <v>-2.3438572972017468E-2</v>
      </c>
      <c r="H70" s="6">
        <f>IFERROR(LN(Cotacao!P71/Cotacao!P70),H69)</f>
        <v>-2.2871794067958234E-2</v>
      </c>
      <c r="I70" s="6">
        <f>IFERROR(LN(Cotacao!R71/Cotacao!R70),I69)</f>
        <v>-5.0804512324190637E-3</v>
      </c>
      <c r="J70" s="6">
        <f>IFERROR(LN(Cotacao!T71/Cotacao!T70),J69)</f>
        <v>-8.9486055760140334E-3</v>
      </c>
      <c r="K70" s="6">
        <f>IFERROR(LN(Cotacao!V71/Cotacao!V70),K69)</f>
        <v>-1.6289952979268458E-2</v>
      </c>
      <c r="L70" s="6">
        <f>IFERROR(LN(Cotacao!X71/Cotacao!X70),L69)</f>
        <v>-1.3738003511779824E-2</v>
      </c>
      <c r="M70" s="6">
        <f>IFERROR(LN(Profit!B70/Profit!B69),M69)</f>
        <v>1.1870711861559202E-2</v>
      </c>
      <c r="N70" s="6">
        <f>IFERROR(LN(Cotacao!AB71/Cotacao!AB70),N69)</f>
        <v>-1.7355807553265552E-2</v>
      </c>
      <c r="O70" s="6">
        <f>IFERROR(LN(Cotacao!AD71/Cotacao!AD70),O69)</f>
        <v>-3.8429912791677415E-3</v>
      </c>
      <c r="P70" s="6">
        <f>IFERROR(LN(Cotacao!AF71/Cotacao!AF70),P69)</f>
        <v>-5.4239768936996731E-2</v>
      </c>
      <c r="Q70" s="6">
        <f>IFERROR(LN(Cotacao!AH71/Cotacao!AH70),Q69)</f>
        <v>-5.6258773019382979E-2</v>
      </c>
      <c r="R70" s="6">
        <f>IFERROR(LN(Cotacao!AJ71/Cotacao!AJ70),R69)</f>
        <v>-2.5231478291138292E-2</v>
      </c>
      <c r="S70" s="6">
        <f>IFERROR(LN(Cotacao!AL71/Cotacao!AL70),S69)</f>
        <v>-3.5855313287075703E-2</v>
      </c>
      <c r="T70" s="6">
        <f>IFERROR(LN(Cotacao!AN71/Cotacao!AN70),T69)</f>
        <v>1.3831479148461799E-2</v>
      </c>
      <c r="U70" s="6">
        <f>IFERROR(LN(Cotacao!AP71/Cotacao!AP70),U69)</f>
        <v>-3.7243990909824397E-3</v>
      </c>
      <c r="V70" s="6">
        <f>IFERROR(LN(Cotacao!AR71/Cotacao!AR70),V69)</f>
        <v>1.0666767804195228E-2</v>
      </c>
      <c r="W70" s="6">
        <f>IFERROR(LN(Cotacao!AT71/Cotacao!AT70),W69)</f>
        <v>-8.0240409783073532E-3</v>
      </c>
      <c r="X70" s="6">
        <f>IFERROR(LN(Cotacao!AV71/Cotacao!AV70),X69)</f>
        <v>-1.9663554908778136E-2</v>
      </c>
      <c r="Y70" s="6">
        <f>IFERROR(LN(Cotacao!AX71/Cotacao!AX70),Y69)</f>
        <v>3.742986278834297E-3</v>
      </c>
      <c r="Z70" s="6">
        <f>IFERROR(LN(Cotacao!AZ71/Cotacao!AZ70),Z69)</f>
        <v>6.9525193148818835E-3</v>
      </c>
      <c r="AA70" s="6">
        <f>IFERROR(LN(Cotacao!BB71/Cotacao!BB70),AA69)</f>
        <v>6.4937173307659055E-5</v>
      </c>
      <c r="AB70" s="6">
        <f>IFERROR(LN(Cotacao!BD71/Cotacao!BD70),AB69)</f>
        <v>-1.7889564750775171E-2</v>
      </c>
      <c r="AC70" s="6">
        <f>IFERROR(LN(Cotacao!BF71/Cotacao!BF70),AC69)</f>
        <v>-1.9672765598704893E-2</v>
      </c>
      <c r="AD70" s="6">
        <f>IFERROR(LN(Cotacao!BH71/Cotacao!BH70),AD69)</f>
        <v>-1.369102959920805E-2</v>
      </c>
      <c r="AE70" s="6">
        <f>IFERROR(LN(Cotacao!BJ71/Cotacao!BJ70),AE69)</f>
        <v>-1.6263217445840236E-3</v>
      </c>
      <c r="AF70" s="6">
        <f>IFERROR(LN(Cotacao!BL71/Cotacao!BL70),AF69)</f>
        <v>-1.6646243717783751E-2</v>
      </c>
      <c r="AG70" s="6">
        <f>IFERROR(LN(Cotacao!BN71/Cotacao!BN70),AG69)</f>
        <v>-1.542565409310185E-2</v>
      </c>
      <c r="AH70" s="6">
        <f>IFERROR(LN(Cotacao!BP71/Cotacao!BP70),AH69)</f>
        <v>-2.9137226268038271E-2</v>
      </c>
      <c r="AI70" s="6">
        <f>IFERROR(LN(Cotacao!BR71/Cotacao!BR70),AI69)</f>
        <v>-8.8365818004981118E-3</v>
      </c>
      <c r="AJ70" s="6">
        <f>IFERROR(LN(Profit!C70/Profit!C69),AJ69)</f>
        <v>1.4285957247476434E-2</v>
      </c>
      <c r="AK70" s="6">
        <f>IFERROR(LN(Cotacao!BV71/Cotacao!BV70),AK69)</f>
        <v>-2.9472473373378171E-2</v>
      </c>
      <c r="AL70" s="6">
        <f>IFERROR(LN(Cotacao!BX71/Cotacao!BX70),AL69)</f>
        <v>-1.0531859846587012E-3</v>
      </c>
      <c r="AN70" s="44" t="s">
        <v>9</v>
      </c>
      <c r="AO70" s="44">
        <f t="shared" si="190"/>
        <v>5.0719596365740821E-4</v>
      </c>
      <c r="AP70" s="44">
        <f t="shared" si="191"/>
        <v>3.7987062332068378E-4</v>
      </c>
      <c r="AQ70" s="44">
        <f t="shared" si="192"/>
        <v>3.0994720482329719E-4</v>
      </c>
      <c r="AR70" s="44">
        <f t="shared" si="193"/>
        <v>4.8680496329818636E-4</v>
      </c>
      <c r="AS70" s="44">
        <f t="shared" si="194"/>
        <v>3.843784095701753E-4</v>
      </c>
      <c r="AT70" s="44">
        <f t="shared" si="195"/>
        <v>5.6171479534870567E-4</v>
      </c>
      <c r="AU70" s="44">
        <f t="shared" ref="AU70:AU98" si="196">AU109</f>
        <v>6.6300279281216378E-4</v>
      </c>
      <c r="AV70" s="44">
        <f t="array" ref="AV70:BW70">TRANSPOSE(AU71:AU98)</f>
        <v>4.1081310393635523E-4</v>
      </c>
      <c r="AW70" s="44">
        <v>6.0147192401503323E-4</v>
      </c>
      <c r="AX70" s="44">
        <v>4.7474347863126718E-4</v>
      </c>
      <c r="AY70" s="44">
        <v>2.3111443550701439E-4</v>
      </c>
      <c r="AZ70" s="44">
        <v>1.9645904171853643E-4</v>
      </c>
      <c r="BA70" s="44">
        <v>-5.902916000881572E-5</v>
      </c>
      <c r="BB70" s="44">
        <v>3.6100818966785673E-4</v>
      </c>
      <c r="BC70" s="44">
        <v>5.3275656048129832E-4</v>
      </c>
      <c r="BD70" s="44">
        <v>4.8160261008985253E-4</v>
      </c>
      <c r="BE70" s="44">
        <v>2.7491430956353357E-4</v>
      </c>
      <c r="BF70" s="44">
        <v>5.138571717546018E-4</v>
      </c>
      <c r="BG70" s="44">
        <v>2.4726564684555535E-4</v>
      </c>
      <c r="BH70" s="44">
        <v>1.4387491479612044E-4</v>
      </c>
      <c r="BI70" s="44">
        <v>1.8095251633445226E-4</v>
      </c>
      <c r="BJ70" s="44">
        <v>1.6923194522680974E-4</v>
      </c>
      <c r="BK70" s="44">
        <v>1.8308849760845382E-4</v>
      </c>
      <c r="BL70" s="44">
        <v>1.5474865506430449E-4</v>
      </c>
      <c r="BM70" s="44">
        <v>2.9133897622846963E-4</v>
      </c>
      <c r="BN70" s="44">
        <v>2.5079990662810718E-4</v>
      </c>
      <c r="BO70" s="44">
        <v>7.3360903016155227E-4</v>
      </c>
      <c r="BP70" s="44">
        <v>4.4060034498415352E-4</v>
      </c>
      <c r="BQ70" s="44">
        <v>4.0684812981383353E-4</v>
      </c>
      <c r="BR70" s="44">
        <v>1.8951232343548816E-4</v>
      </c>
      <c r="BS70" s="44">
        <v>4.3136060070653594E-4</v>
      </c>
      <c r="BT70" s="44">
        <v>5.1855118239197415E-4</v>
      </c>
      <c r="BU70" s="44">
        <v>6.4737067738525279E-4</v>
      </c>
      <c r="BV70" s="44">
        <v>9.310616470983834E-4</v>
      </c>
      <c r="BW70" s="44">
        <v>3.8739451691012023E-4</v>
      </c>
    </row>
    <row r="71" spans="1:75">
      <c r="A71" s="3" t="str">
        <f>Cotacao!C71</f>
        <v>10/2/2019 16:56:00</v>
      </c>
      <c r="B71" s="6">
        <f>IFERROR(LN(Cotacao!D72/Cotacao!D71),B70)</f>
        <v>1.7893695318005137E-2</v>
      </c>
      <c r="C71" s="6">
        <f>IFERROR(LN(Cotacao!F72/Cotacao!F71),C70)</f>
        <v>-5.0723665371514024E-3</v>
      </c>
      <c r="D71" s="6">
        <f>IFERROR(LN(Cotacao!H72/Cotacao!H71),D70)</f>
        <v>8.221101338043579E-3</v>
      </c>
      <c r="E71" s="6">
        <f>IFERROR(LN(Cotacao!J72/Cotacao!J71),E70)</f>
        <v>-9.1199276726935084E-4</v>
      </c>
      <c r="F71" s="6">
        <f>IFERROR(LN(Cotacao!L72/Cotacao!L71),F70)</f>
        <v>3.6678060505453531E-3</v>
      </c>
      <c r="G71" s="6">
        <f>IFERROR(LN(Cotacao!N72/Cotacao!N71),G70)</f>
        <v>-1.1928570865273845E-2</v>
      </c>
      <c r="H71" s="6">
        <f>IFERROR(LN(Cotacao!P72/Cotacao!P71),H70)</f>
        <v>-5.8874628934311741E-3</v>
      </c>
      <c r="I71" s="6">
        <f>IFERROR(LN(Cotacao!R72/Cotacao!R71),I70)</f>
        <v>-6.8143364197301654E-3</v>
      </c>
      <c r="J71" s="6">
        <f>IFERROR(LN(Cotacao!T72/Cotacao!T71),J70)</f>
        <v>1.2838579917186371E-2</v>
      </c>
      <c r="K71" s="6">
        <f>IFERROR(LN(Cotacao!V72/Cotacao!V71),K70)</f>
        <v>3.6429912785010087E-3</v>
      </c>
      <c r="L71" s="6">
        <f>IFERROR(LN(Cotacao!X72/Cotacao!X71),L70)</f>
        <v>1.3738003511779787E-2</v>
      </c>
      <c r="M71" s="6">
        <f>IFERROR(LN(Profit!B71/Profit!B70),M70)</f>
        <v>1.2859481292149281E-2</v>
      </c>
      <c r="N71" s="6">
        <f>IFERROR(LN(Cotacao!AB72/Cotacao!AB71),N70)</f>
        <v>1.1191826664301094E-2</v>
      </c>
      <c r="O71" s="6">
        <f>IFERROR(LN(Cotacao!AD72/Cotacao!AD71),O70)</f>
        <v>-2.1123631451293305E-2</v>
      </c>
      <c r="P71" s="6">
        <f>IFERROR(LN(Cotacao!AF72/Cotacao!AF71),P70)</f>
        <v>-3.2792261320256644E-4</v>
      </c>
      <c r="Q71" s="6">
        <f>IFERROR(LN(Cotacao!AH72/Cotacao!AH71),Q70)</f>
        <v>7.5105279042632722E-3</v>
      </c>
      <c r="R71" s="6">
        <f>IFERROR(LN(Cotacao!AJ72/Cotacao!AJ71),R70)</f>
        <v>7.1109371779435153E-3</v>
      </c>
      <c r="S71" s="6">
        <f>IFERROR(LN(Cotacao!AL72/Cotacao!AL71),S70)</f>
        <v>3.9037134804733704E-3</v>
      </c>
      <c r="T71" s="6">
        <f>IFERROR(LN(Cotacao!AN72/Cotacao!AN71),T70)</f>
        <v>5.6980211146375748E-3</v>
      </c>
      <c r="U71" s="6">
        <f>IFERROR(LN(Cotacao!AP72/Cotacao!AP71),U70)</f>
        <v>6.5732808900369564E-3</v>
      </c>
      <c r="V71" s="6">
        <f>IFERROR(LN(Cotacao!AR72/Cotacao!AR71),V70)</f>
        <v>0</v>
      </c>
      <c r="W71" s="6">
        <f>IFERROR(LN(Cotacao!AT72/Cotacao!AT71),W70)</f>
        <v>7.2204263092736183E-3</v>
      </c>
      <c r="X71" s="6">
        <f>IFERROR(LN(Cotacao!AV72/Cotacao!AV71),X70)</f>
        <v>-1.1412392051744673E-2</v>
      </c>
      <c r="Y71" s="6">
        <f>IFERROR(LN(Cotacao!AX72/Cotacao!AX71),Y70)</f>
        <v>3.2326274575909223E-3</v>
      </c>
      <c r="Z71" s="6">
        <f>IFERROR(LN(Cotacao!AZ72/Cotacao!AZ71),Z70)</f>
        <v>2.2832042042645689E-2</v>
      </c>
      <c r="AA71" s="6">
        <f>IFERROR(LN(Cotacao!BB72/Cotacao!BB71),AA70)</f>
        <v>0</v>
      </c>
      <c r="AB71" s="6">
        <f>IFERROR(LN(Cotacao!BD72/Cotacao!BD71),AB70)</f>
        <v>-1.6990699995445363E-2</v>
      </c>
      <c r="AC71" s="6">
        <f>IFERROR(LN(Cotacao!BF72/Cotacao!BF71),AC70)</f>
        <v>2.9365894804364537E-2</v>
      </c>
      <c r="AD71" s="6">
        <f>IFERROR(LN(Cotacao!BH72/Cotacao!BH71),AD70)</f>
        <v>1.1706058013103282E-2</v>
      </c>
      <c r="AE71" s="6">
        <f>IFERROR(LN(Cotacao!BJ72/Cotacao!BJ71),AE70)</f>
        <v>-7.7298106794417504E-3</v>
      </c>
      <c r="AF71" s="6">
        <f>IFERROR(LN(Cotacao!BL72/Cotacao!BL71),AF70)</f>
        <v>-6.3144810948457504E-3</v>
      </c>
      <c r="AG71" s="6">
        <f>IFERROR(LN(Cotacao!BN72/Cotacao!BN71),AG70)</f>
        <v>1.1534153245286545E-2</v>
      </c>
      <c r="AH71" s="6">
        <f>IFERROR(LN(Cotacao!BP72/Cotacao!BP71),AH70)</f>
        <v>7.4822300535213443E-4</v>
      </c>
      <c r="AI71" s="6">
        <f>IFERROR(LN(Cotacao!BR72/Cotacao!BR71),AI70)</f>
        <v>5.9154098146134491E-4</v>
      </c>
      <c r="AJ71" s="6">
        <f>IFERROR(LN(Profit!C71/Profit!C70),AJ70)</f>
        <v>1.3210231736806482E-2</v>
      </c>
      <c r="AK71" s="6">
        <f>IFERROR(LN(Cotacao!BV72/Cotacao!BV71),AK70)</f>
        <v>4.7850600229508919E-3</v>
      </c>
      <c r="AL71" s="6">
        <f>IFERROR(LN(Cotacao!BX72/Cotacao!BX71),AL70)</f>
        <v>1.0531859846586405E-3</v>
      </c>
      <c r="AN71" s="44" t="s">
        <v>10</v>
      </c>
      <c r="AO71" s="44">
        <f t="shared" si="190"/>
        <v>5.8778527084153167E-4</v>
      </c>
      <c r="AP71" s="44">
        <f t="shared" si="191"/>
        <v>3.8233204613330566E-4</v>
      </c>
      <c r="AQ71" s="44">
        <f t="shared" si="192"/>
        <v>3.744021321853688E-4</v>
      </c>
      <c r="AR71" s="44">
        <f t="shared" si="193"/>
        <v>4.8179123381309245E-4</v>
      </c>
      <c r="AS71" s="44">
        <f t="shared" si="194"/>
        <v>4.5080543867672323E-4</v>
      </c>
      <c r="AT71" s="44">
        <f t="shared" si="195"/>
        <v>4.6490169063109505E-4</v>
      </c>
      <c r="AU71" s="44">
        <f t="shared" si="196"/>
        <v>4.1081310393635523E-4</v>
      </c>
      <c r="AV71" s="44">
        <f t="shared" ref="AV71:AV98" si="197">AV110</f>
        <v>8.2437597935752208E-4</v>
      </c>
      <c r="AW71" s="44">
        <f t="array" ref="AW71:BW71">TRANSPOSE(AV72:AV98)</f>
        <v>6.4188808788637013E-4</v>
      </c>
      <c r="AX71" s="44">
        <v>5.7101314056324202E-4</v>
      </c>
      <c r="AY71" s="44">
        <v>2.4798959948183912E-4</v>
      </c>
      <c r="AZ71" s="44">
        <v>2.3506410172636068E-4</v>
      </c>
      <c r="BA71" s="44">
        <v>-3.8262644932757143E-5</v>
      </c>
      <c r="BB71" s="44">
        <v>5.3906363618792916E-4</v>
      </c>
      <c r="BC71" s="44">
        <v>6.3098560823925164E-4</v>
      </c>
      <c r="BD71" s="44">
        <v>5.7746995662680484E-4</v>
      </c>
      <c r="BE71" s="44">
        <v>3.0445611485595492E-4</v>
      </c>
      <c r="BF71" s="44">
        <v>5.6246000857467101E-4</v>
      </c>
      <c r="BG71" s="44">
        <v>2.5751887734547186E-4</v>
      </c>
      <c r="BH71" s="44">
        <v>1.4579231588194417E-4</v>
      </c>
      <c r="BI71" s="44">
        <v>2.227345224941653E-4</v>
      </c>
      <c r="BJ71" s="44">
        <v>2.0956898036388343E-4</v>
      </c>
      <c r="BK71" s="44">
        <v>1.8922448979460374E-4</v>
      </c>
      <c r="BL71" s="44">
        <v>2.0561333311680069E-4</v>
      </c>
      <c r="BM71" s="44">
        <v>3.194515349473953E-4</v>
      </c>
      <c r="BN71" s="44">
        <v>2.1092619815563603E-4</v>
      </c>
      <c r="BO71" s="44">
        <v>8.2013370426755434E-4</v>
      </c>
      <c r="BP71" s="44">
        <v>5.580777820819743E-4</v>
      </c>
      <c r="BQ71" s="44">
        <v>4.5871225430114672E-4</v>
      </c>
      <c r="BR71" s="44">
        <v>1.8329802465626431E-4</v>
      </c>
      <c r="BS71" s="44">
        <v>4.5744742538160455E-4</v>
      </c>
      <c r="BT71" s="44">
        <v>5.8396629677213616E-4</v>
      </c>
      <c r="BU71" s="44">
        <v>6.6585705743917045E-4</v>
      </c>
      <c r="BV71" s="44">
        <v>9.733788284691184E-4</v>
      </c>
      <c r="BW71" s="44">
        <v>4.4917055856630777E-4</v>
      </c>
    </row>
    <row r="72" spans="1:75">
      <c r="A72" s="3" t="str">
        <f>Cotacao!C72</f>
        <v>10/3/2019 16:56:00</v>
      </c>
      <c r="B72" s="6">
        <f>IFERROR(LN(Cotacao!D73/Cotacao!D72),B71)</f>
        <v>1.1435107020790205E-3</v>
      </c>
      <c r="C72" s="6">
        <f>IFERROR(LN(Cotacao!F73/Cotacao!F72),C71)</f>
        <v>1.4945451892673382E-3</v>
      </c>
      <c r="D72" s="6">
        <f>IFERROR(LN(Cotacao!H73/Cotacao!H72),D71)</f>
        <v>9.0929763028118097E-4</v>
      </c>
      <c r="E72" s="6">
        <f>IFERROR(LN(Cotacao!J73/Cotacao!J72),E71)</f>
        <v>8.1781464438922691E-3</v>
      </c>
      <c r="F72" s="6">
        <f>IFERROR(LN(Cotacao!L73/Cotacao!L72),F71)</f>
        <v>7.295498746724193E-3</v>
      </c>
      <c r="G72" s="6">
        <f>IFERROR(LN(Cotacao!N73/Cotacao!N72),G71)</f>
        <v>7.9968017056424414E-4</v>
      </c>
      <c r="H72" s="6">
        <f>IFERROR(LN(Cotacao!P73/Cotacao!P72),H71)</f>
        <v>8.6460853325108621E-3</v>
      </c>
      <c r="I72" s="6">
        <f>IFERROR(LN(Cotacao!R73/Cotacao!R72),I71)</f>
        <v>8.5106896679088308E-3</v>
      </c>
      <c r="J72" s="6">
        <f>IFERROR(LN(Cotacao!T73/Cotacao!T72),J71)</f>
        <v>1.2675837951596495E-2</v>
      </c>
      <c r="K72" s="6">
        <f>IFERROR(LN(Cotacao!V73/Cotacao!V72),K71)</f>
        <v>7.2464085207672533E-3</v>
      </c>
      <c r="L72" s="6">
        <f>IFERROR(LN(Cotacao!X73/Cotacao!X72),L71)</f>
        <v>0</v>
      </c>
      <c r="M72" s="6">
        <f>IFERROR(LN(Profit!B72/Profit!B71),M71)</f>
        <v>-4.142351997421299E-3</v>
      </c>
      <c r="N72" s="6">
        <f>IFERROR(LN(Cotacao!AB73/Cotacao!AB72),N71)</f>
        <v>4.1135393257921617E-3</v>
      </c>
      <c r="O72" s="6">
        <f>IFERROR(LN(Cotacao!AD73/Cotacao!AD72),O71)</f>
        <v>2.2223136784710041E-2</v>
      </c>
      <c r="P72" s="6">
        <f>IFERROR(LN(Cotacao!AF73/Cotacao!AF72),P71)</f>
        <v>-1.3870763999725647E-2</v>
      </c>
      <c r="Q72" s="6">
        <f>IFERROR(LN(Cotacao!AH73/Cotacao!AH72),Q71)</f>
        <v>2.4993151415809659E-2</v>
      </c>
      <c r="R72" s="6">
        <f>IFERROR(LN(Cotacao!AJ73/Cotacao!AJ72),R71)</f>
        <v>5.6980211146377959E-3</v>
      </c>
      <c r="S72" s="6">
        <f>IFERROR(LN(Cotacao!AL73/Cotacao!AL72),S71)</f>
        <v>6.4725145056175196E-3</v>
      </c>
      <c r="T72" s="6">
        <f>IFERROR(LN(Cotacao!AN73/Cotacao!AN72),T71)</f>
        <v>3.0547699949570808E-3</v>
      </c>
      <c r="U72" s="6">
        <f>IFERROR(LN(Cotacao!AP73/Cotacao!AP72),U71)</f>
        <v>2.1528533611010927E-3</v>
      </c>
      <c r="V72" s="6">
        <f>IFERROR(LN(Cotacao!AR73/Cotacao!AR72),V71)</f>
        <v>-8.8456440973421803E-4</v>
      </c>
      <c r="W72" s="6">
        <f>IFERROR(LN(Cotacao!AT73/Cotacao!AT72),W71)</f>
        <v>-6.5843859281792816E-3</v>
      </c>
      <c r="X72" s="6">
        <f>IFERROR(LN(Cotacao!AV73/Cotacao!AV72),X71)</f>
        <v>3.5803833450120501E-3</v>
      </c>
      <c r="Y72" s="6">
        <f>IFERROR(LN(Cotacao!AX73/Cotacao!AX72),Y71)</f>
        <v>-1.3249422276108338E-3</v>
      </c>
      <c r="Z72" s="6">
        <f>IFERROR(LN(Cotacao!AZ73/Cotacao!AZ72),Z71)</f>
        <v>8.9888245684332808E-3</v>
      </c>
      <c r="AA72" s="6">
        <f>IFERROR(LN(Cotacao!BB73/Cotacao!BB72),AA71)</f>
        <v>6.4725145056175196E-3</v>
      </c>
      <c r="AB72" s="6">
        <f>IFERROR(LN(Cotacao!BD73/Cotacao!BD72),AB71)</f>
        <v>1.6388834193346722E-2</v>
      </c>
      <c r="AC72" s="6">
        <f>IFERROR(LN(Cotacao!BF73/Cotacao!BF72),AC71)</f>
        <v>-5.8045954659672241E-3</v>
      </c>
      <c r="AD72" s="6">
        <f>IFERROR(LN(Cotacao!BH73/Cotacao!BH72),AD71)</f>
        <v>1.6608404279419529E-2</v>
      </c>
      <c r="AE72" s="6">
        <f>IFERROR(LN(Cotacao!BJ73/Cotacao!BJ72),AE71)</f>
        <v>6.226239415098098E-3</v>
      </c>
      <c r="AF72" s="6">
        <f>IFERROR(LN(Cotacao!BL73/Cotacao!BL72),AF71)</f>
        <v>-2.9604589183834427E-3</v>
      </c>
      <c r="AG72" s="6">
        <f>IFERROR(LN(Cotacao!BN73/Cotacao!BN72),AG71)</f>
        <v>2.155500356182969E-2</v>
      </c>
      <c r="AH72" s="6">
        <f>IFERROR(LN(Cotacao!BP73/Cotacao!BP72),AH71)</f>
        <v>-8.6385513728628495E-3</v>
      </c>
      <c r="AI72" s="6">
        <f>IFERROR(LN(Cotacao!BR73/Cotacao!BR72),AI71)</f>
        <v>1.1173300598125255E-2</v>
      </c>
      <c r="AJ72" s="6">
        <f>IFERROR(LN(Profit!C72/Profit!C71),AJ71)</f>
        <v>2.5055306342147272E-2</v>
      </c>
      <c r="AK72" s="6">
        <f>IFERROR(LN(Cotacao!BV73/Cotacao!BV72),AK71)</f>
        <v>1.014654065228039E-2</v>
      </c>
      <c r="AL72" s="6">
        <f>IFERROR(LN(Cotacao!BX73/Cotacao!BX72),AL71)</f>
        <v>2.0834086902842053E-2</v>
      </c>
      <c r="AN72" s="44" t="s">
        <v>11</v>
      </c>
      <c r="AO72" s="44">
        <f t="shared" si="190"/>
        <v>8.089005834182384E-4</v>
      </c>
      <c r="AP72" s="44">
        <f t="shared" si="191"/>
        <v>5.3238882479805891E-4</v>
      </c>
      <c r="AQ72" s="44">
        <f t="shared" si="192"/>
        <v>4.5818302280007924E-4</v>
      </c>
      <c r="AR72" s="44">
        <f t="shared" si="193"/>
        <v>9.6728460526300606E-4</v>
      </c>
      <c r="AS72" s="44">
        <f t="shared" si="194"/>
        <v>6.2057029587539773E-4</v>
      </c>
      <c r="AT72" s="44">
        <f t="shared" si="195"/>
        <v>6.1478680448536817E-4</v>
      </c>
      <c r="AU72" s="44">
        <f t="shared" si="196"/>
        <v>6.0147192401503323E-4</v>
      </c>
      <c r="AV72" s="44">
        <f t="shared" si="197"/>
        <v>6.4188808788637013E-4</v>
      </c>
      <c r="AW72" s="44">
        <f t="shared" ref="AW72:AW98" si="198">AW111</f>
        <v>1.8366962527805082E-3</v>
      </c>
      <c r="AX72" s="44">
        <f t="array" ref="AX72:BW72">TRANSPOSE(AW73:AW98)</f>
        <v>8.0612380813982335E-4</v>
      </c>
      <c r="AY72" s="44">
        <v>5.6965520674026127E-4</v>
      </c>
      <c r="AZ72" s="44">
        <v>3.9002172181929411E-4</v>
      </c>
      <c r="BA72" s="44">
        <v>-3.1303907964561069E-5</v>
      </c>
      <c r="BB72" s="44">
        <v>5.1822489310206438E-4</v>
      </c>
      <c r="BC72" s="44">
        <v>9.4327334439748374E-4</v>
      </c>
      <c r="BD72" s="44">
        <v>7.3884668690257988E-4</v>
      </c>
      <c r="BE72" s="44">
        <v>3.5880945545461627E-4</v>
      </c>
      <c r="BF72" s="44">
        <v>8.5208878800882169E-4</v>
      </c>
      <c r="BG72" s="44">
        <v>5.3000850014422887E-4</v>
      </c>
      <c r="BH72" s="44">
        <v>3.1460804947546829E-4</v>
      </c>
      <c r="BI72" s="44">
        <v>2.9688070784491258E-4</v>
      </c>
      <c r="BJ72" s="44">
        <v>3.9792118179848206E-4</v>
      </c>
      <c r="BK72" s="44">
        <v>3.8182132627924127E-4</v>
      </c>
      <c r="BL72" s="44">
        <v>3.4025090110825117E-4</v>
      </c>
      <c r="BM72" s="44">
        <v>5.5154150561794889E-4</v>
      </c>
      <c r="BN72" s="44">
        <v>5.2332389204829387E-4</v>
      </c>
      <c r="BO72" s="44">
        <v>1.5349637820673545E-3</v>
      </c>
      <c r="BP72" s="44">
        <v>8.9516395457831075E-4</v>
      </c>
      <c r="BQ72" s="44">
        <v>7.4788138276645399E-4</v>
      </c>
      <c r="BR72" s="44">
        <v>3.7563165391043955E-4</v>
      </c>
      <c r="BS72" s="44">
        <v>7.3596690157127001E-4</v>
      </c>
      <c r="BT72" s="44">
        <v>9.2967370128252229E-4</v>
      </c>
      <c r="BU72" s="44">
        <v>1.0928066138953107E-3</v>
      </c>
      <c r="BV72" s="44">
        <v>1.7101995960450945E-3</v>
      </c>
      <c r="BW72" s="44">
        <v>6.7296696163163792E-4</v>
      </c>
    </row>
    <row r="73" spans="1:75">
      <c r="A73" s="3" t="str">
        <f>Cotacao!C73</f>
        <v>10/4/2019 16:56:00</v>
      </c>
      <c r="B73" s="6">
        <f>IFERROR(LN(Cotacao!D74/Cotacao!D73),B72)</f>
        <v>-2.8987536873252298E-2</v>
      </c>
      <c r="C73" s="6">
        <f>IFERROR(LN(Cotacao!F74/Cotacao!F73),C72)</f>
        <v>-2.9708156285582731E-2</v>
      </c>
      <c r="D73" s="6">
        <f>IFERROR(LN(Cotacao!H74/Cotacao!H73),D72)</f>
        <v>-2.4845998586530776E-2</v>
      </c>
      <c r="E73" s="6">
        <f>IFERROR(LN(Cotacao!J74/Cotacao!J73),E72)</f>
        <v>-3.2186686495901444E-2</v>
      </c>
      <c r="F73" s="6">
        <f>IFERROR(LN(Cotacao!L74/Cotacao!L73),F72)</f>
        <v>-3.0576973569282975E-2</v>
      </c>
      <c r="G73" s="6">
        <f>IFERROR(LN(Cotacao!N74/Cotacao!N73),G72)</f>
        <v>-2.6733062197068867E-2</v>
      </c>
      <c r="H73" s="6">
        <f>IFERROR(LN(Cotacao!P74/Cotacao!P73),H72)</f>
        <v>-2.6519348928223319E-2</v>
      </c>
      <c r="I73" s="6">
        <f>IFERROR(LN(Cotacao!R74/Cotacao!R73),I72)</f>
        <v>-2.9705092922933073E-3</v>
      </c>
      <c r="J73" s="6">
        <f>IFERROR(LN(Cotacao!T74/Cotacao!T73),J72)</f>
        <v>-3.2844588835217375E-2</v>
      </c>
      <c r="K73" s="6">
        <f>IFERROR(LN(Cotacao!V74/Cotacao!V73),K72)</f>
        <v>-2.5595547188963653E-2</v>
      </c>
      <c r="L73" s="6">
        <f>IFERROR(LN(Cotacao!X74/Cotacao!X73),L72)</f>
        <v>-8.5961634061546225E-3</v>
      </c>
      <c r="M73" s="6">
        <f>IFERROR(LN(Profit!B73/Profit!B72),M72)</f>
        <v>3.7728730875780206E-4</v>
      </c>
      <c r="N73" s="6">
        <f>IFERROR(LN(Cotacao!AB74/Cotacao!AB73),N72)</f>
        <v>-4.8359222555350571E-2</v>
      </c>
      <c r="O73" s="6">
        <f>IFERROR(LN(Cotacao!AD74/Cotacao!AD73),O72)</f>
        <v>-1.3831479148461737E-2</v>
      </c>
      <c r="P73" s="6">
        <f>IFERROR(LN(Cotacao!AF74/Cotacao!AF73),P72)</f>
        <v>-3.6922060107901375E-2</v>
      </c>
      <c r="Q73" s="6">
        <f>IFERROR(LN(Cotacao!AH74/Cotacao!AH73),Q72)</f>
        <v>-1.1875341975023556E-2</v>
      </c>
      <c r="R73" s="6">
        <f>IFERROR(LN(Cotacao!AJ74/Cotacao!AJ73),R72)</f>
        <v>-6.8205072554245762E-4</v>
      </c>
      <c r="S73" s="6">
        <f>IFERROR(LN(Cotacao!AL74/Cotacao!AL73),S72)</f>
        <v>-5.1746557900174744E-3</v>
      </c>
      <c r="T73" s="6">
        <f>IFERROR(LN(Cotacao!AN74/Cotacao!AN73),T72)</f>
        <v>-3.2733253449691376E-3</v>
      </c>
      <c r="U73" s="6">
        <f>IFERROR(LN(Cotacao!AP74/Cotacao!AP73),U72)</f>
        <v>8.9917111919640864E-3</v>
      </c>
      <c r="V73" s="6">
        <f>IFERROR(LN(Cotacao!AR74/Cotacao!AR73),V72)</f>
        <v>1.7683470567419492E-3</v>
      </c>
      <c r="W73" s="6">
        <f>IFERROR(LN(Cotacao!AT74/Cotacao!AT73),W72)</f>
        <v>4.9423494344348392E-3</v>
      </c>
      <c r="X73" s="6">
        <f>IFERROR(LN(Cotacao!AV74/Cotacao!AV73),X72)</f>
        <v>5.0023226111895022E-4</v>
      </c>
      <c r="Y73" s="6">
        <f>IFERROR(LN(Cotacao!AX74/Cotacao!AX73),Y72)</f>
        <v>2.6481313058806018E-3</v>
      </c>
      <c r="Z73" s="6">
        <f>IFERROR(LN(Cotacao!AZ74/Cotacao!AZ73),Z72)</f>
        <v>1.9934214900817111E-2</v>
      </c>
      <c r="AA73" s="6">
        <f>IFERROR(LN(Cotacao!BB74/Cotacao!BB73),AA72)</f>
        <v>6.4308903302903314E-3</v>
      </c>
      <c r="AB73" s="6">
        <f>IFERROR(LN(Cotacao!BD74/Cotacao!BD73),AB72)</f>
        <v>-9.0717283762796353E-3</v>
      </c>
      <c r="AC73" s="6">
        <f>IFERROR(LN(Cotacao!BF74/Cotacao!BF73),AC72)</f>
        <v>-4.5380953084881064E-3</v>
      </c>
      <c r="AD73" s="6">
        <f>IFERROR(LN(Cotacao!BH74/Cotacao!BH73),AD72)</f>
        <v>2.1268582398549736E-2</v>
      </c>
      <c r="AE73" s="6">
        <f>IFERROR(LN(Cotacao!BJ74/Cotacao!BJ73),AE72)</f>
        <v>-3.1397200046677527E-3</v>
      </c>
      <c r="AF73" s="6">
        <f>IFERROR(LN(Cotacao!BL74/Cotacao!BL73),AF72)</f>
        <v>-3.2719233757207707E-2</v>
      </c>
      <c r="AG73" s="6">
        <f>IFERROR(LN(Cotacao!BN74/Cotacao!BN73),AG72)</f>
        <v>-3.5412038223255844E-2</v>
      </c>
      <c r="AH73" s="6">
        <f>IFERROR(LN(Cotacao!BP74/Cotacao!BP73),AH72)</f>
        <v>-1.2908303758879728E-2</v>
      </c>
      <c r="AI73" s="6">
        <f>IFERROR(LN(Cotacao!BR74/Cotacao!BR73),AI72)</f>
        <v>-2.6067826769917569E-2</v>
      </c>
      <c r="AJ73" s="6">
        <f>IFERROR(LN(Profit!C73/Profit!C72),AJ72)</f>
        <v>-8.5360653924054005E-4</v>
      </c>
      <c r="AK73" s="6">
        <f>IFERROR(LN(Cotacao!BV74/Cotacao!BV73),AK72)</f>
        <v>-1.948181112345776E-2</v>
      </c>
      <c r="AL73" s="6">
        <f>IFERROR(LN(Cotacao!BX74/Cotacao!BX73),AL72)</f>
        <v>-3.4423441909729015E-3</v>
      </c>
      <c r="AN73" s="44" t="s">
        <v>12</v>
      </c>
      <c r="AO73" s="44">
        <f t="shared" si="190"/>
        <v>6.3149046287651193E-4</v>
      </c>
      <c r="AP73" s="44">
        <f t="shared" si="191"/>
        <v>3.3182821364580032E-4</v>
      </c>
      <c r="AQ73" s="44">
        <f t="shared" si="192"/>
        <v>4.5028097204298696E-4</v>
      </c>
      <c r="AR73" s="44">
        <f t="shared" si="193"/>
        <v>6.2969327145790343E-4</v>
      </c>
      <c r="AS73" s="44">
        <f t="shared" si="194"/>
        <v>5.4417393112975632E-4</v>
      </c>
      <c r="AT73" s="44">
        <f t="shared" si="195"/>
        <v>4.8243242133720409E-4</v>
      </c>
      <c r="AU73" s="44">
        <f t="shared" si="196"/>
        <v>4.7474347863126718E-4</v>
      </c>
      <c r="AV73" s="44">
        <f t="shared" si="197"/>
        <v>5.7101314056324202E-4</v>
      </c>
      <c r="AW73" s="44">
        <f t="shared" si="198"/>
        <v>8.0612380813982335E-4</v>
      </c>
      <c r="AX73" s="44">
        <f t="shared" ref="AX73:AX98" si="199">AX112</f>
        <v>1.1015682868845131E-3</v>
      </c>
      <c r="AY73" s="44">
        <f t="array" ref="AY73:BW73">TRANSPOSE(AX74:AX98)</f>
        <v>4.0022144624556543E-4</v>
      </c>
      <c r="AZ73" s="44">
        <v>3.0469539482659314E-4</v>
      </c>
      <c r="BA73" s="44">
        <v>-2.0373779281968395E-5</v>
      </c>
      <c r="BB73" s="44">
        <v>4.4686534268661694E-4</v>
      </c>
      <c r="BC73" s="44">
        <v>7.9514104508207324E-4</v>
      </c>
      <c r="BD73" s="44">
        <v>5.476486626514814E-4</v>
      </c>
      <c r="BE73" s="44">
        <v>4.4244883818282655E-4</v>
      </c>
      <c r="BF73" s="44">
        <v>7.6722365235144384E-4</v>
      </c>
      <c r="BG73" s="44">
        <v>3.7986672087265608E-4</v>
      </c>
      <c r="BH73" s="44">
        <v>2.2354778269310712E-4</v>
      </c>
      <c r="BI73" s="44">
        <v>2.5840353471357554E-4</v>
      </c>
      <c r="BJ73" s="44">
        <v>2.4530036221928847E-4</v>
      </c>
      <c r="BK73" s="44">
        <v>2.8471330334944964E-4</v>
      </c>
      <c r="BL73" s="44">
        <v>2.3656211255940939E-4</v>
      </c>
      <c r="BM73" s="44">
        <v>3.7461020205613814E-4</v>
      </c>
      <c r="BN73" s="44">
        <v>3.3405882973713846E-4</v>
      </c>
      <c r="BO73" s="44">
        <v>1.0874712631852197E-3</v>
      </c>
      <c r="BP73" s="44">
        <v>6.1166558054201231E-4</v>
      </c>
      <c r="BQ73" s="44">
        <v>4.7926496924944413E-4</v>
      </c>
      <c r="BR73" s="44">
        <v>2.8400650288821946E-4</v>
      </c>
      <c r="BS73" s="44">
        <v>4.7781782520940088E-4</v>
      </c>
      <c r="BT73" s="44">
        <v>6.1286367281428145E-4</v>
      </c>
      <c r="BU73" s="44">
        <v>7.4121456703746843E-4</v>
      </c>
      <c r="BV73" s="44">
        <v>1.0998966494819708E-3</v>
      </c>
      <c r="BW73" s="44">
        <v>5.7391460397161905E-4</v>
      </c>
    </row>
    <row r="74" spans="1:75">
      <c r="A74" s="3" t="str">
        <f>Cotacao!C74</f>
        <v>10/7/2019 16:56:00</v>
      </c>
      <c r="B74" s="6">
        <f>IFERROR(LN(Cotacao!D75/Cotacao!D74),B73)</f>
        <v>2.9368596733097057E-3</v>
      </c>
      <c r="C74" s="6">
        <f>IFERROR(LN(Cotacao!F75/Cotacao!F74),C73)</f>
        <v>-8.0321716972641538E-3</v>
      </c>
      <c r="D74" s="6">
        <f>IFERROR(LN(Cotacao!H75/Cotacao!H74),D73)</f>
        <v>-6.0747850365605784E-3</v>
      </c>
      <c r="E74" s="6">
        <f>IFERROR(LN(Cotacao!J75/Cotacao!J74),E73)</f>
        <v>-1.4117881545784819E-2</v>
      </c>
      <c r="F74" s="6">
        <f>IFERROR(LN(Cotacao!L75/Cotacao!L74),F73)</f>
        <v>1.6459092023497962E-2</v>
      </c>
      <c r="G74" s="6">
        <f>IFERROR(LN(Cotacao!N75/Cotacao!N74),G73)</f>
        <v>-3.2894766503986459E-3</v>
      </c>
      <c r="H74" s="6">
        <f>IFERROR(LN(Cotacao!P75/Cotacao!P74),H73)</f>
        <v>-7.0972618707617705E-3</v>
      </c>
      <c r="I74" s="6">
        <f>IFERROR(LN(Cotacao!R75/Cotacao!R74),I73)</f>
        <v>8.8851864422506803E-3</v>
      </c>
      <c r="J74" s="6">
        <f>IFERROR(LN(Cotacao!T75/Cotacao!T74),J73)</f>
        <v>-1.5398080111121832E-2</v>
      </c>
      <c r="K74" s="6">
        <f>IFERROR(LN(Cotacao!V75/Cotacao!V74),K73)</f>
        <v>-1.8535686493230551E-3</v>
      </c>
      <c r="L74" s="6">
        <f>IFERROR(LN(Cotacao!X75/Cotacao!X74),L73)</f>
        <v>4.3498725247034997E-3</v>
      </c>
      <c r="M74" s="6">
        <f>IFERROR(LN(Profit!B74/Profit!B73),M73)</f>
        <v>1.7944406728978974E-2</v>
      </c>
      <c r="N74" s="6">
        <f>IFERROR(LN(Cotacao!AB75/Cotacao!AB74),N73)</f>
        <v>2.5817570278546587E-3</v>
      </c>
      <c r="O74" s="6">
        <f>IFERROR(LN(Cotacao!AD75/Cotacao!AD74),O73)</f>
        <v>7.2162400297424061E-3</v>
      </c>
      <c r="P74" s="6">
        <f>IFERROR(LN(Cotacao!AF75/Cotacao!AF74),P73)</f>
        <v>3.1252543504104315E-2</v>
      </c>
      <c r="Q74" s="6">
        <f>IFERROR(LN(Cotacao!AH75/Cotacao!AH74),Q73)</f>
        <v>-1.5762147693876325E-2</v>
      </c>
      <c r="R74" s="6">
        <f>IFERROR(LN(Cotacao!AJ75/Cotacao!AJ74),R73)</f>
        <v>-4.7874250789930297E-3</v>
      </c>
      <c r="S74" s="6">
        <f>IFERROR(LN(Cotacao!AL75/Cotacao!AL74),S73)</f>
        <v>-3.898640415657309E-3</v>
      </c>
      <c r="T74" s="6">
        <f>IFERROR(LN(Cotacao!AN75/Cotacao!AN74),T73)</f>
        <v>-1.7085011884933495E-2</v>
      </c>
      <c r="U74" s="6">
        <f>IFERROR(LN(Cotacao!AP75/Cotacao!AP74),U73)</f>
        <v>-8.5287851651751534E-4</v>
      </c>
      <c r="V74" s="6">
        <f>IFERROR(LN(Cotacao!AR75/Cotacao!AR74),V73)</f>
        <v>-7.9823040246850083E-3</v>
      </c>
      <c r="W74" s="6">
        <f>IFERROR(LN(Cotacao!AT75/Cotacao!AT74),W73)</f>
        <v>-1.6447372128783784E-3</v>
      </c>
      <c r="X74" s="6">
        <f>IFERROR(LN(Cotacao!AV75/Cotacao!AV74),X73)</f>
        <v>2.1430867674971418E-4</v>
      </c>
      <c r="Y74" s="6">
        <f>IFERROR(LN(Cotacao!AX75/Cotacao!AX74),Y73)</f>
        <v>4.13137787326395E-4</v>
      </c>
      <c r="Z74" s="6">
        <f>IFERROR(LN(Cotacao!AZ75/Cotacao!AZ74),Z73)</f>
        <v>-1.102547001170771E-2</v>
      </c>
      <c r="AA74" s="6">
        <f>IFERROR(LN(Cotacao!BB75/Cotacao!BB74),AA73)</f>
        <v>-2.9530739827398388E-3</v>
      </c>
      <c r="AB74" s="6">
        <f>IFERROR(LN(Cotacao!BD75/Cotacao!BD74),AB73)</f>
        <v>-1.4688146561657013E-2</v>
      </c>
      <c r="AC74" s="6">
        <f>IFERROR(LN(Cotacao!BF75/Cotacao!BF74),AC73)</f>
        <v>-1.2422519998557209E-2</v>
      </c>
      <c r="AD74" s="6">
        <f>IFERROR(LN(Cotacao!BH75/Cotacao!BH74),AD73)</f>
        <v>-1.570063928330544E-2</v>
      </c>
      <c r="AE74" s="6">
        <f>IFERROR(LN(Cotacao!BJ75/Cotacao!BJ74),AE73)</f>
        <v>8.7664932121825929E-3</v>
      </c>
      <c r="AF74" s="6">
        <f>IFERROR(LN(Cotacao!BL75/Cotacao!BL74),AF73)</f>
        <v>-1.7520810439171945E-3</v>
      </c>
      <c r="AG74" s="6">
        <f>IFERROR(LN(Cotacao!BN75/Cotacao!BN74),AG73)</f>
        <v>6.9525193148816632E-3</v>
      </c>
      <c r="AH74" s="6">
        <f>IFERROR(LN(Cotacao!BP75/Cotacao!BP74),AH73)</f>
        <v>-5.7482434576953201E-3</v>
      </c>
      <c r="AI74" s="6">
        <f>IFERROR(LN(Cotacao!BR75/Cotacao!BR74),AI73)</f>
        <v>-4.0421914498915412E-2</v>
      </c>
      <c r="AJ74" s="6">
        <f>IFERROR(LN(Profit!C74/Profit!C73),AJ73)</f>
        <v>-6.8552110790529681E-3</v>
      </c>
      <c r="AK74" s="6">
        <f>IFERROR(LN(Cotacao!BV75/Cotacao!BV74),AK73)</f>
        <v>-5.8973763940136552E-3</v>
      </c>
      <c r="AL74" s="6">
        <f>IFERROR(LN(Cotacao!BX75/Cotacao!BX74),AL73)</f>
        <v>-8.3102971336280369E-3</v>
      </c>
      <c r="AN74" s="44" t="s">
        <v>13</v>
      </c>
      <c r="AO74" s="44">
        <f t="shared" si="190"/>
        <v>3.6878278312884092E-4</v>
      </c>
      <c r="AP74" s="44">
        <f t="shared" si="191"/>
        <v>1.3126351636502854E-4</v>
      </c>
      <c r="AQ74" s="44">
        <f t="shared" si="192"/>
        <v>1.6704573115879263E-4</v>
      </c>
      <c r="AR74" s="44">
        <f t="shared" si="193"/>
        <v>5.042259340514246E-4</v>
      </c>
      <c r="AS74" s="44">
        <f t="shared" si="194"/>
        <v>2.5300247624118592E-4</v>
      </c>
      <c r="AT74" s="44">
        <f t="shared" si="195"/>
        <v>2.102589029275792E-4</v>
      </c>
      <c r="AU74" s="44">
        <f t="shared" si="196"/>
        <v>2.3111443550701439E-4</v>
      </c>
      <c r="AV74" s="44">
        <f t="shared" si="197"/>
        <v>2.4798959948183912E-4</v>
      </c>
      <c r="AW74" s="44">
        <f t="shared" si="198"/>
        <v>5.6965520674026127E-4</v>
      </c>
      <c r="AX74" s="44">
        <f t="shared" si="199"/>
        <v>4.0022144624556543E-4</v>
      </c>
      <c r="AY74" s="44">
        <f t="shared" ref="AY74:AY98" si="200">AY113</f>
        <v>7.0529787354931309E-4</v>
      </c>
      <c r="AZ74" s="44">
        <f t="array" ref="AZ74:BW74">TRANSPOSE(AY75:AY98)</f>
        <v>1.5366350321409678E-4</v>
      </c>
      <c r="BA74" s="44">
        <v>-2.3988307762264043E-5</v>
      </c>
      <c r="BB74" s="44">
        <v>2.8541388159082252E-4</v>
      </c>
      <c r="BC74" s="44">
        <v>4.6567275175923319E-4</v>
      </c>
      <c r="BD74" s="44">
        <v>2.6023099507250743E-4</v>
      </c>
      <c r="BE74" s="44">
        <v>9.4123811537132952E-5</v>
      </c>
      <c r="BF74" s="44">
        <v>2.8470382410452581E-4</v>
      </c>
      <c r="BG74" s="44">
        <v>4.1215349668227274E-4</v>
      </c>
      <c r="BH74" s="44">
        <v>2.2969858323889159E-4</v>
      </c>
      <c r="BI74" s="44">
        <v>2.405102207261318E-4</v>
      </c>
      <c r="BJ74" s="44">
        <v>2.9045697213632183E-4</v>
      </c>
      <c r="BK74" s="44">
        <v>3.1789123876133546E-4</v>
      </c>
      <c r="BL74" s="44">
        <v>2.7689380617764169E-4</v>
      </c>
      <c r="BM74" s="44">
        <v>3.0843146197776037E-4</v>
      </c>
      <c r="BN74" s="44">
        <v>4.0702690179585338E-4</v>
      </c>
      <c r="BO74" s="44">
        <v>7.7930651108120092E-4</v>
      </c>
      <c r="BP74" s="44">
        <v>4.2328907345523878E-4</v>
      </c>
      <c r="BQ74" s="44">
        <v>2.8322730464090499E-4</v>
      </c>
      <c r="BR74" s="44">
        <v>2.705433557702977E-4</v>
      </c>
      <c r="BS74" s="44">
        <v>2.4155664651956757E-4</v>
      </c>
      <c r="BT74" s="44">
        <v>2.8259731287908824E-4</v>
      </c>
      <c r="BU74" s="44">
        <v>4.4219496146196601E-4</v>
      </c>
      <c r="BV74" s="44">
        <v>9.0487842154419193E-4</v>
      </c>
      <c r="BW74" s="44">
        <v>3.4953605458972495E-4</v>
      </c>
    </row>
    <row r="75" spans="1:75">
      <c r="A75" s="3" t="str">
        <f>Cotacao!C75</f>
        <v>10/8/2019 16:56:00</v>
      </c>
      <c r="B75" s="6">
        <f>IFERROR(LN(Cotacao!D76/Cotacao!D75),B74)</f>
        <v>8.7591800898815537E-3</v>
      </c>
      <c r="C75" s="6">
        <f>IFERROR(LN(Cotacao!F76/Cotacao!F75),C74)</f>
        <v>1.7220597751670341E-2</v>
      </c>
      <c r="D75" s="6">
        <f>IFERROR(LN(Cotacao!H76/Cotacao!H75),D74)</f>
        <v>-4.4627202662252796E-3</v>
      </c>
      <c r="E75" s="6">
        <f>IFERROR(LN(Cotacao!J76/Cotacao!J75),E74)</f>
        <v>1.3182865114878272E-2</v>
      </c>
      <c r="F75" s="6">
        <f>IFERROR(LN(Cotacao!L76/Cotacao!L75),F74)</f>
        <v>-6.8692476188830466E-3</v>
      </c>
      <c r="G75" s="6">
        <f>IFERROR(LN(Cotacao!N76/Cotacao!N75),G74)</f>
        <v>1.552953154490079E-2</v>
      </c>
      <c r="H75" s="6">
        <f>IFERROR(LN(Cotacao!P76/Cotacao!P75),H74)</f>
        <v>1.4846508116994638E-2</v>
      </c>
      <c r="I75" s="6">
        <f>IFERROR(LN(Cotacao!R76/Cotacao!R75),I74)</f>
        <v>-1.6863410404364776E-3</v>
      </c>
      <c r="J75" s="6">
        <f>IFERROR(LN(Cotacao!T76/Cotacao!T75),J74)</f>
        <v>2.441222565456562E-2</v>
      </c>
      <c r="K75" s="6">
        <f>IFERROR(LN(Cotacao!V76/Cotacao!V75),K74)</f>
        <v>3.8221212820197671E-2</v>
      </c>
      <c r="L75" s="6">
        <f>IFERROR(LN(Cotacao!X76/Cotacao!X75),L74)</f>
        <v>5.939771387784158E-3</v>
      </c>
      <c r="M75" s="6">
        <f>IFERROR(LN(Profit!B75/Profit!B74),M74)</f>
        <v>-3.7119567491399287E-3</v>
      </c>
      <c r="N75" s="6">
        <f>IFERROR(LN(Cotacao!AB76/Cotacao!AB75),N74)</f>
        <v>4.2964554903688408E-4</v>
      </c>
      <c r="O75" s="6">
        <f>IFERROR(LN(Cotacao!AD76/Cotacao!AD75),O74)</f>
        <v>-1.5607897665990829E-2</v>
      </c>
      <c r="P75" s="6">
        <f>IFERROR(LN(Cotacao!AF76/Cotacao!AF75),P74)</f>
        <v>-2.5403567600139339E-2</v>
      </c>
      <c r="Q75" s="6">
        <f>IFERROR(LN(Cotacao!AH76/Cotacao!AH75),Q74)</f>
        <v>7.6931910371020786E-3</v>
      </c>
      <c r="R75" s="6">
        <f>IFERROR(LN(Cotacao!AJ76/Cotacao!AJ75),R74)</f>
        <v>7.739624339074728E-3</v>
      </c>
      <c r="S75" s="6">
        <f>IFERROR(LN(Cotacao!AL76/Cotacao!AL75),S74)</f>
        <v>7.782140442054949E-3</v>
      </c>
      <c r="T75" s="6">
        <f>IFERROR(LN(Cotacao!AN76/Cotacao!AN75),T74)</f>
        <v>1.708501188493346E-2</v>
      </c>
      <c r="U75" s="6">
        <f>IFERROR(LN(Cotacao!AP76/Cotacao!AP75),U74)</f>
        <v>2.5593994082459689E-4</v>
      </c>
      <c r="V75" s="6">
        <f>IFERROR(LN(Cotacao!AR76/Cotacao!AR75),V74)</f>
        <v>-8.0465342512138823E-3</v>
      </c>
      <c r="W75" s="6">
        <f>IFERROR(LN(Cotacao!AT76/Cotacao!AT75),W74)</f>
        <v>-1.2422519998557209E-2</v>
      </c>
      <c r="X75" s="6">
        <f>IFERROR(LN(Cotacao!AV76/Cotacao!AV75),X74)</f>
        <v>7.1174677688639549E-3</v>
      </c>
      <c r="Y75" s="6">
        <f>IFERROR(LN(Cotacao!AX76/Cotacao!AX75),Y74)</f>
        <v>-4.131377873263841E-4</v>
      </c>
      <c r="Z75" s="6">
        <f>IFERROR(LN(Cotacao!AZ76/Cotacao!AZ75),Z74)</f>
        <v>6.6298585386695818E-3</v>
      </c>
      <c r="AA75" s="6">
        <f>IFERROR(LN(Cotacao!BB76/Cotacao!BB75),AA74)</f>
        <v>8.0681746495103995E-3</v>
      </c>
      <c r="AB75" s="6">
        <f>IFERROR(LN(Cotacao!BD76/Cotacao!BD75),AB74)</f>
        <v>1.8478600884796262E-3</v>
      </c>
      <c r="AC75" s="6">
        <f>IFERROR(LN(Cotacao!BF76/Cotacao!BF75),AC74)</f>
        <v>-9.9174366573459155E-3</v>
      </c>
      <c r="AD75" s="6">
        <f>IFERROR(LN(Cotacao!BH76/Cotacao!BH75),AD74)</f>
        <v>-2.5873209275989986E-2</v>
      </c>
      <c r="AE75" s="6">
        <f>IFERROR(LN(Cotacao!BJ76/Cotacao!BJ75),AE74)</f>
        <v>-4.9373557379470993E-3</v>
      </c>
      <c r="AF75" s="6">
        <f>IFERROR(LN(Cotacao!BL76/Cotacao!BL75),AF74)</f>
        <v>2.6269717383932572E-3</v>
      </c>
      <c r="AG75" s="6">
        <f>IFERROR(LN(Cotacao!BN76/Cotacao!BN75),AG74)</f>
        <v>1.376168507268153E-2</v>
      </c>
      <c r="AH75" s="6">
        <f>IFERROR(LN(Cotacao!BP76/Cotacao!BP75),AH74)</f>
        <v>1.9033692233302583E-2</v>
      </c>
      <c r="AI75" s="6">
        <f>IFERROR(LN(Cotacao!BR76/Cotacao!BR75),AI74)</f>
        <v>1.0568951349234345E-2</v>
      </c>
      <c r="AJ75" s="6">
        <f>IFERROR(LN(Profit!C75/Profit!C74),AJ74)</f>
        <v>0</v>
      </c>
      <c r="AK75" s="6">
        <f>IFERROR(LN(Cotacao!BV76/Cotacao!BV75),AK74)</f>
        <v>1.259648784339208E-2</v>
      </c>
      <c r="AL75" s="6">
        <f>IFERROR(LN(Cotacao!BX76/Cotacao!BX75),AL74)</f>
        <v>6.5846711661583235E-3</v>
      </c>
      <c r="AN75" s="44" t="s">
        <v>14</v>
      </c>
      <c r="AO75" s="44">
        <f t="shared" si="190"/>
        <v>2.6259284137850134E-4</v>
      </c>
      <c r="AP75" s="44">
        <f t="shared" si="191"/>
        <v>1.9484130098077111E-4</v>
      </c>
      <c r="AQ75" s="44">
        <f t="shared" si="192"/>
        <v>2.4191597457703769E-4</v>
      </c>
      <c r="AR75" s="44">
        <f t="shared" si="193"/>
        <v>2.641787211696875E-4</v>
      </c>
      <c r="AS75" s="44">
        <f t="shared" si="194"/>
        <v>2.7173552440238453E-4</v>
      </c>
      <c r="AT75" s="44">
        <f t="shared" si="195"/>
        <v>2.4156550084366795E-4</v>
      </c>
      <c r="AU75" s="44">
        <f t="shared" si="196"/>
        <v>1.9645904171853643E-4</v>
      </c>
      <c r="AV75" s="44">
        <f t="shared" si="197"/>
        <v>2.3506410172636068E-4</v>
      </c>
      <c r="AW75" s="44">
        <f t="shared" si="198"/>
        <v>3.9002172181929411E-4</v>
      </c>
      <c r="AX75" s="44">
        <f t="shared" si="199"/>
        <v>3.0469539482659314E-4</v>
      </c>
      <c r="AY75" s="44">
        <f t="shared" si="200"/>
        <v>1.5366350321409678E-4</v>
      </c>
      <c r="AZ75" s="44">
        <f t="shared" ref="AZ75:AZ98" si="201">AZ114</f>
        <v>2.4482430004432216E-4</v>
      </c>
      <c r="BA75" s="44">
        <f t="array" ref="BA75:BW75">TRANSPOSE(AZ76:AZ98)</f>
        <v>-1.1429996680870356E-6</v>
      </c>
      <c r="BB75" s="44">
        <v>1.7092783055564588E-4</v>
      </c>
      <c r="BC75" s="44">
        <v>3.7174731803752141E-4</v>
      </c>
      <c r="BD75" s="44">
        <v>2.7817410253282008E-4</v>
      </c>
      <c r="BE75" s="44">
        <v>1.9444422857313576E-4</v>
      </c>
      <c r="BF75" s="44">
        <v>2.852530724174129E-4</v>
      </c>
      <c r="BG75" s="44">
        <v>1.4245662793190998E-4</v>
      </c>
      <c r="BH75" s="44">
        <v>9.444522551723143E-5</v>
      </c>
      <c r="BI75" s="44">
        <v>9.7446857399503367E-5</v>
      </c>
      <c r="BJ75" s="44">
        <v>1.1046810714334267E-4</v>
      </c>
      <c r="BK75" s="44">
        <v>1.2073143162296349E-4</v>
      </c>
      <c r="BL75" s="44">
        <v>1.1488952466212426E-4</v>
      </c>
      <c r="BM75" s="44">
        <v>1.7012877895089914E-4</v>
      </c>
      <c r="BN75" s="44">
        <v>1.1358620743585691E-4</v>
      </c>
      <c r="BO75" s="44">
        <v>4.5721723696772967E-4</v>
      </c>
      <c r="BP75" s="44">
        <v>2.6154727002534604E-4</v>
      </c>
      <c r="BQ75" s="44">
        <v>2.3692544551721193E-4</v>
      </c>
      <c r="BR75" s="44">
        <v>8.6840119563643696E-5</v>
      </c>
      <c r="BS75" s="44">
        <v>2.6512822461421866E-4</v>
      </c>
      <c r="BT75" s="44">
        <v>3.4211258624567196E-4</v>
      </c>
      <c r="BU75" s="44">
        <v>3.5899537482494238E-4</v>
      </c>
      <c r="BV75" s="44">
        <v>5.1094750975611144E-4</v>
      </c>
      <c r="BW75" s="44">
        <v>2.5906524602910524E-4</v>
      </c>
    </row>
    <row r="76" spans="1:75">
      <c r="A76" s="3" t="str">
        <f>Cotacao!C76</f>
        <v>10/9/2019 16:56:00</v>
      </c>
      <c r="B76" s="6">
        <f>IFERROR(LN(Cotacao!D77/Cotacao!D76),B75)</f>
        <v>2.0144566092467495E-2</v>
      </c>
      <c r="C76" s="6">
        <f>IFERROR(LN(Cotacao!F77/Cotacao!F76),C75)</f>
        <v>7.5930509075971958E-3</v>
      </c>
      <c r="D76" s="6">
        <f>IFERROR(LN(Cotacao!H77/Cotacao!H76),D75)</f>
        <v>-6.6131558917171184E-3</v>
      </c>
      <c r="E76" s="6">
        <f>IFERROR(LN(Cotacao!J77/Cotacao!J76),E75)</f>
        <v>6.5181438837030564E-2</v>
      </c>
      <c r="F76" s="6">
        <f>IFERROR(LN(Cotacao!L77/Cotacao!L76),F75)</f>
        <v>-1.4419475471958806E-2</v>
      </c>
      <c r="G76" s="6">
        <f>IFERROR(LN(Cotacao!N77/Cotacao!N76),G75)</f>
        <v>8.0775883463667306E-3</v>
      </c>
      <c r="H76" s="6">
        <f>IFERROR(LN(Cotacao!P77/Cotacao!P76),H75)</f>
        <v>8.7336799687546315E-3</v>
      </c>
      <c r="I76" s="6">
        <f>IFERROR(LN(Cotacao!R77/Cotacao!R76),I75)</f>
        <v>1.8395167528299894E-2</v>
      </c>
      <c r="J76" s="6">
        <f>IFERROR(LN(Cotacao!T77/Cotacao!T76),J75)</f>
        <v>2.240897296287723E-3</v>
      </c>
      <c r="K76" s="6">
        <f>IFERROR(LN(Cotacao!V77/Cotacao!V76),K75)</f>
        <v>-1.077209698191107E-2</v>
      </c>
      <c r="L76" s="6">
        <f>IFERROR(LN(Cotacao!X77/Cotacao!X76),L75)</f>
        <v>7.6113158564778533E-4</v>
      </c>
      <c r="M76" s="6">
        <f>IFERROR(LN(Profit!B76/Profit!B75),M75)</f>
        <v>-1.1162791856817755E-3</v>
      </c>
      <c r="N76" s="6">
        <f>IFERROR(LN(Cotacao!AB77/Cotacao!AB76),N75)</f>
        <v>1.2878301844286859E-3</v>
      </c>
      <c r="O76" s="6">
        <f>IFERROR(LN(Cotacao!AD77/Cotacao!AD76),O75)</f>
        <v>8.3916576362483807E-3</v>
      </c>
      <c r="P76" s="6">
        <f>IFERROR(LN(Cotacao!AF77/Cotacao!AF76),P75)</f>
        <v>0</v>
      </c>
      <c r="Q76" s="6">
        <f>IFERROR(LN(Cotacao!AH77/Cotacao!AH76),Q75)</f>
        <v>3.3799364132253942E-2</v>
      </c>
      <c r="R76" s="6">
        <f>IFERROR(LN(Cotacao!AJ77/Cotacao!AJ76),R75)</f>
        <v>1.7978012295408175E-2</v>
      </c>
      <c r="S76" s="6">
        <f>IFERROR(LN(Cotacao!AL77/Cotacao!AL76),S75)</f>
        <v>2.0461071871340025E-2</v>
      </c>
      <c r="T76" s="6">
        <f>IFERROR(LN(Cotacao!AN77/Cotacao!AN76),T75)</f>
        <v>8.4884610240772256E-3</v>
      </c>
      <c r="U76" s="6">
        <f>IFERROR(LN(Cotacao!AP77/Cotacao!AP76),U75)</f>
        <v>-3.4126781322596115E-4</v>
      </c>
      <c r="V76" s="6">
        <f>IFERROR(LN(Cotacao!AR77/Cotacao!AR76),V75)</f>
        <v>1.7937224540269007E-3</v>
      </c>
      <c r="W76" s="6">
        <f>IFERROR(LN(Cotacao!AT77/Cotacao!AT76),W75)</f>
        <v>0</v>
      </c>
      <c r="X76" s="6">
        <f>IFERROR(LN(Cotacao!AV77/Cotacao!AV76),X75)</f>
        <v>-3.5524016043677721E-3</v>
      </c>
      <c r="Y76" s="6">
        <f>IFERROR(LN(Cotacao!AX77/Cotacao!AX76),Y75)</f>
        <v>9.7048216248797701E-3</v>
      </c>
      <c r="Z76" s="6">
        <f>IFERROR(LN(Cotacao!AZ77/Cotacao!AZ76),Z75)</f>
        <v>-8.8496152769824993E-3</v>
      </c>
      <c r="AA76" s="6">
        <f>IFERROR(LN(Cotacao!BB77/Cotacao!BB76),AA75)</f>
        <v>1.2746974320005163E-3</v>
      </c>
      <c r="AB76" s="6">
        <f>IFERROR(LN(Cotacao!BD77/Cotacao!BD76),AB75)</f>
        <v>-1.9888784853789317E-2</v>
      </c>
      <c r="AC76" s="6">
        <f>IFERROR(LN(Cotacao!BF77/Cotacao!BF76),AC75)</f>
        <v>-2.1491760720345816E-2</v>
      </c>
      <c r="AD76" s="6">
        <f>IFERROR(LN(Cotacao!BH77/Cotacao!BH76),AD75)</f>
        <v>-2.3055776299925963E-2</v>
      </c>
      <c r="AE76" s="6">
        <f>IFERROR(LN(Cotacao!BJ77/Cotacao!BJ76),AE75)</f>
        <v>8.6710252899957936E-3</v>
      </c>
      <c r="AF76" s="6">
        <f>IFERROR(LN(Cotacao!BL77/Cotacao!BL76),AF75)</f>
        <v>4.3630086663170925E-3</v>
      </c>
      <c r="AG76" s="6">
        <f>IFERROR(LN(Cotacao!BN77/Cotacao!BN76),AG75)</f>
        <v>3.6380212930714837E-3</v>
      </c>
      <c r="AH76" s="6">
        <f>IFERROR(LN(Cotacao!BP77/Cotacao!BP76),AH75)</f>
        <v>8.2614063561353319E-3</v>
      </c>
      <c r="AI76" s="6">
        <f>IFERROR(LN(Cotacao!BR77/Cotacao!BR76),AI75)</f>
        <v>1.236094100528306E-3</v>
      </c>
      <c r="AJ76" s="6">
        <f>IFERROR(LN(Profit!C76/Profit!C75),AJ75)</f>
        <v>-6.0371032863417171E-3</v>
      </c>
      <c r="AK76" s="6">
        <f>IFERROR(LN(Cotacao!BV77/Cotacao!BV76),AK75)</f>
        <v>5.5977045489302574E-3</v>
      </c>
      <c r="AL76" s="6">
        <f>IFERROR(LN(Cotacao!BX77/Cotacao!BX76),AL75)</f>
        <v>-5.1948168771039109E-3</v>
      </c>
      <c r="AN76" s="44" t="s">
        <v>15</v>
      </c>
      <c r="AO76" s="44">
        <f t="shared" si="190"/>
        <v>-2.9339046518115248E-5</v>
      </c>
      <c r="AP76" s="44">
        <f t="shared" si="191"/>
        <v>-4.9419038812265883E-5</v>
      </c>
      <c r="AQ76" s="44">
        <f t="shared" si="192"/>
        <v>-3.8438916044341381E-5</v>
      </c>
      <c r="AR76" s="44">
        <f t="shared" si="193"/>
        <v>-3.3173516465606557E-6</v>
      </c>
      <c r="AS76" s="44">
        <f t="shared" si="194"/>
        <v>-4.2892828059181718E-5</v>
      </c>
      <c r="AT76" s="44">
        <f t="shared" si="195"/>
        <v>-4.4565562956760368E-5</v>
      </c>
      <c r="AU76" s="44">
        <f t="shared" si="196"/>
        <v>-5.902916000881572E-5</v>
      </c>
      <c r="AV76" s="44">
        <f t="shared" si="197"/>
        <v>-3.8262644932757143E-5</v>
      </c>
      <c r="AW76" s="44">
        <f t="shared" si="198"/>
        <v>-3.1303907964561069E-5</v>
      </c>
      <c r="AX76" s="44">
        <f t="shared" si="199"/>
        <v>-2.0373779281968395E-5</v>
      </c>
      <c r="AY76" s="44">
        <f t="shared" si="200"/>
        <v>-2.3988307762264043E-5</v>
      </c>
      <c r="AZ76" s="44">
        <f t="shared" si="201"/>
        <v>-1.1429996680870356E-6</v>
      </c>
      <c r="BA76" s="44">
        <f t="shared" ref="BA76:BA98" si="202">BA115</f>
        <v>3.6816421200732146E-4</v>
      </c>
      <c r="BB76" s="44">
        <f t="array" ref="BB76:BW76">TRANSPOSE(BA77:BA98)</f>
        <v>-2.1488254549838363E-6</v>
      </c>
      <c r="BC76" s="44">
        <v>-3.775045896950955E-5</v>
      </c>
      <c r="BD76" s="44">
        <v>-5.6022966766148466E-5</v>
      </c>
      <c r="BE76" s="44">
        <v>-1.0251878071060255E-4</v>
      </c>
      <c r="BF76" s="44">
        <v>-2.4804186730538616E-5</v>
      </c>
      <c r="BG76" s="44">
        <v>-3.1973087911247435E-5</v>
      </c>
      <c r="BH76" s="44">
        <v>-2.6588606455583591E-5</v>
      </c>
      <c r="BI76" s="44">
        <v>-2.8439898258176093E-5</v>
      </c>
      <c r="BJ76" s="44">
        <v>-3.7630483974681021E-5</v>
      </c>
      <c r="BK76" s="44">
        <v>-1.1410934123405922E-5</v>
      </c>
      <c r="BL76" s="44">
        <v>-1.8973766240387179E-5</v>
      </c>
      <c r="BM76" s="44">
        <v>-7.2754848974341919E-5</v>
      </c>
      <c r="BN76" s="44">
        <v>-3.8073861832502851E-5</v>
      </c>
      <c r="BO76" s="44">
        <v>3.3260961088091595E-5</v>
      </c>
      <c r="BP76" s="44">
        <v>4.443513398365262E-5</v>
      </c>
      <c r="BQ76" s="44">
        <v>-7.5586378918383708E-5</v>
      </c>
      <c r="BR76" s="44">
        <v>-3.9508524662734335E-5</v>
      </c>
      <c r="BS76" s="44">
        <v>-4.0557829162783001E-5</v>
      </c>
      <c r="BT76" s="44">
        <v>3.6326647029073248E-5</v>
      </c>
      <c r="BU76" s="44">
        <v>-2.4610993537893145E-5</v>
      </c>
      <c r="BV76" s="44">
        <v>-2.326210331972351E-5</v>
      </c>
      <c r="BW76" s="44">
        <v>-2.4442896687287611E-6</v>
      </c>
    </row>
    <row r="77" spans="1:75">
      <c r="A77" s="3" t="str">
        <f>Cotacao!C77</f>
        <v>10/10/2019 16:56:00</v>
      </c>
      <c r="B77" s="6">
        <f>IFERROR(LN(Cotacao!D78/Cotacao!D77),B76)</f>
        <v>2.8449521322313448E-3</v>
      </c>
      <c r="C77" s="6">
        <f>IFERROR(LN(Cotacao!F78/Cotacao!F77),C76)</f>
        <v>3.5956926598278691E-2</v>
      </c>
      <c r="D77" s="6">
        <f>IFERROR(LN(Cotacao!H78/Cotacao!H77),D76)</f>
        <v>2.1334767717077104E-2</v>
      </c>
      <c r="E77" s="6">
        <f>IFERROR(LN(Cotacao!J78/Cotacao!J77),E76)</f>
        <v>2.0816016137725213E-2</v>
      </c>
      <c r="F77" s="6">
        <f>IFERROR(LN(Cotacao!L78/Cotacao!L77),F76)</f>
        <v>1.865228602457969E-2</v>
      </c>
      <c r="G77" s="6">
        <f>IFERROR(LN(Cotacao!N78/Cotacao!N77),G76)</f>
        <v>2.1489087941925878E-2</v>
      </c>
      <c r="H77" s="6">
        <f>IFERROR(LN(Cotacao!P78/Cotacao!P77),H76)</f>
        <v>1.7241806434505954E-2</v>
      </c>
      <c r="I77" s="6">
        <f>IFERROR(LN(Cotacao!R78/Cotacao!R77),I76)</f>
        <v>1.0712916629770752E-2</v>
      </c>
      <c r="J77" s="6">
        <f>IFERROR(LN(Cotacao!T78/Cotacao!T77),J76)</f>
        <v>5.594405740313998E-4</v>
      </c>
      <c r="K77" s="6">
        <f>IFERROR(LN(Cotacao!V78/Cotacao!V77),K76)</f>
        <v>7.1942756340272309E-3</v>
      </c>
      <c r="L77" s="6">
        <f>IFERROR(LN(Cotacao!X78/Cotacao!X77),L76)</f>
        <v>2.1955759537689622E-3</v>
      </c>
      <c r="M77" s="6">
        <f>IFERROR(LN(Profit!B77/Profit!B76),M76)</f>
        <v>-9.3511061054936933E-3</v>
      </c>
      <c r="N77" s="6">
        <f>IFERROR(LN(Cotacao!AB78/Cotacao!AB77),N76)</f>
        <v>4.7079051219056818E-3</v>
      </c>
      <c r="O77" s="6">
        <f>IFERROR(LN(Cotacao!AD78/Cotacao!AD77),O76)</f>
        <v>2.4760549680652118E-2</v>
      </c>
      <c r="P77" s="6">
        <f>IFERROR(LN(Cotacao!AF78/Cotacao!AF77),P76)</f>
        <v>5.6681837554895559E-2</v>
      </c>
      <c r="Q77" s="6">
        <f>IFERROR(LN(Cotacao!AH78/Cotacao!AH77),Q76)</f>
        <v>2.9205246328749913E-2</v>
      </c>
      <c r="R77" s="6">
        <f>IFERROR(LN(Cotacao!AJ78/Cotacao!AJ77),R76)</f>
        <v>4.8878124415948059E-3</v>
      </c>
      <c r="S77" s="6">
        <f>IFERROR(LN(Cotacao!AL78/Cotacao!AL77),S76)</f>
        <v>-2.5348556031880663E-3</v>
      </c>
      <c r="T77" s="6">
        <f>IFERROR(LN(Cotacao!AN78/Cotacao!AN77),T76)</f>
        <v>9.3836637420445252E-3</v>
      </c>
      <c r="U77" s="6">
        <f>IFERROR(LN(Cotacao!AP78/Cotacao!AP77),U76)</f>
        <v>2.2161618344108897E-3</v>
      </c>
      <c r="V77" s="6">
        <f>IFERROR(LN(Cotacao!AR78/Cotacao!AR77),V76)</f>
        <v>9.8083710985198986E-3</v>
      </c>
      <c r="W77" s="6">
        <f>IFERROR(LN(Cotacao!AT78/Cotacao!AT77),W76)</f>
        <v>0</v>
      </c>
      <c r="X77" s="6">
        <f>IFERROR(LN(Cotacao!AV78/Cotacao!AV77),X76)</f>
        <v>-3.6364972870665574E-3</v>
      </c>
      <c r="Y77" s="6">
        <f>IFERROR(LN(Cotacao!AX78/Cotacao!AX77),Y76)</f>
        <v>-2.2943307343950554E-3</v>
      </c>
      <c r="Z77" s="6">
        <f>IFERROR(LN(Cotacao!AZ78/Cotacao!AZ77),Z76)</f>
        <v>-4.4543503493801968E-3</v>
      </c>
      <c r="AA77" s="6">
        <f>IFERROR(LN(Cotacao!BB78/Cotacao!BB77),AA76)</f>
        <v>4.0681469784947912E-3</v>
      </c>
      <c r="AB77" s="6">
        <f>IFERROR(LN(Cotacao!BD78/Cotacao!BD77),AB76)</f>
        <v>4.11985714405406E-2</v>
      </c>
      <c r="AC77" s="6">
        <f>IFERROR(LN(Cotacao!BF78/Cotacao!BF77),AC76)</f>
        <v>1.3568523112898034E-3</v>
      </c>
      <c r="AD77" s="6">
        <f>IFERROR(LN(Cotacao!BH78/Cotacao!BH77),AD76)</f>
        <v>-4.9685912532783467E-3</v>
      </c>
      <c r="AE77" s="6">
        <f>IFERROR(LN(Cotacao!BJ78/Cotacao!BJ77),AE76)</f>
        <v>1.2345835822299362E-2</v>
      </c>
      <c r="AF77" s="6">
        <f>IFERROR(LN(Cotacao!BL78/Cotacao!BL77),AF76)</f>
        <v>3.0019406824885752E-2</v>
      </c>
      <c r="AG77" s="6">
        <f>IFERROR(LN(Cotacao!BN78/Cotacao!BN77),AG76)</f>
        <v>2.2220642680149793E-2</v>
      </c>
      <c r="AH77" s="6">
        <f>IFERROR(LN(Cotacao!BP78/Cotacao!BP77),AH76)</f>
        <v>1.9259854594589502E-2</v>
      </c>
      <c r="AI77" s="6">
        <f>IFERROR(LN(Cotacao!BR78/Cotacao!BR77),AI76)</f>
        <v>4.8819576366672293E-2</v>
      </c>
      <c r="AJ77" s="6">
        <f>IFERROR(LN(Profit!C77/Profit!C76),AJ76)</f>
        <v>-2.6294240532687155E-2</v>
      </c>
      <c r="AK77" s="6">
        <f>IFERROR(LN(Cotacao!BV78/Cotacao!BV77),AK76)</f>
        <v>1.9595076829509422E-2</v>
      </c>
      <c r="AL77" s="6">
        <f>IFERROR(LN(Cotacao!BX78/Cotacao!BX77),AL76)</f>
        <v>6.920442844573757E-3</v>
      </c>
      <c r="AN77" s="44" t="s">
        <v>16</v>
      </c>
      <c r="AO77" s="44">
        <f t="shared" si="190"/>
        <v>5.2427005513340725E-4</v>
      </c>
      <c r="AP77" s="44">
        <f t="shared" si="191"/>
        <v>2.460600576185815E-4</v>
      </c>
      <c r="AQ77" s="44">
        <f t="shared" si="192"/>
        <v>2.8605242835469792E-4</v>
      </c>
      <c r="AR77" s="44">
        <f t="shared" si="193"/>
        <v>6.9999768109807437E-4</v>
      </c>
      <c r="AS77" s="44">
        <f t="shared" si="194"/>
        <v>4.2914989168664036E-4</v>
      </c>
      <c r="AT77" s="44">
        <f t="shared" si="195"/>
        <v>3.7689505609893558E-4</v>
      </c>
      <c r="AU77" s="44">
        <f t="shared" si="196"/>
        <v>3.6100818966785673E-4</v>
      </c>
      <c r="AV77" s="44">
        <f t="shared" si="197"/>
        <v>5.3906363618792916E-4</v>
      </c>
      <c r="AW77" s="44">
        <f t="shared" si="198"/>
        <v>5.1822489310206438E-4</v>
      </c>
      <c r="AX77" s="44">
        <f t="shared" si="199"/>
        <v>4.4686534268661694E-4</v>
      </c>
      <c r="AY77" s="44">
        <f t="shared" si="200"/>
        <v>2.8541388159082252E-4</v>
      </c>
      <c r="AZ77" s="44">
        <f t="shared" si="201"/>
        <v>1.7092783055564588E-4</v>
      </c>
      <c r="BA77" s="44">
        <f t="shared" si="202"/>
        <v>-2.1488254549838363E-6</v>
      </c>
      <c r="BB77" s="44">
        <f t="shared" ref="BB77:BB98" si="203">BB116</f>
        <v>1.05762325175604E-3</v>
      </c>
      <c r="BC77" s="44">
        <f t="array" ref="BC77:BW77">TRANSPOSE(BB78:BB98)</f>
        <v>6.3738358386330996E-4</v>
      </c>
      <c r="BD77" s="44">
        <v>5.7803776172132392E-4</v>
      </c>
      <c r="BE77" s="44">
        <v>2.5499002871451972E-4</v>
      </c>
      <c r="BF77" s="44">
        <v>5.5258357019648946E-4</v>
      </c>
      <c r="BG77" s="44">
        <v>2.8058532047391604E-4</v>
      </c>
      <c r="BH77" s="44">
        <v>1.7511138615445716E-4</v>
      </c>
      <c r="BI77" s="44">
        <v>2.1253062441284974E-4</v>
      </c>
      <c r="BJ77" s="44">
        <v>1.6296925889360819E-4</v>
      </c>
      <c r="BK77" s="44">
        <v>2.1711642570903625E-4</v>
      </c>
      <c r="BL77" s="44">
        <v>1.691733422881233E-4</v>
      </c>
      <c r="BM77" s="44">
        <v>3.1845059820529245E-4</v>
      </c>
      <c r="BN77" s="44">
        <v>2.8165661199961063E-4</v>
      </c>
      <c r="BO77" s="44">
        <v>7.1259910353851355E-4</v>
      </c>
      <c r="BP77" s="44">
        <v>5.2811784898089474E-4</v>
      </c>
      <c r="BQ77" s="44">
        <v>4.3068313450302694E-4</v>
      </c>
      <c r="BR77" s="44">
        <v>1.8156521356956239E-4</v>
      </c>
      <c r="BS77" s="44">
        <v>4.6710722576197712E-4</v>
      </c>
      <c r="BT77" s="44">
        <v>4.5853700329664699E-4</v>
      </c>
      <c r="BU77" s="44">
        <v>6.966504730403282E-4</v>
      </c>
      <c r="BV77" s="44">
        <v>1.0719586324804051E-3</v>
      </c>
      <c r="BW77" s="44">
        <v>4.362077901402664E-4</v>
      </c>
    </row>
    <row r="78" spans="1:75">
      <c r="A78" s="3" t="str">
        <f>Cotacao!C78</f>
        <v>10/11/2019 16:56:00</v>
      </c>
      <c r="B78" s="6">
        <f>IFERROR(LN(Cotacao!D79/Cotacao!D78),B77)</f>
        <v>1.1299555253933247E-2</v>
      </c>
      <c r="C78" s="6">
        <f>IFERROR(LN(Cotacao!F79/Cotacao!F78),C77)</f>
        <v>0</v>
      </c>
      <c r="D78" s="6">
        <f>IFERROR(LN(Cotacao!H79/Cotacao!H78),D77)</f>
        <v>1.6335345408277278E-2</v>
      </c>
      <c r="E78" s="6">
        <f>IFERROR(LN(Cotacao!J79/Cotacao!J78),E77)</f>
        <v>-2.5207766718704408E-2</v>
      </c>
      <c r="F78" s="6">
        <f>IFERROR(LN(Cotacao!L79/Cotacao!L78),F77)</f>
        <v>-1.0082335341512478E-2</v>
      </c>
      <c r="G78" s="6">
        <f>IFERROR(LN(Cotacao!N79/Cotacao!N78),G77)</f>
        <v>1.6400211394005645E-2</v>
      </c>
      <c r="H78" s="6">
        <f>IFERROR(LN(Cotacao!P79/Cotacao!P78),H77)</f>
        <v>9.5271220779658116E-3</v>
      </c>
      <c r="I78" s="6">
        <f>IFERROR(LN(Cotacao!R79/Cotacao!R78),I77)</f>
        <v>8.5697321038084272E-3</v>
      </c>
      <c r="J78" s="6">
        <f>IFERROR(LN(Cotacao!T79/Cotacao!T78),J77)</f>
        <v>2.7925178716734691E-3</v>
      </c>
      <c r="K78" s="6">
        <f>IFERROR(LN(Cotacao!V79/Cotacao!V78),K77)</f>
        <v>1.069528911674795E-2</v>
      </c>
      <c r="L78" s="6">
        <f>IFERROR(LN(Cotacao!X79/Cotacao!X78),L77)</f>
        <v>-1.0173890214382015E-2</v>
      </c>
      <c r="M78" s="6">
        <f>IFERROR(LN(Profit!B78/Profit!B77),M77)</f>
        <v>-7.9230748373273225E-3</v>
      </c>
      <c r="N78" s="6">
        <f>IFERROR(LN(Cotacao!AB79/Cotacao!AB78),N77)</f>
        <v>1.651530232919993E-2</v>
      </c>
      <c r="O78" s="6">
        <f>IFERROR(LN(Cotacao!AD79/Cotacao!AD78),O77)</f>
        <v>-2.7210901143605018E-3</v>
      </c>
      <c r="P78" s="6">
        <f>IFERROR(LN(Cotacao!AF79/Cotacao!AF78),P77)</f>
        <v>-3.0609597245120312E-2</v>
      </c>
      <c r="Q78" s="6">
        <f>IFERROR(LN(Cotacao!AH79/Cotacao!AH78),Q77)</f>
        <v>-1.3453581787757348E-2</v>
      </c>
      <c r="R78" s="6">
        <f>IFERROR(LN(Cotacao!AJ79/Cotacao!AJ78),R77)</f>
        <v>-1.5526231354565142E-3</v>
      </c>
      <c r="S78" s="6">
        <f>IFERROR(LN(Cotacao!AL79/Cotacao!AL78),S77)</f>
        <v>1.5113637810048106E-2</v>
      </c>
      <c r="T78" s="6">
        <f>IFERROR(LN(Cotacao!AN79/Cotacao!AN78),T77)</f>
        <v>5.887092196779067E-3</v>
      </c>
      <c r="U78" s="6">
        <f>IFERROR(LN(Cotacao!AP79/Cotacao!AP78),U77)</f>
        <v>-2.8990470508759468E-3</v>
      </c>
      <c r="V78" s="6">
        <f>IFERROR(LN(Cotacao!AR79/Cotacao!AR78),V77)</f>
        <v>-1.519921973339643E-2</v>
      </c>
      <c r="W78" s="6">
        <f>IFERROR(LN(Cotacao!AT79/Cotacao!AT78),W77)</f>
        <v>0</v>
      </c>
      <c r="X78" s="6">
        <f>IFERROR(LN(Cotacao!AV79/Cotacao!AV78),X77)</f>
        <v>2.9245001049768532E-3</v>
      </c>
      <c r="Y78" s="6">
        <f>IFERROR(LN(Cotacao!AX79/Cotacao!AX78),Y77)</f>
        <v>3.1942367140526842E-3</v>
      </c>
      <c r="Z78" s="6">
        <f>IFERROR(LN(Cotacao!AZ79/Cotacao!AZ78),Z77)</f>
        <v>6.6741070876929973E-3</v>
      </c>
      <c r="AA78" s="6">
        <f>IFERROR(LN(Cotacao!BB79/Cotacao!BB78),AA77)</f>
        <v>7.3315964862326732E-3</v>
      </c>
      <c r="AB78" s="6">
        <f>IFERROR(LN(Cotacao!BD79/Cotacao!BD78),AB77)</f>
        <v>2.1454935001259466E-2</v>
      </c>
      <c r="AC78" s="6">
        <f>IFERROR(LN(Cotacao!BF79/Cotacao!BF78),AC77)</f>
        <v>1.6807118316381191E-2</v>
      </c>
      <c r="AD78" s="6">
        <f>IFERROR(LN(Cotacao!BH79/Cotacao!BH78),AD77)</f>
        <v>1.7564407325941739E-3</v>
      </c>
      <c r="AE78" s="6">
        <f>IFERROR(LN(Cotacao!BJ79/Cotacao!BJ78),AE77)</f>
        <v>3.0627895305457308E-3</v>
      </c>
      <c r="AF78" s="6">
        <f>IFERROR(LN(Cotacao!BL79/Cotacao!BL78),AF77)</f>
        <v>3.3741069547576297E-3</v>
      </c>
      <c r="AG78" s="6">
        <f>IFERROR(LN(Cotacao!BN79/Cotacao!BN78),AG77)</f>
        <v>2.4387552271142423E-3</v>
      </c>
      <c r="AH78" s="6">
        <f>IFERROR(LN(Cotacao!BP79/Cotacao!BP78),AH77)</f>
        <v>1.8325092172269825E-3</v>
      </c>
      <c r="AI78" s="6">
        <f>IFERROR(LN(Cotacao!BR79/Cotacao!BR78),AI77)</f>
        <v>-5.8840837237555585E-4</v>
      </c>
      <c r="AJ78" s="6">
        <f>IFERROR(LN(Profit!C78/Profit!C77),AJ77)</f>
        <v>6.1974523283707204E-3</v>
      </c>
      <c r="AK78" s="6">
        <f>IFERROR(LN(Cotacao!BV79/Cotacao!BV78),AK77)</f>
        <v>4.5130725919895762E-3</v>
      </c>
      <c r="AL78" s="6">
        <f>IFERROR(LN(Cotacao!BX79/Cotacao!BX78),AL77)</f>
        <v>1.1996716287631506E-2</v>
      </c>
      <c r="AN78" s="44" t="s">
        <v>17</v>
      </c>
      <c r="AO78" s="44">
        <f t="shared" si="190"/>
        <v>7.9272261754467061E-4</v>
      </c>
      <c r="AP78" s="44">
        <f t="shared" si="191"/>
        <v>4.8020981598216725E-4</v>
      </c>
      <c r="AQ78" s="44">
        <f t="shared" si="192"/>
        <v>4.7376633122424348E-4</v>
      </c>
      <c r="AR78" s="44">
        <f t="shared" si="193"/>
        <v>8.9754554155807521E-4</v>
      </c>
      <c r="AS78" s="44">
        <f t="shared" si="194"/>
        <v>5.7124366705063503E-4</v>
      </c>
      <c r="AT78" s="44">
        <f t="shared" si="195"/>
        <v>5.5821144249680891E-4</v>
      </c>
      <c r="AU78" s="44">
        <f t="shared" si="196"/>
        <v>5.3275656048129832E-4</v>
      </c>
      <c r="AV78" s="44">
        <f t="shared" si="197"/>
        <v>6.3098560823925164E-4</v>
      </c>
      <c r="AW78" s="44">
        <f t="shared" si="198"/>
        <v>9.4327334439748374E-4</v>
      </c>
      <c r="AX78" s="44">
        <f t="shared" si="199"/>
        <v>7.9514104508207324E-4</v>
      </c>
      <c r="AY78" s="44">
        <f t="shared" si="200"/>
        <v>4.6567275175923319E-4</v>
      </c>
      <c r="AZ78" s="44">
        <f t="shared" si="201"/>
        <v>3.7174731803752141E-4</v>
      </c>
      <c r="BA78" s="44">
        <f t="shared" si="202"/>
        <v>-3.775045896950955E-5</v>
      </c>
      <c r="BB78" s="44">
        <f t="shared" si="203"/>
        <v>6.3738358386330996E-4</v>
      </c>
      <c r="BC78" s="44">
        <f t="shared" ref="BC78:BC98" si="204">BC117</f>
        <v>1.806116893219481E-3</v>
      </c>
      <c r="BD78" s="44">
        <f t="array" ref="BD78:BW78">TRANSPOSE(BC79:BC98)</f>
        <v>8.0262599095249449E-4</v>
      </c>
      <c r="BE78" s="44">
        <v>4.197714570223343E-4</v>
      </c>
      <c r="BF78" s="44">
        <v>8.636795694379187E-4</v>
      </c>
      <c r="BG78" s="44">
        <v>4.2671985943652151E-4</v>
      </c>
      <c r="BH78" s="44">
        <v>2.784631720967487E-4</v>
      </c>
      <c r="BI78" s="44">
        <v>2.8799804737136722E-4</v>
      </c>
      <c r="BJ78" s="44">
        <v>3.3076179274356421E-4</v>
      </c>
      <c r="BK78" s="44">
        <v>3.9211341853672224E-4</v>
      </c>
      <c r="BL78" s="44">
        <v>2.8815187532880006E-4</v>
      </c>
      <c r="BM78" s="44">
        <v>4.3799708379113194E-4</v>
      </c>
      <c r="BN78" s="44">
        <v>4.6998797667086771E-4</v>
      </c>
      <c r="BO78" s="44">
        <v>1.2873293129166605E-3</v>
      </c>
      <c r="BP78" s="44">
        <v>9.3728164028035303E-4</v>
      </c>
      <c r="BQ78" s="44">
        <v>6.9893372603558614E-4</v>
      </c>
      <c r="BR78" s="44">
        <v>3.1137175252084177E-4</v>
      </c>
      <c r="BS78" s="44">
        <v>8.4511890122873905E-4</v>
      </c>
      <c r="BT78" s="44">
        <v>8.2002309529327817E-4</v>
      </c>
      <c r="BU78" s="44">
        <v>1.0712540460292394E-3</v>
      </c>
      <c r="BV78" s="44">
        <v>1.5917835626293193E-3</v>
      </c>
      <c r="BW78" s="44">
        <v>7.457948305038645E-4</v>
      </c>
    </row>
    <row r="79" spans="1:75">
      <c r="A79" s="3" t="str">
        <f>Cotacao!C79</f>
        <v>10/14/2019 16:56:00</v>
      </c>
      <c r="B79" s="6">
        <f>IFERROR(LN(Cotacao!D80/Cotacao!D79),B78)</f>
        <v>2.8050509276086816E-3</v>
      </c>
      <c r="C79" s="6">
        <f>IFERROR(LN(Cotacao!F80/Cotacao!F79),C78)</f>
        <v>4.368726913415168E-3</v>
      </c>
      <c r="D79" s="6">
        <f>IFERROR(LN(Cotacao!H80/Cotacao!H79),D78)</f>
        <v>-1.3786983088580534E-2</v>
      </c>
      <c r="E79" s="6">
        <f>IFERROR(LN(Cotacao!J80/Cotacao!J79),E78)</f>
        <v>1.1378678567659034E-2</v>
      </c>
      <c r="F79" s="6">
        <f>IFERROR(LN(Cotacao!L80/Cotacao!L79),F78)</f>
        <v>-3.2051309489483358E-3</v>
      </c>
      <c r="G79" s="6">
        <f>IFERROR(LN(Cotacao!N80/Cotacao!N79),G78)</f>
        <v>1.5479879252149533E-3</v>
      </c>
      <c r="H79" s="6">
        <f>IFERROR(LN(Cotacao!P80/Cotacao!P79),H78)</f>
        <v>5.4035930198371353E-3</v>
      </c>
      <c r="I79" s="6">
        <f>IFERROR(LN(Cotacao!R80/Cotacao!R79),I78)</f>
        <v>8.1234772948202973E-4</v>
      </c>
      <c r="J79" s="6">
        <f>IFERROR(LN(Cotacao!T80/Cotacao!T79),J78)</f>
        <v>-2.7708869136207893E-2</v>
      </c>
      <c r="K79" s="6">
        <f>IFERROR(LN(Cotacao!V80/Cotacao!V79),K78)</f>
        <v>-2.3319442345144416E-2</v>
      </c>
      <c r="L79" s="6">
        <f>IFERROR(LN(Cotacao!X80/Cotacao!X79),L78)</f>
        <v>6.3708009062840645E-3</v>
      </c>
      <c r="M79" s="6">
        <f>IFERROR(LN(Profit!B79/Profit!B78),M78)</f>
        <v>2.8381292538224915E-2</v>
      </c>
      <c r="N79" s="6">
        <f>IFERROR(LN(Cotacao!AB80/Cotacao!AB79),N78)</f>
        <v>-1.9080502538745044E-2</v>
      </c>
      <c r="O79" s="6">
        <f>IFERROR(LN(Cotacao!AD80/Cotacao!AD79),O78)</f>
        <v>-5.4644944720788485E-3</v>
      </c>
      <c r="P79" s="6">
        <f>IFERROR(LN(Cotacao!AF80/Cotacao!AF79),P78)</f>
        <v>-6.706933256718217E-3</v>
      </c>
      <c r="Q79" s="6">
        <f>IFERROR(LN(Cotacao!AH80/Cotacao!AH79),Q78)</f>
        <v>-1.668404975123497E-3</v>
      </c>
      <c r="R79" s="6">
        <f>IFERROR(LN(Cotacao!AJ80/Cotacao!AJ79),R78)</f>
        <v>1.1092624542857557E-3</v>
      </c>
      <c r="S79" s="6">
        <f>IFERROR(LN(Cotacao!AL80/Cotacao!AL79),S78)</f>
        <v>-8.788506033079348E-3</v>
      </c>
      <c r="T79" s="6">
        <f>IFERROR(LN(Cotacao!AN80/Cotacao!AN79),T78)</f>
        <v>7.4428839070784427E-3</v>
      </c>
      <c r="U79" s="6">
        <f>IFERROR(LN(Cotacao!AP80/Cotacao!AP79),U78)</f>
        <v>3.3246695301678113E-3</v>
      </c>
      <c r="V79" s="6">
        <f>IFERROR(LN(Cotacao!AR80/Cotacao!AR79),V78)</f>
        <v>8.0754140055453311E-3</v>
      </c>
      <c r="W79" s="6">
        <f>IFERROR(LN(Cotacao!AT80/Cotacao!AT79),W78)</f>
        <v>1.5709293705179879E-2</v>
      </c>
      <c r="X79" s="6">
        <f>IFERROR(LN(Cotacao!AV80/Cotacao!AV79),X78)</f>
        <v>1.1261140994555522E-2</v>
      </c>
      <c r="Y79" s="6">
        <f>IFERROR(LN(Cotacao!AX80/Cotacao!AX79),Y78)</f>
        <v>4.1617425117635304E-3</v>
      </c>
      <c r="Z79" s="6">
        <f>IFERROR(LN(Cotacao!AZ80/Cotacao!AZ79),Z78)</f>
        <v>4.4247859803558569E-3</v>
      </c>
      <c r="AA79" s="6">
        <f>IFERROR(LN(Cotacao!BB80/Cotacao!BB79),AA78)</f>
        <v>5.0365148382708531E-4</v>
      </c>
      <c r="AB79" s="6">
        <f>IFERROR(LN(Cotacao!BD80/Cotacao!BD79),AB78)</f>
        <v>4.1188643108399743E-3</v>
      </c>
      <c r="AC79" s="6">
        <f>IFERROR(LN(Cotacao!BF80/Cotacao!BF79),AC78)</f>
        <v>7.6961041136128186E-2</v>
      </c>
      <c r="AD79" s="6">
        <f>IFERROR(LN(Cotacao!BH80/Cotacao!BH79),AD78)</f>
        <v>2.9244041734961134E-4</v>
      </c>
      <c r="AE79" s="6">
        <f>IFERROR(LN(Cotacao!BJ80/Cotacao!BJ79),AE78)</f>
        <v>1.0949014489670523E-2</v>
      </c>
      <c r="AF79" s="6">
        <f>IFERROR(LN(Cotacao!BL80/Cotacao!BL79),AF78)</f>
        <v>1.2623607819855695E-3</v>
      </c>
      <c r="AG79" s="6">
        <f>IFERROR(LN(Cotacao!BN80/Cotacao!BN79),AG78)</f>
        <v>-1.4497856253698259E-2</v>
      </c>
      <c r="AH79" s="6">
        <f>IFERROR(LN(Cotacao!BP80/Cotacao!BP79),AH78)</f>
        <v>1.0562837237490675E-2</v>
      </c>
      <c r="AI79" s="6">
        <f>IFERROR(LN(Cotacao!BR80/Cotacao!BR79),AI78)</f>
        <v>-2.9472464599321693E-3</v>
      </c>
      <c r="AJ79" s="6">
        <f>IFERROR(LN(Profit!C79/Profit!C78),AJ78)</f>
        <v>2.9567371258549753E-2</v>
      </c>
      <c r="AK79" s="6">
        <f>IFERROR(LN(Cotacao!BV80/Cotacao!BV79),AK78)</f>
        <v>1.8006516061106689E-3</v>
      </c>
      <c r="AL79" s="6">
        <f>IFERROR(LN(Cotacao!BX80/Cotacao!BX79),AL78)</f>
        <v>-1.3376978756589894E-2</v>
      </c>
      <c r="AN79" s="44" t="s">
        <v>18</v>
      </c>
      <c r="AO79" s="44">
        <f t="shared" si="190"/>
        <v>6.0854305942998038E-4</v>
      </c>
      <c r="AP79" s="44">
        <f t="shared" si="191"/>
        <v>4.4196601904863606E-4</v>
      </c>
      <c r="AQ79" s="44">
        <f t="shared" si="192"/>
        <v>4.175397320881242E-4</v>
      </c>
      <c r="AR79" s="44">
        <f t="shared" si="193"/>
        <v>7.2769903407943854E-4</v>
      </c>
      <c r="AS79" s="44">
        <f t="shared" si="194"/>
        <v>4.6073740600666922E-4</v>
      </c>
      <c r="AT79" s="44">
        <f t="shared" si="195"/>
        <v>5.4784870260699827E-4</v>
      </c>
      <c r="AU79" s="44">
        <f t="shared" si="196"/>
        <v>4.8160261008985253E-4</v>
      </c>
      <c r="AV79" s="44">
        <f t="shared" si="197"/>
        <v>5.7746995662680484E-4</v>
      </c>
      <c r="AW79" s="44">
        <f t="shared" si="198"/>
        <v>7.3884668690257988E-4</v>
      </c>
      <c r="AX79" s="44">
        <f t="shared" si="199"/>
        <v>5.476486626514814E-4</v>
      </c>
      <c r="AY79" s="44">
        <f t="shared" si="200"/>
        <v>2.6023099507250743E-4</v>
      </c>
      <c r="AZ79" s="44">
        <f t="shared" si="201"/>
        <v>2.7817410253282008E-4</v>
      </c>
      <c r="BA79" s="44">
        <f t="shared" si="202"/>
        <v>-5.6022966766148466E-5</v>
      </c>
      <c r="BB79" s="44">
        <f t="shared" si="203"/>
        <v>5.7803776172132392E-4</v>
      </c>
      <c r="BC79" s="44">
        <f t="shared" si="204"/>
        <v>8.0262599095249449E-4</v>
      </c>
      <c r="BD79" s="44">
        <f t="shared" ref="BD79:BD98" si="205">BD118</f>
        <v>1.1476240603225309E-3</v>
      </c>
      <c r="BE79" s="44">
        <f t="array" ref="BE79:BW79">TRANSPOSE(BD80:BD98)</f>
        <v>3.8600821964723689E-4</v>
      </c>
      <c r="BF79" s="44">
        <v>6.0631283641643385E-4</v>
      </c>
      <c r="BG79" s="44">
        <v>3.1128753002744559E-4</v>
      </c>
      <c r="BH79" s="44">
        <v>1.9879342454310651E-4</v>
      </c>
      <c r="BI79" s="44">
        <v>2.3879343864545939E-4</v>
      </c>
      <c r="BJ79" s="44">
        <v>2.388928799216859E-4</v>
      </c>
      <c r="BK79" s="44">
        <v>2.4740161891937524E-4</v>
      </c>
      <c r="BL79" s="44">
        <v>2.3147574354687211E-4</v>
      </c>
      <c r="BM79" s="44">
        <v>4.3413349937294714E-4</v>
      </c>
      <c r="BN79" s="44">
        <v>2.5341180670059954E-4</v>
      </c>
      <c r="BO79" s="44">
        <v>8.2786944689568816E-4</v>
      </c>
      <c r="BP79" s="44">
        <v>6.9568703773486206E-4</v>
      </c>
      <c r="BQ79" s="44">
        <v>5.1333165261213426E-4</v>
      </c>
      <c r="BR79" s="44">
        <v>2.2521219127020017E-4</v>
      </c>
      <c r="BS79" s="44">
        <v>5.2516905536831781E-4</v>
      </c>
      <c r="BT79" s="44">
        <v>7.4644431677337573E-4</v>
      </c>
      <c r="BU79" s="44">
        <v>1.0617866952535176E-3</v>
      </c>
      <c r="BV79" s="44">
        <v>1.3014781648419658E-3</v>
      </c>
      <c r="BW79" s="44">
        <v>5.2135560188877443E-4</v>
      </c>
    </row>
    <row r="80" spans="1:75">
      <c r="A80" s="3" t="str">
        <f>Cotacao!C80</f>
        <v>10/15/2019 16:56:00</v>
      </c>
      <c r="B80" s="6">
        <f>IFERROR(LN(Cotacao!D81/Cotacao!D80),B79)</f>
        <v>2.3804057800355782E-2</v>
      </c>
      <c r="C80" s="6">
        <f>IFERROR(LN(Cotacao!F81/Cotacao!F80),C79)</f>
        <v>1.3853035389293947E-2</v>
      </c>
      <c r="D80" s="6">
        <f>IFERROR(LN(Cotacao!H81/Cotacao!H80),D79)</f>
        <v>2.0802041477954846E-3</v>
      </c>
      <c r="E80" s="6">
        <f>IFERROR(LN(Cotacao!J81/Cotacao!J80),E79)</f>
        <v>2.6075634070807695E-3</v>
      </c>
      <c r="F80" s="6">
        <f>IFERROR(LN(Cotacao!L81/Cotacao!L80),F79)</f>
        <v>9.5847379129873102E-3</v>
      </c>
      <c r="G80" s="6">
        <f>IFERROR(LN(Cotacao!N81/Cotacao!N80),G79)</f>
        <v>1.8391322971423669E-2</v>
      </c>
      <c r="H80" s="6">
        <f>IFERROR(LN(Cotacao!P81/Cotacao!P80),H79)</f>
        <v>7.048191620972216E-3</v>
      </c>
      <c r="I80" s="6">
        <f>IFERROR(LN(Cotacao!R81/Cotacao!R80),I79)</f>
        <v>8.1168835625244126E-4</v>
      </c>
      <c r="J80" s="6">
        <f>IFERROR(LN(Cotacao!T81/Cotacao!T80),J79)</f>
        <v>7.9954737761971286E-3</v>
      </c>
      <c r="K80" s="6">
        <f>IFERROR(LN(Cotacao!V81/Cotacao!V80),K79)</f>
        <v>2.5090921993526586E-2</v>
      </c>
      <c r="L80" s="6">
        <f>IFERROR(LN(Cotacao!X81/Cotacao!X80),L79)</f>
        <v>-4.7530220188121567E-3</v>
      </c>
      <c r="M80" s="6">
        <f>IFERROR(LN(Profit!B80/Profit!B79),M79)</f>
        <v>1.0985097649329574E-2</v>
      </c>
      <c r="N80" s="6">
        <f>IFERROR(LN(Cotacao!AB81/Cotacao!AB80),N79)</f>
        <v>-3.0010740637767064E-3</v>
      </c>
      <c r="O80" s="6">
        <f>IFERROR(LN(Cotacao!AD81/Cotacao!AD80),O79)</f>
        <v>-6.0456353415098965E-3</v>
      </c>
      <c r="P80" s="6">
        <f>IFERROR(LN(Cotacao!AF81/Cotacao!AF80),P79)</f>
        <v>2.1635059208099099E-2</v>
      </c>
      <c r="Q80" s="6">
        <f>IFERROR(LN(Cotacao!AH81/Cotacao!AH80),Q79)</f>
        <v>-2.3441047971429707E-2</v>
      </c>
      <c r="R80" s="6">
        <f>IFERROR(LN(Cotacao!AJ81/Cotacao!AJ80),R79)</f>
        <v>5.5279300525130108E-3</v>
      </c>
      <c r="S80" s="6">
        <f>IFERROR(LN(Cotacao!AL81/Cotacao!AL80),S79)</f>
        <v>1.9975695423643827E-2</v>
      </c>
      <c r="T80" s="6">
        <f>IFERROR(LN(Cotacao!AN81/Cotacao!AN80),T79)</f>
        <v>5.5987047422521741E-3</v>
      </c>
      <c r="U80" s="6">
        <f>IFERROR(LN(Cotacao!AP81/Cotacao!AP80),U79)</f>
        <v>2.1253993123135366E-3</v>
      </c>
      <c r="V80" s="6">
        <f>IFERROR(LN(Cotacao!AR81/Cotacao!AR80),V79)</f>
        <v>8.9325597721492066E-4</v>
      </c>
      <c r="W80" s="6">
        <f>IFERROR(LN(Cotacao!AT81/Cotacao!AT80),W79)</f>
        <v>-1.5342694244307809E-2</v>
      </c>
      <c r="X80" s="6">
        <f>IFERROR(LN(Cotacao!AV81/Cotacao!AV80),X79)</f>
        <v>1.1262055107423548E-3</v>
      </c>
      <c r="Y80" s="6">
        <f>IFERROR(LN(Cotacao!AX81/Cotacao!AX80),Y79)</f>
        <v>1.3020835172982007E-3</v>
      </c>
      <c r="Z80" s="6">
        <f>IFERROR(LN(Cotacao!AZ81/Cotacao!AZ80),Z79)</f>
        <v>0</v>
      </c>
      <c r="AA80" s="6">
        <f>IFERROR(LN(Cotacao!BB81/Cotacao!BB80),AA79)</f>
        <v>3.643906777487028E-3</v>
      </c>
      <c r="AB80" s="6">
        <f>IFERROR(LN(Cotacao!BD81/Cotacao!BD80),AB79)</f>
        <v>-5.873715293688793E-4</v>
      </c>
      <c r="AC80" s="6">
        <f>IFERROR(LN(Cotacao!BF81/Cotacao!BF80),AC79)</f>
        <v>2.4660924951934683E-3</v>
      </c>
      <c r="AD80" s="6">
        <f>IFERROR(LN(Cotacao!BH81/Cotacao!BH80),AD79)</f>
        <v>2.3122417420854212E-2</v>
      </c>
      <c r="AE80" s="6">
        <f>IFERROR(LN(Cotacao!BJ81/Cotacao!BJ80),AE79)</f>
        <v>1.638053006287201E-2</v>
      </c>
      <c r="AF80" s="6">
        <f>IFERROR(LN(Cotacao!BL81/Cotacao!BL80),AF79)</f>
        <v>2.4507976374479098E-2</v>
      </c>
      <c r="AG80" s="6">
        <f>IFERROR(LN(Cotacao!BN81/Cotacao!BN80),AG79)</f>
        <v>1.5383203810422619E-2</v>
      </c>
      <c r="AH80" s="6">
        <f>IFERROR(LN(Cotacao!BP81/Cotacao!BP80),AH79)</f>
        <v>1.1885607233981063E-2</v>
      </c>
      <c r="AI80" s="6">
        <f>IFERROR(LN(Cotacao!BR81/Cotacao!BR80),AI79)</f>
        <v>3.5356548323075758E-3</v>
      </c>
      <c r="AJ80" s="6">
        <f>IFERROR(LN(Profit!C80/Profit!C79),AJ79)</f>
        <v>7.6824961720162108E-3</v>
      </c>
      <c r="AK80" s="6">
        <f>IFERROR(LN(Cotacao!BV81/Cotacao!BV80),AK79)</f>
        <v>8.8917693914277538E-3</v>
      </c>
      <c r="AL80" s="6">
        <f>IFERROR(LN(Cotacao!BX81/Cotacao!BX80),AL79)</f>
        <v>8.5955488821339784E-3</v>
      </c>
      <c r="AN80" s="44" t="s">
        <v>19</v>
      </c>
      <c r="AO80" s="44">
        <f t="shared" si="190"/>
        <v>3.3099254944101873E-4</v>
      </c>
      <c r="AP80" s="44">
        <f t="shared" si="191"/>
        <v>2.3792297281424347E-4</v>
      </c>
      <c r="AQ80" s="44">
        <f t="shared" si="192"/>
        <v>3.0986029701909347E-4</v>
      </c>
      <c r="AR80" s="44">
        <f t="shared" si="193"/>
        <v>3.3870122592804196E-4</v>
      </c>
      <c r="AS80" s="44">
        <f t="shared" si="194"/>
        <v>3.3802265340539251E-4</v>
      </c>
      <c r="AT80" s="44">
        <f t="shared" si="195"/>
        <v>3.2911996574225782E-4</v>
      </c>
      <c r="AU80" s="44">
        <f t="shared" si="196"/>
        <v>2.7491430956353357E-4</v>
      </c>
      <c r="AV80" s="44">
        <f t="shared" si="197"/>
        <v>3.0445611485595492E-4</v>
      </c>
      <c r="AW80" s="44">
        <f t="shared" si="198"/>
        <v>3.5880945545461627E-4</v>
      </c>
      <c r="AX80" s="44">
        <f t="shared" si="199"/>
        <v>4.4244883818282655E-4</v>
      </c>
      <c r="AY80" s="44">
        <f t="shared" si="200"/>
        <v>9.4123811537132952E-5</v>
      </c>
      <c r="AZ80" s="44">
        <f t="shared" si="201"/>
        <v>1.9444422857313576E-4</v>
      </c>
      <c r="BA80" s="44">
        <f t="shared" si="202"/>
        <v>-1.0251878071060255E-4</v>
      </c>
      <c r="BB80" s="44">
        <f t="shared" si="203"/>
        <v>2.5499002871451972E-4</v>
      </c>
      <c r="BC80" s="44">
        <f t="shared" si="204"/>
        <v>4.197714570223343E-4</v>
      </c>
      <c r="BD80" s="44">
        <f t="shared" si="205"/>
        <v>3.8600821964723689E-4</v>
      </c>
      <c r="BE80" s="44">
        <f t="shared" ref="BE80:BE98" si="206">BE119</f>
        <v>6.8971379068653198E-4</v>
      </c>
      <c r="BF80" s="44">
        <f t="array" ref="BF80:BW80">TRANSPOSE(BE81:BE98)</f>
        <v>4.484066822038489E-4</v>
      </c>
      <c r="BG80" s="44">
        <v>1.1934274621410183E-4</v>
      </c>
      <c r="BH80" s="44">
        <v>6.9772869486058994E-5</v>
      </c>
      <c r="BI80" s="44">
        <v>1.0374503592811151E-4</v>
      </c>
      <c r="BJ80" s="44">
        <v>9.4038968204173895E-5</v>
      </c>
      <c r="BK80" s="44">
        <v>5.8185944168081757E-5</v>
      </c>
      <c r="BL80" s="44">
        <v>4.7650213153209377E-5</v>
      </c>
      <c r="BM80" s="44">
        <v>1.7584722927962458E-4</v>
      </c>
      <c r="BN80" s="44">
        <v>1.124905148755901E-4</v>
      </c>
      <c r="BO80" s="44">
        <v>4.3561133542741021E-4</v>
      </c>
      <c r="BP80" s="44">
        <v>4.1013133063261823E-4</v>
      </c>
      <c r="BQ80" s="44">
        <v>2.0460998564300839E-4</v>
      </c>
      <c r="BR80" s="44">
        <v>9.9659167928174271E-5</v>
      </c>
      <c r="BS80" s="44">
        <v>2.784007242975289E-4</v>
      </c>
      <c r="BT80" s="44">
        <v>4.0980557538551236E-4</v>
      </c>
      <c r="BU80" s="44">
        <v>4.9872847871482021E-4</v>
      </c>
      <c r="BV80" s="44">
        <v>6.0695060333563501E-4</v>
      </c>
      <c r="BW80" s="44">
        <v>2.9912759409336174E-4</v>
      </c>
    </row>
    <row r="81" spans="1:75">
      <c r="A81" s="3" t="str">
        <f>Cotacao!C81</f>
        <v>10/16/2019 16:56:00</v>
      </c>
      <c r="B81" s="6">
        <f>IFERROR(LN(Cotacao!D82/Cotacao!D81),B80)</f>
        <v>-7.1370053151442797E-3</v>
      </c>
      <c r="C81" s="6">
        <f>IFERROR(LN(Cotacao!F82/Cotacao!F81),C80)</f>
        <v>5.145808953403953E-3</v>
      </c>
      <c r="D81" s="6">
        <f>IFERROR(LN(Cotacao!H82/Cotacao!H81),D80)</f>
        <v>5.9852849028154071E-3</v>
      </c>
      <c r="E81" s="6">
        <f>IFERROR(LN(Cotacao!J82/Cotacao!J81),E80)</f>
        <v>2.8243212313394939E-2</v>
      </c>
      <c r="F81" s="6">
        <f>IFERROR(LN(Cotacao!L82/Cotacao!L81),F80)</f>
        <v>-1.0604454864390803E-3</v>
      </c>
      <c r="G81" s="6">
        <f>IFERROR(LN(Cotacao!N82/Cotacao!N81),G80)</f>
        <v>-1.5197571314160771E-3</v>
      </c>
      <c r="H81" s="6">
        <f>IFERROR(LN(Cotacao!P82/Cotacao!P81),H80)</f>
        <v>-4.6932704317495565E-3</v>
      </c>
      <c r="I81" s="6">
        <f>IFERROR(LN(Cotacao!R82/Cotacao!R81),I80)</f>
        <v>2.8357321007910054E-3</v>
      </c>
      <c r="J81" s="6">
        <f>IFERROR(LN(Cotacao!T82/Cotacao!T81),J80)</f>
        <v>-5.6899005802497579E-4</v>
      </c>
      <c r="K81" s="6">
        <f>IFERROR(LN(Cotacao!V82/Cotacao!V81),K80)</f>
        <v>2.4476746426554164E-2</v>
      </c>
      <c r="L81" s="6">
        <f>IFERROR(LN(Cotacao!X82/Cotacao!X81),L80)</f>
        <v>4.9223556912174234E-3</v>
      </c>
      <c r="M81" s="6">
        <f>IFERROR(LN(Profit!B81/Profit!B80),M80)</f>
        <v>-1.1721745933101864E-2</v>
      </c>
      <c r="N81" s="6">
        <f>IFERROR(LN(Cotacao!AB82/Cotacao!AB81),N80)</f>
        <v>-4.7342459846439061E-3</v>
      </c>
      <c r="O81" s="6">
        <f>IFERROR(LN(Cotacao!AD82/Cotacao!AD81),O80)</f>
        <v>1.0419617164622965E-2</v>
      </c>
      <c r="P81" s="6">
        <f>IFERROR(LN(Cotacao!AF82/Cotacao!AF81),P80)</f>
        <v>-1.5262406415800756E-2</v>
      </c>
      <c r="Q81" s="6">
        <f>IFERROR(LN(Cotacao!AH82/Cotacao!AH81),Q80)</f>
        <v>-1.9249284095842825E-3</v>
      </c>
      <c r="R81" s="6">
        <f>IFERROR(LN(Cotacao!AJ82/Cotacao!AJ81),R80)</f>
        <v>1.3221685487139802E-3</v>
      </c>
      <c r="S81" s="6">
        <f>IFERROR(LN(Cotacao!AL82/Cotacao!AL81),S80)</f>
        <v>1.1063419544255354E-2</v>
      </c>
      <c r="T81" s="6">
        <f>IFERROR(LN(Cotacao!AN82/Cotacao!AN81),T80)</f>
        <v>-1.1442014861189375E-2</v>
      </c>
      <c r="U81" s="6">
        <f>IFERROR(LN(Cotacao!AP82/Cotacao!AP81),U80)</f>
        <v>2.1208915691376296E-3</v>
      </c>
      <c r="V81" s="6">
        <f>IFERROR(LN(Cotacao!AR82/Cotacao!AR81),V80)</f>
        <v>-8.9325597721499092E-4</v>
      </c>
      <c r="W81" s="6">
        <f>IFERROR(LN(Cotacao!AT82/Cotacao!AT81),W80)</f>
        <v>1.1232536382479787E-2</v>
      </c>
      <c r="X81" s="6">
        <f>IFERROR(LN(Cotacao!AV82/Cotacao!AV81),X80)</f>
        <v>5.9617921628984157E-3</v>
      </c>
      <c r="Y81" s="6">
        <f>IFERROR(LN(Cotacao!AX82/Cotacao!AX81),Y80)</f>
        <v>-8.1330568138819623E-5</v>
      </c>
      <c r="Z81" s="6">
        <f>IFERROR(LN(Cotacao!AZ82/Cotacao!AZ81),Z80)</f>
        <v>-2.2099456508029554E-3</v>
      </c>
      <c r="AA81" s="6">
        <f>IFERROR(LN(Cotacao!BB82/Cotacao!BB81),AA80)</f>
        <v>3.3182062062711991E-3</v>
      </c>
      <c r="AB81" s="6">
        <f>IFERROR(LN(Cotacao!BD82/Cotacao!BD81),AB80)</f>
        <v>2.2081083075255175E-2</v>
      </c>
      <c r="AC81" s="6">
        <f>IFERROR(LN(Cotacao!BF82/Cotacao!BF81),AC80)</f>
        <v>9.19405802220662E-3</v>
      </c>
      <c r="AD81" s="6">
        <f>IFERROR(LN(Cotacao!BH82/Cotacao!BH81),AD80)</f>
        <v>1.5029348543522019E-2</v>
      </c>
      <c r="AE81" s="6">
        <f>IFERROR(LN(Cotacao!BJ82/Cotacao!BJ81),AE80)</f>
        <v>-1.7855548659174509E-4</v>
      </c>
      <c r="AF81" s="6">
        <f>IFERROR(LN(Cotacao!BL82/Cotacao!BL81),AF80)</f>
        <v>-5.3487064360012221E-3</v>
      </c>
      <c r="AG81" s="6">
        <f>IFERROR(LN(Cotacao!BN82/Cotacao!BN81),AG80)</f>
        <v>2.0799874110675555E-2</v>
      </c>
      <c r="AH81" s="6">
        <f>IFERROR(LN(Cotacao!BP82/Cotacao!BP81),AH80)</f>
        <v>-9.7140537204732178E-3</v>
      </c>
      <c r="AI81" s="6">
        <f>IFERROR(LN(Cotacao!BR82/Cotacao!BR81),AI80)</f>
        <v>1.5178341599065883E-2</v>
      </c>
      <c r="AJ81" s="6">
        <f>IFERROR(LN(Profit!C81/Profit!C80),AJ80)</f>
        <v>-5.970166986503796E-3</v>
      </c>
      <c r="AK81" s="6">
        <f>IFERROR(LN(Cotacao!BV82/Cotacao!BV81),AK80)</f>
        <v>-3.8684021430523416E-3</v>
      </c>
      <c r="AL81" s="6">
        <f>IFERROR(LN(Cotacao!BX82/Cotacao!BX81),AL80)</f>
        <v>1.292535001246856E-2</v>
      </c>
      <c r="AN81" s="44" t="s">
        <v>20</v>
      </c>
      <c r="AO81" s="44">
        <f t="shared" si="190"/>
        <v>6.9818935323781508E-4</v>
      </c>
      <c r="AP81" s="44">
        <f t="shared" si="191"/>
        <v>4.1089233078187785E-4</v>
      </c>
      <c r="AQ81" s="44">
        <f t="shared" si="192"/>
        <v>3.7359410915674532E-4</v>
      </c>
      <c r="AR81" s="44">
        <f t="shared" si="193"/>
        <v>7.0592763460899336E-4</v>
      </c>
      <c r="AS81" s="44">
        <f t="shared" si="194"/>
        <v>5.1607533990722732E-4</v>
      </c>
      <c r="AT81" s="44">
        <f t="shared" si="195"/>
        <v>5.3675164162766173E-4</v>
      </c>
      <c r="AU81" s="44">
        <f t="shared" si="196"/>
        <v>5.138571717546018E-4</v>
      </c>
      <c r="AV81" s="44">
        <f t="shared" si="197"/>
        <v>5.6246000857467101E-4</v>
      </c>
      <c r="AW81" s="44">
        <f t="shared" si="198"/>
        <v>8.5208878800882169E-4</v>
      </c>
      <c r="AX81" s="44">
        <f t="shared" si="199"/>
        <v>7.6722365235144384E-4</v>
      </c>
      <c r="AY81" s="44">
        <f t="shared" si="200"/>
        <v>2.8470382410452581E-4</v>
      </c>
      <c r="AZ81" s="44">
        <f t="shared" si="201"/>
        <v>2.852530724174129E-4</v>
      </c>
      <c r="BA81" s="44">
        <f t="shared" si="202"/>
        <v>-2.4804186730538616E-5</v>
      </c>
      <c r="BB81" s="44">
        <f t="shared" si="203"/>
        <v>5.5258357019648946E-4</v>
      </c>
      <c r="BC81" s="44">
        <f t="shared" si="204"/>
        <v>8.636795694379187E-4</v>
      </c>
      <c r="BD81" s="44">
        <f t="shared" si="205"/>
        <v>6.0631283641643385E-4</v>
      </c>
      <c r="BE81" s="44">
        <f t="shared" si="206"/>
        <v>4.484066822038489E-4</v>
      </c>
      <c r="BF81" s="44">
        <f t="shared" ref="BF81:BF98" si="207">BF120</f>
        <v>1.3112656150256168E-3</v>
      </c>
      <c r="BG81" s="44">
        <f t="array" ref="BG81:BW81">TRANSPOSE(BF82:BF98)</f>
        <v>3.0962058312444021E-4</v>
      </c>
      <c r="BH81" s="44">
        <v>1.9073436048481625E-4</v>
      </c>
      <c r="BI81" s="44">
        <v>1.9939650454419105E-4</v>
      </c>
      <c r="BJ81" s="44">
        <v>2.1578502743735897E-4</v>
      </c>
      <c r="BK81" s="44">
        <v>2.2992976687707524E-4</v>
      </c>
      <c r="BL81" s="44">
        <v>1.9077478494868122E-4</v>
      </c>
      <c r="BM81" s="44">
        <v>3.7208866460072663E-4</v>
      </c>
      <c r="BN81" s="44">
        <v>3.4954340784283813E-4</v>
      </c>
      <c r="BO81" s="44">
        <v>1.1318489661671768E-3</v>
      </c>
      <c r="BP81" s="44">
        <v>7.4143341696978108E-4</v>
      </c>
      <c r="BQ81" s="44">
        <v>5.0393694774326773E-4</v>
      </c>
      <c r="BR81" s="44">
        <v>2.6688933573226976E-4</v>
      </c>
      <c r="BS81" s="44">
        <v>5.8190841618845903E-4</v>
      </c>
      <c r="BT81" s="44">
        <v>6.3620636850369723E-4</v>
      </c>
      <c r="BU81" s="44">
        <v>8.8641085274395251E-4</v>
      </c>
      <c r="BV81" s="44">
        <v>1.3142453050584712E-3</v>
      </c>
      <c r="BW81" s="44">
        <v>5.4383530324592479E-4</v>
      </c>
    </row>
    <row r="82" spans="1:75">
      <c r="A82" s="3" t="str">
        <f>Cotacao!C82</f>
        <v>10/17/2019 16:56:00</v>
      </c>
      <c r="B82" s="6">
        <f>IFERROR(LN(Cotacao!D83/Cotacao!D82),B81)</f>
        <v>8.2304991365156621E-3</v>
      </c>
      <c r="C82" s="6">
        <f>IFERROR(LN(Cotacao!F83/Cotacao!F82),C81)</f>
        <v>-1.7546833052303108E-2</v>
      </c>
      <c r="D82" s="6">
        <f>IFERROR(LN(Cotacao!H83/Cotacao!H82),D81)</f>
        <v>4.3513179843749075E-3</v>
      </c>
      <c r="E82" s="6">
        <f>IFERROR(LN(Cotacao!J83/Cotacao!J82),E81)</f>
        <v>-1.4449890181059195E-2</v>
      </c>
      <c r="F82" s="6">
        <f>IFERROR(LN(Cotacao!L83/Cotacao!L82),F81)</f>
        <v>7.3996109301746535E-3</v>
      </c>
      <c r="G82" s="6">
        <f>IFERROR(LN(Cotacao!N83/Cotacao!N82),G81)</f>
        <v>-6.1022309876429407E-3</v>
      </c>
      <c r="H82" s="6">
        <f>IFERROR(LN(Cotacao!P83/Cotacao!P82),H81)</f>
        <v>-3.3658732551051325E-3</v>
      </c>
      <c r="I82" s="6">
        <f>IFERROR(LN(Cotacao!R83/Cotacao!R82),I81)</f>
        <v>-6.4935293105483427E-3</v>
      </c>
      <c r="J82" s="6">
        <f>IFERROR(LN(Cotacao!T83/Cotacao!T82),J81)</f>
        <v>5.6753841325992323E-3</v>
      </c>
      <c r="K82" s="6">
        <f>IFERROR(LN(Cotacao!V83/Cotacao!V82),K81)</f>
        <v>1.7123706078591379E-2</v>
      </c>
      <c r="L82" s="6">
        <f>IFERROR(LN(Cotacao!X83/Cotacao!X82),L81)</f>
        <v>1.0999704963202944E-3</v>
      </c>
      <c r="M82" s="6">
        <f>IFERROR(LN(Profit!B82/Profit!B81),M81)</f>
        <v>-5.9128036271132636E-3</v>
      </c>
      <c r="N82" s="6">
        <f>IFERROR(LN(Cotacao!AB83/Cotacao!AB82),N81)</f>
        <v>9.0187426844819882E-3</v>
      </c>
      <c r="O82" s="6">
        <f>IFERROR(LN(Cotacao!AD83/Cotacao!AD82),O81)</f>
        <v>-1.0971037084853932E-2</v>
      </c>
      <c r="P82" s="6">
        <f>IFERROR(LN(Cotacao!AF83/Cotacao!AF82),P81)</f>
        <v>-1.1094415359202988E-2</v>
      </c>
      <c r="Q82" s="6">
        <f>IFERROR(LN(Cotacao!AH83/Cotacao!AH82),Q81)</f>
        <v>-1.4664916684866618E-2</v>
      </c>
      <c r="R82" s="6">
        <f>IFERROR(LN(Cotacao!AJ83/Cotacao!AJ82),R81)</f>
        <v>3.0150857813741206E-2</v>
      </c>
      <c r="S82" s="6">
        <f>IFERROR(LN(Cotacao!AL83/Cotacao!AL82),S81)</f>
        <v>-7.3619964410691942E-3</v>
      </c>
      <c r="T82" s="6">
        <f>IFERROR(LN(Cotacao!AN83/Cotacao!AN82),T81)</f>
        <v>5.8433101189373617E-3</v>
      </c>
      <c r="U82" s="6">
        <f>IFERROR(LN(Cotacao!AP83/Cotacao!AP82),U81)</f>
        <v>4.2283361095211049E-3</v>
      </c>
      <c r="V82" s="6">
        <f>IFERROR(LN(Cotacao!AR83/Cotacao!AR82),V81)</f>
        <v>8.9325597721492066E-4</v>
      </c>
      <c r="W82" s="6">
        <f>IFERROR(LN(Cotacao!AT83/Cotacao!AT82),W81)</f>
        <v>0</v>
      </c>
      <c r="X82" s="6">
        <f>IFERROR(LN(Cotacao!AV83/Cotacao!AV82),X81)</f>
        <v>0</v>
      </c>
      <c r="Y82" s="6">
        <f>IFERROR(LN(Cotacao!AX83/Cotacao!AX82),Y81)</f>
        <v>5.838959091764075E-3</v>
      </c>
      <c r="Z82" s="6">
        <f>IFERROR(LN(Cotacao!AZ83/Cotacao!AZ82),Z81)</f>
        <v>0</v>
      </c>
      <c r="AA82" s="6">
        <f>IFERROR(LN(Cotacao!BB83/Cotacao!BB82),AA81)</f>
        <v>8.5265803653359132E-3</v>
      </c>
      <c r="AB82" s="6">
        <f>IFERROR(LN(Cotacao!BD83/Cotacao!BD82),AB81)</f>
        <v>1.8223738956451654E-2</v>
      </c>
      <c r="AC82" s="6">
        <f>IFERROR(LN(Cotacao!BF83/Cotacao!BF82),AC81)</f>
        <v>-6.7340321813440683E-3</v>
      </c>
      <c r="AD82" s="6">
        <f>IFERROR(LN(Cotacao!BH83/Cotacao!BH82),AD81)</f>
        <v>-9.3313274288843052E-3</v>
      </c>
      <c r="AE82" s="6">
        <f>IFERROR(LN(Cotacao!BJ83/Cotacao!BJ82),AE81)</f>
        <v>-5.970166986503796E-3</v>
      </c>
      <c r="AF82" s="6">
        <f>IFERROR(LN(Cotacao!BL83/Cotacao!BL82),AF81)</f>
        <v>4.9382816405825767E-3</v>
      </c>
      <c r="AG82" s="6">
        <f>IFERROR(LN(Cotacao!BN83/Cotacao!BN82),AG81)</f>
        <v>6.2641958808295596E-3</v>
      </c>
      <c r="AH82" s="6">
        <f>IFERROR(LN(Cotacao!BP83/Cotacao!BP82),AH81)</f>
        <v>-2.1715535135077954E-3</v>
      </c>
      <c r="AI82" s="6">
        <f>IFERROR(LN(Cotacao!BR83/Cotacao!BR82),AI81)</f>
        <v>-8.1443149416858627E-3</v>
      </c>
      <c r="AJ82" s="6">
        <f>IFERROR(LN(Profit!C82/Profit!C81),AJ81)</f>
        <v>-3.4275954722673722E-3</v>
      </c>
      <c r="AK82" s="6">
        <f>IFERROR(LN(Cotacao!BV83/Cotacao!BV82),AK81)</f>
        <v>-2.7355183096915685E-3</v>
      </c>
      <c r="AL82" s="6">
        <f>IFERROR(LN(Cotacao!BX83/Cotacao!BX82),AL81)</f>
        <v>1.0087509883728221E-2</v>
      </c>
      <c r="AN82" s="44" t="s">
        <v>21</v>
      </c>
      <c r="AO82" s="44">
        <f t="shared" si="190"/>
        <v>3.6063298245413481E-4</v>
      </c>
      <c r="AP82" s="44">
        <f t="shared" si="191"/>
        <v>1.6711488686648002E-4</v>
      </c>
      <c r="AQ82" s="44">
        <f t="shared" si="192"/>
        <v>1.9911130090181502E-4</v>
      </c>
      <c r="AR82" s="44">
        <f t="shared" si="193"/>
        <v>5.2416261245690344E-4</v>
      </c>
      <c r="AS82" s="44">
        <f t="shared" si="194"/>
        <v>2.6351142941462779E-4</v>
      </c>
      <c r="AT82" s="44">
        <f t="shared" si="195"/>
        <v>2.4753491027070803E-4</v>
      </c>
      <c r="AU82" s="44">
        <f t="shared" si="196"/>
        <v>2.4726564684555535E-4</v>
      </c>
      <c r="AV82" s="44">
        <f t="shared" si="197"/>
        <v>2.5751887734547186E-4</v>
      </c>
      <c r="AW82" s="44">
        <f t="shared" si="198"/>
        <v>5.3000850014422887E-4</v>
      </c>
      <c r="AX82" s="44">
        <f t="shared" si="199"/>
        <v>3.7986672087265608E-4</v>
      </c>
      <c r="AY82" s="44">
        <f t="shared" si="200"/>
        <v>4.1215349668227274E-4</v>
      </c>
      <c r="AZ82" s="44">
        <f t="shared" si="201"/>
        <v>1.4245662793190998E-4</v>
      </c>
      <c r="BA82" s="44">
        <f t="shared" si="202"/>
        <v>-3.1973087911247435E-5</v>
      </c>
      <c r="BB82" s="44">
        <f t="shared" si="203"/>
        <v>2.8058532047391604E-4</v>
      </c>
      <c r="BC82" s="44">
        <f t="shared" si="204"/>
        <v>4.2671985943652151E-4</v>
      </c>
      <c r="BD82" s="44">
        <f t="shared" si="205"/>
        <v>3.1128753002744559E-4</v>
      </c>
      <c r="BE82" s="44">
        <f t="shared" si="206"/>
        <v>1.1934274621410183E-4</v>
      </c>
      <c r="BF82" s="44">
        <f t="shared" si="207"/>
        <v>3.0962058312444021E-4</v>
      </c>
      <c r="BG82" s="44">
        <f t="shared" ref="BG82:BG98" si="208">BG121</f>
        <v>4.9990309731700146E-4</v>
      </c>
      <c r="BH82" s="44">
        <f t="array" ref="BH82:BW82">TRANSPOSE(BG83:BG98)</f>
        <v>1.8197732307930698E-4</v>
      </c>
      <c r="BI82" s="44">
        <v>1.7377212607343103E-4</v>
      </c>
      <c r="BJ82" s="44">
        <v>2.2169010288942035E-4</v>
      </c>
      <c r="BK82" s="44">
        <v>2.4997391259592788E-4</v>
      </c>
      <c r="BL82" s="44">
        <v>2.1424128054427165E-4</v>
      </c>
      <c r="BM82" s="44">
        <v>2.9239890091295858E-4</v>
      </c>
      <c r="BN82" s="44">
        <v>3.1092479038217634E-4</v>
      </c>
      <c r="BO82" s="44">
        <v>6.6305635912453412E-4</v>
      </c>
      <c r="BP82" s="44">
        <v>4.0675406437156797E-4</v>
      </c>
      <c r="BQ82" s="44">
        <v>2.36254116582169E-4</v>
      </c>
      <c r="BR82" s="44">
        <v>2.1867027123058806E-4</v>
      </c>
      <c r="BS82" s="44">
        <v>2.7679136363391191E-4</v>
      </c>
      <c r="BT82" s="44">
        <v>3.2184443401542544E-4</v>
      </c>
      <c r="BU82" s="44">
        <v>4.5200048114859062E-4</v>
      </c>
      <c r="BV82" s="44">
        <v>8.329908917960138E-4</v>
      </c>
      <c r="BW82" s="44">
        <v>3.488074327476671E-4</v>
      </c>
    </row>
    <row r="83" spans="1:75">
      <c r="A83" s="3" t="str">
        <f>Cotacao!C83</f>
        <v>10/18/2019 16:56:00</v>
      </c>
      <c r="B83" s="6">
        <f>IFERROR(LN(Cotacao!D84/Cotacao!D83),B82)</f>
        <v>2.7285146532041358E-3</v>
      </c>
      <c r="C83" s="6">
        <f>IFERROR(LN(Cotacao!F84/Cotacao!F83),C82)</f>
        <v>9.8181556806449903E-3</v>
      </c>
      <c r="D83" s="6">
        <f>IFERROR(LN(Cotacao!H84/Cotacao!H83),D82)</f>
        <v>8.6462427148646277E-3</v>
      </c>
      <c r="E83" s="6">
        <f>IFERROR(LN(Cotacao!J84/Cotacao!J83),E82)</f>
        <v>1.7108644036293876E-3</v>
      </c>
      <c r="F83" s="6">
        <f>IFERROR(LN(Cotacao!L84/Cotacao!L83),F82)</f>
        <v>1.2559034776494055E-2</v>
      </c>
      <c r="G83" s="6">
        <f>IFERROR(LN(Cotacao!N84/Cotacao!N83),G82)</f>
        <v>1.443245712158584E-2</v>
      </c>
      <c r="H83" s="6">
        <f>IFERROR(LN(Cotacao!P84/Cotacao!P83),H82)</f>
        <v>1.3728660290651709E-2</v>
      </c>
      <c r="I83" s="6">
        <f>IFERROR(LN(Cotacao!R84/Cotacao!R83),I82)</f>
        <v>1.7756721589259044E-2</v>
      </c>
      <c r="J83" s="6">
        <f>IFERROR(LN(Cotacao!T84/Cotacao!T83),J82)</f>
        <v>1.1312218400888893E-3</v>
      </c>
      <c r="K83" s="6">
        <f>IFERROR(LN(Cotacao!V84/Cotacao!V83),K82)</f>
        <v>-3.4013638234901785E-3</v>
      </c>
      <c r="L83" s="6">
        <f>IFERROR(LN(Cotacao!X84/Cotacao!X83),L82)</f>
        <v>6.322465739487108E-3</v>
      </c>
      <c r="M83" s="6">
        <f>IFERROR(LN(Profit!B83/Profit!B82),M82)</f>
        <v>1.2157084706003699E-2</v>
      </c>
      <c r="N83" s="6">
        <f>IFERROR(LN(Cotacao!AB84/Cotacao!AB83),N82)</f>
        <v>-4.2844966998381332E-3</v>
      </c>
      <c r="O83" s="6">
        <f>IFERROR(LN(Cotacao!AD84/Cotacao!AD83),O82)</f>
        <v>3.1490115519238561E-2</v>
      </c>
      <c r="P83" s="6">
        <f>IFERROR(LN(Cotacao!AF84/Cotacao!AF83),P82)</f>
        <v>1.1094415359203072E-2</v>
      </c>
      <c r="Q83" s="6">
        <f>IFERROR(LN(Cotacao!AH84/Cotacao!AH83),Q82)</f>
        <v>2.53123767290452E-2</v>
      </c>
      <c r="R83" s="6">
        <f>IFERROR(LN(Cotacao!AJ84/Cotacao!AJ83),R82)</f>
        <v>-1.7894193105464366E-2</v>
      </c>
      <c r="S83" s="6">
        <f>IFERROR(LN(Cotacao!AL84/Cotacao!AL83),S82)</f>
        <v>0</v>
      </c>
      <c r="T83" s="6">
        <f>IFERROR(LN(Cotacao!AN84/Cotacao!AN83),T82)</f>
        <v>0</v>
      </c>
      <c r="U83" s="6">
        <f>IFERROR(LN(Cotacao!AP84/Cotacao!AP83),U82)</f>
        <v>4.2105325363434578E-3</v>
      </c>
      <c r="V83" s="6">
        <f>IFERROR(LN(Cotacao!AR84/Cotacao!AR83),V82)</f>
        <v>0</v>
      </c>
      <c r="W83" s="6">
        <f>IFERROR(LN(Cotacao!AT84/Cotacao!AT83),W82)</f>
        <v>0</v>
      </c>
      <c r="X83" s="6">
        <f>IFERROR(LN(Cotacao!AV84/Cotacao!AV83),X82)</f>
        <v>2.7932979056126536E-3</v>
      </c>
      <c r="Y83" s="6">
        <f>IFERROR(LN(Cotacao!AX84/Cotacao!AX83),Y82)</f>
        <v>6.929922979091287E-3</v>
      </c>
      <c r="Z83" s="6">
        <f>IFERROR(LN(Cotacao!AZ84/Cotacao!AZ83),Z82)</f>
        <v>6.6152391187191831E-3</v>
      </c>
      <c r="AA83" s="6">
        <f>IFERROR(LN(Cotacao!BB84/Cotacao!BB83),AA82)</f>
        <v>3.9584415864277588E-3</v>
      </c>
      <c r="AB83" s="6">
        <f>IFERROR(LN(Cotacao!BD84/Cotacao!BD83),AB82)</f>
        <v>-9.0703569699642651E-3</v>
      </c>
      <c r="AC83" s="6">
        <f>IFERROR(LN(Cotacao!BF84/Cotacao!BF83),AC82)</f>
        <v>-1.1118088583976936E-2</v>
      </c>
      <c r="AD83" s="6">
        <f>IFERROR(LN(Cotacao!BH84/Cotacao!BH83),AD82)</f>
        <v>-1.7059998451003898E-3</v>
      </c>
      <c r="AE83" s="6">
        <f>IFERROR(LN(Cotacao!BJ84/Cotacao!BJ83),AE82)</f>
        <v>8.8232359689101435E-3</v>
      </c>
      <c r="AF83" s="6">
        <f>IFERROR(LN(Cotacao!BL84/Cotacao!BL83),AF82)</f>
        <v>3.2786914616982953E-3</v>
      </c>
      <c r="AG83" s="6">
        <f>IFERROR(LN(Cotacao!BN84/Cotacao!BN83),AG82)</f>
        <v>9.6432762718042016E-3</v>
      </c>
      <c r="AH83" s="6">
        <f>IFERROR(LN(Cotacao!BP84/Cotacao!BP83),AH82)</f>
        <v>6.1405285956037357E-3</v>
      </c>
      <c r="AI83" s="6">
        <f>IFERROR(LN(Cotacao!BR84/Cotacao!BR83),AI82)</f>
        <v>-2.3391823531723776E-3</v>
      </c>
      <c r="AJ83" s="6">
        <f>IFERROR(LN(Profit!C83/Profit!C82),AJ82)</f>
        <v>3.4275954722674975E-3</v>
      </c>
      <c r="AK83" s="6">
        <f>IFERROR(LN(Cotacao!BV84/Cotacao!BV83),AK82)</f>
        <v>1.2274249658204972E-2</v>
      </c>
      <c r="AL83" s="6">
        <f>IFERROR(LN(Cotacao!BX84/Cotacao!BX83),AL82)</f>
        <v>3.3400164650712332E-3</v>
      </c>
      <c r="AN83" s="44" t="s">
        <v>22</v>
      </c>
      <c r="AO83" s="44">
        <f t="shared" si="190"/>
        <v>1.9743952575880514E-4</v>
      </c>
      <c r="AP83" s="44">
        <f t="shared" si="191"/>
        <v>1.2895870488377405E-4</v>
      </c>
      <c r="AQ83" s="44">
        <f t="shared" si="192"/>
        <v>1.2245643115641806E-4</v>
      </c>
      <c r="AR83" s="44">
        <f t="shared" si="193"/>
        <v>2.7689163577566831E-4</v>
      </c>
      <c r="AS83" s="44">
        <f t="shared" si="194"/>
        <v>1.5744278275253411E-4</v>
      </c>
      <c r="AT83" s="44">
        <f t="shared" si="195"/>
        <v>1.4404813400024913E-4</v>
      </c>
      <c r="AU83" s="44">
        <f t="shared" si="196"/>
        <v>1.4387491479612044E-4</v>
      </c>
      <c r="AV83" s="44">
        <f t="shared" si="197"/>
        <v>1.4579231588194417E-4</v>
      </c>
      <c r="AW83" s="44">
        <f t="shared" si="198"/>
        <v>3.1460804947546829E-4</v>
      </c>
      <c r="AX83" s="44">
        <f t="shared" si="199"/>
        <v>2.2354778269310712E-4</v>
      </c>
      <c r="AY83" s="44">
        <f t="shared" si="200"/>
        <v>2.2969858323889159E-4</v>
      </c>
      <c r="AZ83" s="44">
        <f t="shared" si="201"/>
        <v>9.444522551723143E-5</v>
      </c>
      <c r="BA83" s="44">
        <f t="shared" si="202"/>
        <v>-2.6588606455583591E-5</v>
      </c>
      <c r="BB83" s="44">
        <f t="shared" si="203"/>
        <v>1.7511138615445716E-4</v>
      </c>
      <c r="BC83" s="44">
        <f t="shared" si="204"/>
        <v>2.784631720967487E-4</v>
      </c>
      <c r="BD83" s="44">
        <f t="shared" si="205"/>
        <v>1.9879342454310651E-4</v>
      </c>
      <c r="BE83" s="44">
        <f t="shared" si="206"/>
        <v>6.9772869486058994E-5</v>
      </c>
      <c r="BF83" s="44">
        <f t="shared" si="207"/>
        <v>1.9073436048481625E-4</v>
      </c>
      <c r="BG83" s="44">
        <f t="shared" si="208"/>
        <v>1.8197732307930698E-4</v>
      </c>
      <c r="BH83" s="44">
        <f t="shared" ref="BH83:BH98" si="209">BH122</f>
        <v>2.2154054744187473E-4</v>
      </c>
      <c r="BI83" s="44">
        <f t="array" ref="BI83:BW83">TRANSPOSE(BH84:BH98)</f>
        <v>1.3892457187960892E-4</v>
      </c>
      <c r="BJ83" s="44">
        <v>1.5149243906665121E-4</v>
      </c>
      <c r="BK83" s="44">
        <v>1.5526681544711387E-4</v>
      </c>
      <c r="BL83" s="44">
        <v>1.5070927794341601E-4</v>
      </c>
      <c r="BM83" s="44">
        <v>1.7740402889034041E-4</v>
      </c>
      <c r="BN83" s="44">
        <v>1.8092835887933257E-4</v>
      </c>
      <c r="BO83" s="44">
        <v>3.8905546090152682E-4</v>
      </c>
      <c r="BP83" s="44">
        <v>2.102647311520294E-4</v>
      </c>
      <c r="BQ83" s="44">
        <v>2.1050696895236431E-4</v>
      </c>
      <c r="BR83" s="44">
        <v>1.3456719813515416E-4</v>
      </c>
      <c r="BS83" s="44">
        <v>1.9015875443544373E-4</v>
      </c>
      <c r="BT83" s="44">
        <v>2.1170039752186603E-4</v>
      </c>
      <c r="BU83" s="44">
        <v>2.953899972948047E-4</v>
      </c>
      <c r="BV83" s="44">
        <v>4.511379941677729E-4</v>
      </c>
      <c r="BW83" s="44">
        <v>1.8525604702465095E-4</v>
      </c>
    </row>
    <row r="84" spans="1:75">
      <c r="A84" s="3" t="str">
        <f>Cotacao!C84</f>
        <v>10/21/2019 16:56:00</v>
      </c>
      <c r="B84" s="6">
        <f>IFERROR(LN(Cotacao!D85/Cotacao!D84),B83)</f>
        <v>6.5182197105691907E-3</v>
      </c>
      <c r="C84" s="6">
        <f>IFERROR(LN(Cotacao!F85/Cotacao!F84),C83)</f>
        <v>1.5681005562153294E-2</v>
      </c>
      <c r="D84" s="6">
        <f>IFERROR(LN(Cotacao!H85/Cotacao!H84),D83)</f>
        <v>-4.3137766974043227E-3</v>
      </c>
      <c r="E84" s="6">
        <f>IFERROR(LN(Cotacao!J85/Cotacao!J84),E83)</f>
        <v>3.4442715761290543E-2</v>
      </c>
      <c r="F84" s="6">
        <f>IFERROR(LN(Cotacao!L85/Cotacao!L84),F83)</f>
        <v>-1.2032580434247972E-2</v>
      </c>
      <c r="G84" s="6">
        <f>IFERROR(LN(Cotacao!N85/Cotacao!N84),G83)</f>
        <v>2.2372297754533199E-2</v>
      </c>
      <c r="H84" s="6">
        <f>IFERROR(LN(Cotacao!P85/Cotacao!P84),H83)</f>
        <v>1.452650172814058E-2</v>
      </c>
      <c r="I84" s="6">
        <f>IFERROR(LN(Cotacao!R85/Cotacao!R84),I83)</f>
        <v>-1.0050335853501451E-2</v>
      </c>
      <c r="J84" s="6">
        <f>IFERROR(LN(Cotacao!T85/Cotacao!T84),J83)</f>
        <v>1.6816539790747712E-2</v>
      </c>
      <c r="K84" s="6">
        <f>IFERROR(LN(Cotacao!V85/Cotacao!V84),K83)</f>
        <v>-8.5543720966586318E-3</v>
      </c>
      <c r="L84" s="6">
        <f>IFERROR(LN(Cotacao!X85/Cotacao!X84),L83)</f>
        <v>-5.8997221271882708E-3</v>
      </c>
      <c r="M84" s="6">
        <f>IFERROR(LN(Profit!B84/Profit!B83),M83)</f>
        <v>5.4774648542113488E-3</v>
      </c>
      <c r="N84" s="6">
        <f>IFERROR(LN(Cotacao!AB85/Cotacao!AB84),N83)</f>
        <v>-1.0792248068559137E-2</v>
      </c>
      <c r="O84" s="6">
        <f>IFERROR(LN(Cotacao!AD85/Cotacao!AD84),O83)</f>
        <v>9.0450204313562987E-3</v>
      </c>
      <c r="P84" s="6">
        <f>IFERROR(LN(Cotacao!AF85/Cotacao!AF84),P83)</f>
        <v>1.2954839873466732E-2</v>
      </c>
      <c r="Q84" s="6">
        <f>IFERROR(LN(Cotacao!AH85/Cotacao!AH84),Q83)</f>
        <v>1.9045609396918053E-3</v>
      </c>
      <c r="R84" s="6">
        <f>IFERROR(LN(Cotacao!AJ85/Cotacao!AJ84),R83)</f>
        <v>-1.9106763309503953E-2</v>
      </c>
      <c r="S84" s="6">
        <f>IFERROR(LN(Cotacao!AL85/Cotacao!AL84),S83)</f>
        <v>-9.9010709827115698E-3</v>
      </c>
      <c r="T84" s="6">
        <f>IFERROR(LN(Cotacao!AN85/Cotacao!AN84),T83)</f>
        <v>-2.118868532136689E-4</v>
      </c>
      <c r="U84" s="6">
        <f>IFERROR(LN(Cotacao!AP85/Cotacao!AP84),U83)</f>
        <v>4.6112007928043354E-3</v>
      </c>
      <c r="V84" s="6">
        <f>IFERROR(LN(Cotacao!AR85/Cotacao!AR84),V83)</f>
        <v>0</v>
      </c>
      <c r="W84" s="6">
        <f>IFERROR(LN(Cotacao!AT85/Cotacao!AT84),W83)</f>
        <v>4.9301661078585864E-3</v>
      </c>
      <c r="X84" s="6">
        <f>IFERROR(LN(Cotacao!AV85/Cotacao!AV84),X83)</f>
        <v>2.0898649194592365E-3</v>
      </c>
      <c r="Y84" s="6">
        <f>IFERROR(LN(Cotacao!AX85/Cotacao!AX84),Y83)</f>
        <v>-2.6534812336786442E-3</v>
      </c>
      <c r="Z84" s="6">
        <f>IFERROR(LN(Cotacao!AZ85/Cotacao!AZ84),Z83)</f>
        <v>2.1739986636406038E-2</v>
      </c>
      <c r="AA84" s="6">
        <f>IFERROR(LN(Cotacao!BB85/Cotacao!BB84),AA83)</f>
        <v>-6.173030033747396E-5</v>
      </c>
      <c r="AB84" s="6">
        <f>IFERROR(LN(Cotacao!BD85/Cotacao!BD84),AB83)</f>
        <v>1.4136509094599641E-2</v>
      </c>
      <c r="AC84" s="6">
        <f>IFERROR(LN(Cotacao!BF85/Cotacao!BF84),AC83)</f>
        <v>-1.5649771667127776E-2</v>
      </c>
      <c r="AD84" s="6">
        <f>IFERROR(LN(Cotacao!BH85/Cotacao!BH84),AD83)</f>
        <v>1.7059998451003046E-3</v>
      </c>
      <c r="AE84" s="6">
        <f>IFERROR(LN(Cotacao!BJ85/Cotacao!BJ84),AE83)</f>
        <v>6.0358784348396319E-3</v>
      </c>
      <c r="AF84" s="6">
        <f>IFERROR(LN(Cotacao!BL85/Cotacao!BL84),AF83)</f>
        <v>1.2200232660947196E-2</v>
      </c>
      <c r="AG84" s="6">
        <f>IFERROR(LN(Cotacao!BN85/Cotacao!BN84),AG83)</f>
        <v>1.3556657524423213E-2</v>
      </c>
      <c r="AH84" s="6">
        <f>IFERROR(LN(Cotacao!BP85/Cotacao!BP84),AH83)</f>
        <v>2.8400914923973498E-2</v>
      </c>
      <c r="AI84" s="6">
        <f>IFERROR(LN(Cotacao!BR85/Cotacao!BR84),AI83)</f>
        <v>2.999071368368254E-2</v>
      </c>
      <c r="AJ84" s="6">
        <f>IFERROR(LN(Profit!C84/Profit!C83),AJ83)</f>
        <v>0</v>
      </c>
      <c r="AK84" s="6">
        <f>IFERROR(LN(Cotacao!BV85/Cotacao!BV84),AK83)</f>
        <v>1.2735021356735508E-2</v>
      </c>
      <c r="AL84" s="6">
        <f>IFERROR(LN(Cotacao!BX85/Cotacao!BX84),AL83)</f>
        <v>-4.0093605328992005E-3</v>
      </c>
      <c r="AN84" s="44" t="s">
        <v>23</v>
      </c>
      <c r="AO84" s="44">
        <f t="shared" si="190"/>
        <v>2.2454664319205588E-4</v>
      </c>
      <c r="AP84" s="44">
        <f t="shared" si="191"/>
        <v>1.630343747664369E-4</v>
      </c>
      <c r="AQ84" s="44">
        <f t="shared" si="192"/>
        <v>1.4888551697530547E-4</v>
      </c>
      <c r="AR84" s="44">
        <f t="shared" si="193"/>
        <v>2.2578023919811018E-4</v>
      </c>
      <c r="AS84" s="44">
        <f t="shared" si="194"/>
        <v>1.9985307870753401E-4</v>
      </c>
      <c r="AT84" s="44">
        <f t="shared" si="195"/>
        <v>1.9511982839447324E-4</v>
      </c>
      <c r="AU84" s="44">
        <f t="shared" si="196"/>
        <v>1.8095251633445226E-4</v>
      </c>
      <c r="AV84" s="44">
        <f t="shared" si="197"/>
        <v>2.227345224941653E-4</v>
      </c>
      <c r="AW84" s="44">
        <f t="shared" si="198"/>
        <v>2.9688070784491258E-4</v>
      </c>
      <c r="AX84" s="44">
        <f t="shared" si="199"/>
        <v>2.5840353471357554E-4</v>
      </c>
      <c r="AY84" s="44">
        <f t="shared" si="200"/>
        <v>2.405102207261318E-4</v>
      </c>
      <c r="AZ84" s="44">
        <f t="shared" si="201"/>
        <v>9.7446857399503367E-5</v>
      </c>
      <c r="BA84" s="44">
        <f t="shared" si="202"/>
        <v>-2.8439898258176093E-5</v>
      </c>
      <c r="BB84" s="44">
        <f t="shared" si="203"/>
        <v>2.1253062441284974E-4</v>
      </c>
      <c r="BC84" s="44">
        <f t="shared" si="204"/>
        <v>2.8799804737136722E-4</v>
      </c>
      <c r="BD84" s="44">
        <f t="shared" si="205"/>
        <v>2.3879343864545939E-4</v>
      </c>
      <c r="BE84" s="44">
        <f t="shared" si="206"/>
        <v>1.0374503592811151E-4</v>
      </c>
      <c r="BF84" s="44">
        <f t="shared" si="207"/>
        <v>1.9939650454419105E-4</v>
      </c>
      <c r="BG84" s="44">
        <f t="shared" si="208"/>
        <v>1.7377212607343103E-4</v>
      </c>
      <c r="BH84" s="44">
        <f t="shared" si="209"/>
        <v>1.3892457187960892E-4</v>
      </c>
      <c r="BI84" s="44">
        <f t="shared" ref="BI84:BI98" si="210">BI123</f>
        <v>2.5762084286455426E-4</v>
      </c>
      <c r="BJ84" s="44">
        <f t="array" ref="BJ84:BW84">TRANSPOSE(BI85:BI98)</f>
        <v>1.6505402404124898E-4</v>
      </c>
      <c r="BK84" s="44">
        <v>1.5059582718876099E-4</v>
      </c>
      <c r="BL84" s="44">
        <v>1.525443838454534E-4</v>
      </c>
      <c r="BM84" s="44">
        <v>1.7257441566362653E-4</v>
      </c>
      <c r="BN84" s="44">
        <v>1.5200037831879839E-4</v>
      </c>
      <c r="BO84" s="44">
        <v>3.7552654689120842E-4</v>
      </c>
      <c r="BP84" s="44">
        <v>2.1422681186699695E-4</v>
      </c>
      <c r="BQ84" s="44">
        <v>1.9988936836421009E-4</v>
      </c>
      <c r="BR84" s="44">
        <v>1.3852826275542567E-4</v>
      </c>
      <c r="BS84" s="44">
        <v>1.4021857091388797E-4</v>
      </c>
      <c r="BT84" s="44">
        <v>2.2212494524766766E-4</v>
      </c>
      <c r="BU84" s="44">
        <v>2.747970806272615E-4</v>
      </c>
      <c r="BV84" s="44">
        <v>4.166462076742257E-4</v>
      </c>
      <c r="BW84" s="44">
        <v>2.3191638451038824E-4</v>
      </c>
    </row>
    <row r="85" spans="1:75">
      <c r="A85" s="3" t="str">
        <f>Cotacao!C85</f>
        <v>10/22/2019 16:56:00</v>
      </c>
      <c r="B85" s="6">
        <f>IFERROR(LN(Cotacao!D86/Cotacao!D85),B84)</f>
        <v>-3.7971295962086846E-3</v>
      </c>
      <c r="C85" s="6">
        <f>IFERROR(LN(Cotacao!F86/Cotacao!F85),C84)</f>
        <v>5.360430383923454E-3</v>
      </c>
      <c r="D85" s="6">
        <f>IFERROR(LN(Cotacao!H86/Cotacao!H85),D84)</f>
        <v>-4.7896088825642048E-3</v>
      </c>
      <c r="E85" s="6">
        <f>IFERROR(LN(Cotacao!J86/Cotacao!J85),E84)</f>
        <v>2.3664915045990418E-2</v>
      </c>
      <c r="F85" s="6">
        <f>IFERROR(LN(Cotacao!L86/Cotacao!L85),F84)</f>
        <v>-1.3778702356164397E-2</v>
      </c>
      <c r="G85" s="6">
        <f>IFERROR(LN(Cotacao!N86/Cotacao!N85),G84)</f>
        <v>7.3475716303945419E-3</v>
      </c>
      <c r="H85" s="6">
        <f>IFERROR(LN(Cotacao!P86/Cotacao!P85),H84)</f>
        <v>1.4641549992947969E-2</v>
      </c>
      <c r="I85" s="6">
        <f>IFERROR(LN(Cotacao!R86/Cotacao!R85),I84)</f>
        <v>-1.1786358755672976E-2</v>
      </c>
      <c r="J85" s="6">
        <f>IFERROR(LN(Cotacao!T86/Cotacao!T85),J84)</f>
        <v>-1.6816539790747653E-2</v>
      </c>
      <c r="K85" s="6">
        <f>IFERROR(LN(Cotacao!V86/Cotacao!V85),K84)</f>
        <v>2.7120306219194035E-2</v>
      </c>
      <c r="L85" s="6">
        <f>IFERROR(LN(Cotacao!X86/Cotacao!X85),L84)</f>
        <v>1.2182465306683632E-2</v>
      </c>
      <c r="M85" s="6">
        <f>IFERROR(LN(Profit!B85/Profit!B84),M84)</f>
        <v>1.1945843414587197E-2</v>
      </c>
      <c r="N85" s="6">
        <f>IFERROR(LN(Cotacao!AB86/Cotacao!AB85),N84)</f>
        <v>5.1948168771041511E-3</v>
      </c>
      <c r="O85" s="6">
        <f>IFERROR(LN(Cotacao!AD86/Cotacao!AD85),O84)</f>
        <v>-5.8433101189371353E-3</v>
      </c>
      <c r="P85" s="6">
        <f>IFERROR(LN(Cotacao!AF86/Cotacao!AF85),P84)</f>
        <v>-1.3623736219476943E-2</v>
      </c>
      <c r="Q85" s="6">
        <f>IFERROR(LN(Cotacao!AH86/Cotacao!AH85),Q84)</f>
        <v>-4.0250027859374538E-3</v>
      </c>
      <c r="R85" s="6">
        <f>IFERROR(LN(Cotacao!AJ86/Cotacao!AJ85),R84)</f>
        <v>-2.2197567383128881E-3</v>
      </c>
      <c r="S85" s="6">
        <f>IFERROR(LN(Cotacao!AL86/Cotacao!AL85),S84)</f>
        <v>-1.0000083334583311E-2</v>
      </c>
      <c r="T85" s="6">
        <f>IFERROR(LN(Cotacao!AN86/Cotacao!AN85),T84)</f>
        <v>3.5959848374542244E-3</v>
      </c>
      <c r="U85" s="6">
        <f>IFERROR(LN(Cotacao!AP86/Cotacao!AP85),U84)</f>
        <v>1.6715423866908185E-3</v>
      </c>
      <c r="V85" s="6">
        <f>IFERROR(LN(Cotacao!AR86/Cotacao!AR85),V84)</f>
        <v>0</v>
      </c>
      <c r="W85" s="6">
        <f>IFERROR(LN(Cotacao!AT86/Cotacao!AT85),W84)</f>
        <v>-7.3135642779001272E-3</v>
      </c>
      <c r="X85" s="6">
        <f>IFERROR(LN(Cotacao!AV86/Cotacao!AV85),X84)</f>
        <v>-7.1234325942883007E-3</v>
      </c>
      <c r="Y85" s="6">
        <f>IFERROR(LN(Cotacao!AX86/Cotacao!AX85),Y84)</f>
        <v>-1.6116038943415328E-3</v>
      </c>
      <c r="Z85" s="6">
        <f>IFERROR(LN(Cotacao!AZ86/Cotacao!AZ85),Z84)</f>
        <v>4.2111485350126633E-2</v>
      </c>
      <c r="AA85" s="6">
        <f>IFERROR(LN(Cotacao!BB86/Cotacao!BB85),AA84)</f>
        <v>-4.5786492561647706E-3</v>
      </c>
      <c r="AB85" s="6">
        <f>IFERROR(LN(Cotacao!BD86/Cotacao!BD85),AB84)</f>
        <v>-1.1293174793455429E-2</v>
      </c>
      <c r="AC85" s="6">
        <f>IFERROR(LN(Cotacao!BF86/Cotacao!BF85),AC84)</f>
        <v>-3.1595602903684815E-3</v>
      </c>
      <c r="AD85" s="6">
        <f>IFERROR(LN(Cotacao!BH86/Cotacao!BH85),AD84)</f>
        <v>2.3305842155950333E-2</v>
      </c>
      <c r="AE85" s="6">
        <f>IFERROR(LN(Cotacao!BJ86/Cotacao!BJ85),AE84)</f>
        <v>-2.9542118974315201E-3</v>
      </c>
      <c r="AF85" s="6">
        <f>IFERROR(LN(Cotacao!BL86/Cotacao!BL85),AF84)</f>
        <v>4.3502311950059387E-2</v>
      </c>
      <c r="AG85" s="6">
        <f>IFERROR(LN(Cotacao!BN86/Cotacao!BN85),AG84)</f>
        <v>1.482746179301201E-2</v>
      </c>
      <c r="AH85" s="6">
        <f>IFERROR(LN(Cotacao!BP86/Cotacao!BP85),AH84)</f>
        <v>1.3212987776322552E-2</v>
      </c>
      <c r="AI85" s="6">
        <f>IFERROR(LN(Cotacao!BR86/Cotacao!BR85),AI84)</f>
        <v>-3.9852031109630136E-3</v>
      </c>
      <c r="AJ85" s="6">
        <f>IFERROR(LN(Profit!C85/Profit!C84),AJ84)</f>
        <v>8.5506631973347649E-4</v>
      </c>
      <c r="AK85" s="6">
        <f>IFERROR(LN(Cotacao!BV86/Cotacao!BV85),AK84)</f>
        <v>1.5119716901148934E-3</v>
      </c>
      <c r="AL85" s="6">
        <f>IFERROR(LN(Cotacao!BX86/Cotacao!BX85),AL84)</f>
        <v>-2.3462387166596856E-3</v>
      </c>
      <c r="AN85" s="44" t="s">
        <v>24</v>
      </c>
      <c r="AO85" s="44">
        <f t="shared" si="190"/>
        <v>2.4114961702899343E-4</v>
      </c>
      <c r="AP85" s="44">
        <f t="shared" si="191"/>
        <v>1.7042509216392375E-4</v>
      </c>
      <c r="AQ85" s="44">
        <f t="shared" si="192"/>
        <v>1.371725435009031E-4</v>
      </c>
      <c r="AR85" s="44">
        <f t="shared" si="193"/>
        <v>2.9203227228794128E-4</v>
      </c>
      <c r="AS85" s="44">
        <f t="shared" si="194"/>
        <v>1.9263028382551377E-4</v>
      </c>
      <c r="AT85" s="44">
        <f t="shared" si="195"/>
        <v>1.816655953872054E-4</v>
      </c>
      <c r="AU85" s="44">
        <f t="shared" si="196"/>
        <v>1.6923194522680974E-4</v>
      </c>
      <c r="AV85" s="44">
        <f t="shared" si="197"/>
        <v>2.0956898036388343E-4</v>
      </c>
      <c r="AW85" s="44">
        <f t="shared" si="198"/>
        <v>3.9792118179848206E-4</v>
      </c>
      <c r="AX85" s="44">
        <f t="shared" si="199"/>
        <v>2.4530036221928847E-4</v>
      </c>
      <c r="AY85" s="44">
        <f t="shared" si="200"/>
        <v>2.9045697213632183E-4</v>
      </c>
      <c r="AZ85" s="44">
        <f t="shared" si="201"/>
        <v>1.1046810714334267E-4</v>
      </c>
      <c r="BA85" s="44">
        <f t="shared" si="202"/>
        <v>-3.7630483974681021E-5</v>
      </c>
      <c r="BB85" s="44">
        <f t="shared" si="203"/>
        <v>1.6296925889360819E-4</v>
      </c>
      <c r="BC85" s="44">
        <f t="shared" si="204"/>
        <v>3.3076179274356421E-4</v>
      </c>
      <c r="BD85" s="44">
        <f t="shared" si="205"/>
        <v>2.388928799216859E-4</v>
      </c>
      <c r="BE85" s="44">
        <f t="shared" si="206"/>
        <v>9.4038968204173895E-5</v>
      </c>
      <c r="BF85" s="44">
        <f t="shared" si="207"/>
        <v>2.1578502743735897E-4</v>
      </c>
      <c r="BG85" s="44">
        <f t="shared" si="208"/>
        <v>2.2169010288942035E-4</v>
      </c>
      <c r="BH85" s="44">
        <f t="shared" si="209"/>
        <v>1.5149243906665121E-4</v>
      </c>
      <c r="BI85" s="44">
        <f t="shared" si="210"/>
        <v>1.6505402404124898E-4</v>
      </c>
      <c r="BJ85" s="44">
        <f t="shared" ref="BJ85:BJ98" si="211">BJ124</f>
        <v>3.1455528726640294E-4</v>
      </c>
      <c r="BK85" s="44">
        <f t="array" ref="BK85:BW85">TRANSPOSE(BJ86:BJ98)</f>
        <v>1.8497245795214402E-4</v>
      </c>
      <c r="BL85" s="44">
        <v>1.700443647229512E-4</v>
      </c>
      <c r="BM85" s="44">
        <v>2.426448400128471E-4</v>
      </c>
      <c r="BN85" s="44">
        <v>2.1095464776584505E-4</v>
      </c>
      <c r="BO85" s="44">
        <v>5.0298350605737811E-4</v>
      </c>
      <c r="BP85" s="44">
        <v>2.9387057048092336E-4</v>
      </c>
      <c r="BQ85" s="44">
        <v>2.4464544815845846E-4</v>
      </c>
      <c r="BR85" s="44">
        <v>1.5804553876556959E-4</v>
      </c>
      <c r="BS85" s="44">
        <v>2.3874570395464764E-4</v>
      </c>
      <c r="BT85" s="44">
        <v>2.6851173641490115E-4</v>
      </c>
      <c r="BU85" s="44">
        <v>3.4153591246776673E-4</v>
      </c>
      <c r="BV85" s="44">
        <v>5.4971347054492839E-4</v>
      </c>
      <c r="BW85" s="44">
        <v>2.314330440647346E-4</v>
      </c>
    </row>
    <row r="86" spans="1:75">
      <c r="A86" s="3" t="str">
        <f>Cotacao!C86</f>
        <v>10/23/2019 16:56:00</v>
      </c>
      <c r="B86" s="6">
        <f>IFERROR(LN(Cotacao!D87/Cotacao!D86),B85)</f>
        <v>-3.2661977866210697E-3</v>
      </c>
      <c r="C86" s="6">
        <f>IFERROR(LN(Cotacao!F87/Cotacao!F86),C85)</f>
        <v>3.0903241337997618E-3</v>
      </c>
      <c r="D86" s="6">
        <f>IFERROR(LN(Cotacao!H87/Cotacao!H86),D85)</f>
        <v>1.5990865771853349E-3</v>
      </c>
      <c r="E86" s="6">
        <f>IFERROR(LN(Cotacao!J87/Cotacao!J86),E85)</f>
        <v>-1.5441184488377811E-2</v>
      </c>
      <c r="F86" s="6">
        <f>IFERROR(LN(Cotacao!L87/Cotacao!L86),F85)</f>
        <v>-1.9941377583241656E-2</v>
      </c>
      <c r="G86" s="6">
        <f>IFERROR(LN(Cotacao!N87/Cotacao!N86),G85)</f>
        <v>-7.3233251167522404E-4</v>
      </c>
      <c r="H86" s="6">
        <f>IFERROR(LN(Cotacao!P87/Cotacao!P86),H85)</f>
        <v>6.7600450577193615E-3</v>
      </c>
      <c r="I86" s="6">
        <f>IFERROR(LN(Cotacao!R87/Cotacao!R86),I85)</f>
        <v>5.7073126792908727E-3</v>
      </c>
      <c r="J86" s="6">
        <f>IFERROR(LN(Cotacao!T87/Cotacao!T86),J85)</f>
        <v>-2.40286160131068E-2</v>
      </c>
      <c r="K86" s="6">
        <f>IFERROR(LN(Cotacao!V87/Cotacao!V86),K85)</f>
        <v>3.3389012655146303E-3</v>
      </c>
      <c r="L86" s="6">
        <f>IFERROR(LN(Cotacao!X87/Cotacao!X86),L85)</f>
        <v>-3.010790933727647E-3</v>
      </c>
      <c r="M86" s="6">
        <f>IFERROR(LN(Profit!B86/Profit!B85),M85)</f>
        <v>-1.8889046896915142E-2</v>
      </c>
      <c r="N86" s="6">
        <f>IFERROR(LN(Cotacao!AB87/Cotacao!AB86),N85)</f>
        <v>-5.1948168771040228E-3</v>
      </c>
      <c r="O86" s="6">
        <f>IFERROR(LN(Cotacao!AD87/Cotacao!AD86),O85)</f>
        <v>-1.4489118514138252E-2</v>
      </c>
      <c r="P86" s="6">
        <f>IFERROR(LN(Cotacao!AF87/Cotacao!AF86),P85)</f>
        <v>-9.4118341823465953E-3</v>
      </c>
      <c r="Q86" s="6">
        <f>IFERROR(LN(Cotacao!AH87/Cotacao!AH86),Q85)</f>
        <v>-7.6710369772537085E-3</v>
      </c>
      <c r="R86" s="6">
        <f>IFERROR(LN(Cotacao!AJ87/Cotacao!AJ86),R85)</f>
        <v>3.3277900926747457E-3</v>
      </c>
      <c r="S86" s="6">
        <f>IFERROR(LN(Cotacao!AL87/Cotacao!AL86),S85)</f>
        <v>1.2554929458320028E-3</v>
      </c>
      <c r="T86" s="6">
        <f>IFERROR(LN(Cotacao!AN87/Cotacao!AN86),T85)</f>
        <v>5.9997022244014462E-3</v>
      </c>
      <c r="U86" s="6">
        <f>IFERROR(LN(Cotacao!AP87/Cotacao!AP86),U85)</f>
        <v>-6.2827431794951804E-3</v>
      </c>
      <c r="V86" s="6">
        <f>IFERROR(LN(Cotacao!AR87/Cotacao!AR86),V85)</f>
        <v>-1.7873105740957515E-3</v>
      </c>
      <c r="W86" s="6">
        <f>IFERROR(LN(Cotacao!AT87/Cotacao!AT86),W85)</f>
        <v>5.6728748204403039E-3</v>
      </c>
      <c r="X86" s="6">
        <f>IFERROR(LN(Cotacao!AV87/Cotacao!AV86),X85)</f>
        <v>9.2089390853099078E-3</v>
      </c>
      <c r="Y86" s="6">
        <f>IFERROR(LN(Cotacao!AX87/Cotacao!AX86),Y85)</f>
        <v>3.2206147000421572E-3</v>
      </c>
      <c r="Z86" s="6">
        <f>IFERROR(LN(Cotacao!AZ87/Cotacao!AZ86),Z85)</f>
        <v>6.1957874544079743E-2</v>
      </c>
      <c r="AA86" s="6">
        <f>IFERROR(LN(Cotacao!BB87/Cotacao!BB86),AA85)</f>
        <v>3.7140246963713874E-3</v>
      </c>
      <c r="AB86" s="6">
        <f>IFERROR(LN(Cotacao!BD87/Cotacao!BD86),AB85)</f>
        <v>-3.0558734147690992E-2</v>
      </c>
      <c r="AC86" s="6">
        <f>IFERROR(LN(Cotacao!BF87/Cotacao!BF86),AC85)</f>
        <v>-5.712487765391361E-3</v>
      </c>
      <c r="AD86" s="6">
        <f>IFERROR(LN(Cotacao!BH87/Cotacao!BH86),AD85)</f>
        <v>1.2960335828444001E-2</v>
      </c>
      <c r="AE86" s="6">
        <f>IFERROR(LN(Cotacao!BJ87/Cotacao!BJ86),AE85)</f>
        <v>1.2933748784568277E-2</v>
      </c>
      <c r="AF86" s="6">
        <f>IFERROR(LN(Cotacao!BL87/Cotacao!BL86),AF85)</f>
        <v>1.0011635414246741E-2</v>
      </c>
      <c r="AG86" s="6">
        <f>IFERROR(LN(Cotacao!BN87/Cotacao!BN86),AG85)</f>
        <v>7.8464164690472907E-3</v>
      </c>
      <c r="AH86" s="6">
        <f>IFERROR(LN(Cotacao!BP87/Cotacao!BP86),AH85)</f>
        <v>-2.2001935193485249E-2</v>
      </c>
      <c r="AI86" s="6">
        <f>IFERROR(LN(Cotacao!BR87/Cotacao!BR86),AI85)</f>
        <v>1.5284758364896383E-2</v>
      </c>
      <c r="AJ86" s="6">
        <f>IFERROR(LN(Profit!C86/Profit!C85),AJ85)</f>
        <v>-1.2037978559478867E-2</v>
      </c>
      <c r="AK86" s="6">
        <f>IFERROR(LN(Cotacao!BV87/Cotacao!BV86),AK85)</f>
        <v>-5.1968669200306763E-3</v>
      </c>
      <c r="AL86" s="6">
        <f>IFERROR(LN(Cotacao!BX87/Cotacao!BX86),AL85)</f>
        <v>-6.7136625549582801E-4</v>
      </c>
      <c r="AN86" s="44" t="s">
        <v>25</v>
      </c>
      <c r="AO86" s="44">
        <f t="shared" si="190"/>
        <v>2.6795211238343097E-4</v>
      </c>
      <c r="AP86" s="44">
        <f t="shared" si="191"/>
        <v>1.2899233725088629E-4</v>
      </c>
      <c r="AQ86" s="44">
        <f t="shared" si="192"/>
        <v>1.4454041781495201E-4</v>
      </c>
      <c r="AR86" s="44">
        <f t="shared" si="193"/>
        <v>3.816780067740783E-4</v>
      </c>
      <c r="AS86" s="44">
        <f t="shared" si="194"/>
        <v>2.2263839620230425E-4</v>
      </c>
      <c r="AT86" s="44">
        <f t="shared" si="195"/>
        <v>1.8958673505757213E-4</v>
      </c>
      <c r="AU86" s="44">
        <f t="shared" si="196"/>
        <v>1.8308849760845382E-4</v>
      </c>
      <c r="AV86" s="44">
        <f t="shared" si="197"/>
        <v>1.8922448979460374E-4</v>
      </c>
      <c r="AW86" s="44">
        <f t="shared" si="198"/>
        <v>3.8182132627924127E-4</v>
      </c>
      <c r="AX86" s="44">
        <f t="shared" si="199"/>
        <v>2.8471330334944964E-4</v>
      </c>
      <c r="AY86" s="44">
        <f t="shared" si="200"/>
        <v>3.1789123876133546E-4</v>
      </c>
      <c r="AZ86" s="44">
        <f t="shared" si="201"/>
        <v>1.2073143162296349E-4</v>
      </c>
      <c r="BA86" s="44">
        <f t="shared" si="202"/>
        <v>-1.1410934123405922E-5</v>
      </c>
      <c r="BB86" s="44">
        <f t="shared" si="203"/>
        <v>2.1711642570903625E-4</v>
      </c>
      <c r="BC86" s="44">
        <f t="shared" si="204"/>
        <v>3.9211341853672224E-4</v>
      </c>
      <c r="BD86" s="44">
        <f t="shared" si="205"/>
        <v>2.4740161891937524E-4</v>
      </c>
      <c r="BE86" s="44">
        <f t="shared" si="206"/>
        <v>5.8185944168081757E-5</v>
      </c>
      <c r="BF86" s="44">
        <f t="shared" si="207"/>
        <v>2.2992976687707524E-4</v>
      </c>
      <c r="BG86" s="44">
        <f t="shared" si="208"/>
        <v>2.4997391259592788E-4</v>
      </c>
      <c r="BH86" s="44">
        <f t="shared" si="209"/>
        <v>1.5526681544711387E-4</v>
      </c>
      <c r="BI86" s="44">
        <f t="shared" si="210"/>
        <v>1.5059582718876099E-4</v>
      </c>
      <c r="BJ86" s="44">
        <f t="shared" si="211"/>
        <v>1.8497245795214402E-4</v>
      </c>
      <c r="BK86" s="44">
        <f t="shared" ref="BK86:BK98" si="212">BK125</f>
        <v>3.1678860817496468E-4</v>
      </c>
      <c r="BL86" s="44">
        <f t="array" ref="BL86:BW86">TRANSPOSE(BK87:BK98)</f>
        <v>1.9323051063078748E-4</v>
      </c>
      <c r="BM86" s="44">
        <v>2.552477426453132E-4</v>
      </c>
      <c r="BN86" s="44">
        <v>2.4686078907430839E-4</v>
      </c>
      <c r="BO86" s="44">
        <v>5.2786180770185789E-4</v>
      </c>
      <c r="BP86" s="44">
        <v>3.0366320260807108E-4</v>
      </c>
      <c r="BQ86" s="44">
        <v>2.5366494610011477E-4</v>
      </c>
      <c r="BR86" s="44">
        <v>1.7636608752325084E-4</v>
      </c>
      <c r="BS86" s="44">
        <v>2.3473707249105306E-4</v>
      </c>
      <c r="BT86" s="44">
        <v>2.6585995674757571E-4</v>
      </c>
      <c r="BU86" s="44">
        <v>3.4127092464964712E-4</v>
      </c>
      <c r="BV86" s="44">
        <v>6.3299120722833807E-4</v>
      </c>
      <c r="BW86" s="44">
        <v>2.6320917071503334E-4</v>
      </c>
    </row>
    <row r="87" spans="1:75">
      <c r="A87" s="3" t="str">
        <f>Cotacao!C87</f>
        <v>10/24/2019 16:56:00</v>
      </c>
      <c r="B87" s="6">
        <f>IFERROR(LN(Cotacao!D88/Cotacao!D87),B86)</f>
        <v>1.0899183640256005E-3</v>
      </c>
      <c r="C87" s="6">
        <f>IFERROR(LN(Cotacao!F88/Cotacao!F87),C86)</f>
        <v>-1.298719552681119E-2</v>
      </c>
      <c r="D87" s="6">
        <f>IFERROR(LN(Cotacao!H88/Cotacao!H87),D86)</f>
        <v>-6.4117462616008957E-3</v>
      </c>
      <c r="E87" s="6">
        <f>IFERROR(LN(Cotacao!J88/Cotacao!J87),E86)</f>
        <v>1.946533478810325E-2</v>
      </c>
      <c r="F87" s="6">
        <f>IFERROR(LN(Cotacao!L88/Cotacao!L87),F86)</f>
        <v>-1.7019351238195077E-2</v>
      </c>
      <c r="G87" s="6">
        <f>IFERROR(LN(Cotacao!N88/Cotacao!N87),G86)</f>
        <v>1.0204170174241668E-2</v>
      </c>
      <c r="H87" s="6">
        <f>IFERROR(LN(Cotacao!P88/Cotacao!P87),H86)</f>
        <v>2.8832312140849347E-3</v>
      </c>
      <c r="I87" s="6">
        <f>IFERROR(LN(Cotacao!R88/Cotacao!R87),I86)</f>
        <v>2.0304575503819213E-3</v>
      </c>
      <c r="J87" s="6">
        <f>IFERROR(LN(Cotacao!T88/Cotacao!T87),J86)</f>
        <v>5.1978170736169168E-3</v>
      </c>
      <c r="K87" s="6">
        <f>IFERROR(LN(Cotacao!V88/Cotacao!V87),K86)</f>
        <v>-8.3682496705165792E-3</v>
      </c>
      <c r="L87" s="6">
        <f>IFERROR(LN(Cotacao!X88/Cotacao!X87),L86)</f>
        <v>-1.6753225034987442E-4</v>
      </c>
      <c r="M87" s="6">
        <f>IFERROR(LN(Profit!B87/Profit!B86),M86)</f>
        <v>3.6663611776433327E-4</v>
      </c>
      <c r="N87" s="6">
        <f>IFERROR(LN(Cotacao!AB88/Cotacao!AB87),N86)</f>
        <v>-8.684325339539295E-4</v>
      </c>
      <c r="O87" s="6">
        <f>IFERROR(LN(Cotacao!AD88/Cotacao!AD87),O86)</f>
        <v>9.6827007164173289E-3</v>
      </c>
      <c r="P87" s="6">
        <f>IFERROR(LN(Cotacao!AF88/Cotacao!AF87),P86)</f>
        <v>1.7741051084849566E-2</v>
      </c>
      <c r="Q87" s="6">
        <f>IFERROR(LN(Cotacao!AH88/Cotacao!AH87),Q86)</f>
        <v>3.7985891016546904E-2</v>
      </c>
      <c r="R87" s="6">
        <f>IFERROR(LN(Cotacao!AJ88/Cotacao!AJ87),R86)</f>
        <v>-2.0813104433694191E-2</v>
      </c>
      <c r="S87" s="6">
        <f>IFERROR(LN(Cotacao!AL88/Cotacao!AL87),S86)</f>
        <v>-5.0314571553670955E-3</v>
      </c>
      <c r="T87" s="6">
        <f>IFERROR(LN(Cotacao!AN88/Cotacao!AN87),T86)</f>
        <v>-2.8374776013217135E-3</v>
      </c>
      <c r="U87" s="6">
        <f>IFERROR(LN(Cotacao!AP88/Cotacao!AP87),U86)</f>
        <v>8.3682496705165792E-3</v>
      </c>
      <c r="V87" s="6">
        <f>IFERROR(LN(Cotacao!AR88/Cotacao!AR87),V86)</f>
        <v>1.7873105740956587E-3</v>
      </c>
      <c r="W87" s="6">
        <f>IFERROR(LN(Cotacao!AT88/Cotacao!AT87),W86)</f>
        <v>-8.1313838920457214E-4</v>
      </c>
      <c r="X87" s="6">
        <f>IFERROR(LN(Cotacao!AV88/Cotacao!AV87),X86)</f>
        <v>1.1393183829443003E-2</v>
      </c>
      <c r="Y87" s="6">
        <f>IFERROR(LN(Cotacao!AX88/Cotacao!AX87),Y86)</f>
        <v>0</v>
      </c>
      <c r="Z87" s="6">
        <f>IFERROR(LN(Cotacao!AZ88/Cotacao!AZ87),Z86)</f>
        <v>3.8027395589239323E-2</v>
      </c>
      <c r="AA87" s="6">
        <f>IFERROR(LN(Cotacao!BB88/Cotacao!BB87),AA86)</f>
        <v>-4.0241502997254907E-3</v>
      </c>
      <c r="AB87" s="6">
        <f>IFERROR(LN(Cotacao!BD88/Cotacao!BD87),AB86)</f>
        <v>-1.7720487321363481E-2</v>
      </c>
      <c r="AC87" s="6">
        <f>IFERROR(LN(Cotacao!BF88/Cotacao!BF87),AC86)</f>
        <v>1.8291269972251389E-2</v>
      </c>
      <c r="AD87" s="6">
        <f>IFERROR(LN(Cotacao!BH88/Cotacao!BH87),AD86)</f>
        <v>-9.0822146244391912E-3</v>
      </c>
      <c r="AE87" s="6">
        <f>IFERROR(LN(Cotacao!BJ88/Cotacao!BJ87),AE86)</f>
        <v>-1.3443611926238169E-3</v>
      </c>
      <c r="AF87" s="6">
        <f>IFERROR(LN(Cotacao!BL88/Cotacao!BL87),AF86)</f>
        <v>-2.6792516996575103E-2</v>
      </c>
      <c r="AG87" s="6">
        <f>IFERROR(LN(Cotacao!BN88/Cotacao!BN87),AG86)</f>
        <v>-4.3285649363742863E-3</v>
      </c>
      <c r="AH87" s="6">
        <f>IFERROR(LN(Cotacao!BP88/Cotacao!BP87),AH86)</f>
        <v>3.2311304852346567E-2</v>
      </c>
      <c r="AI87" s="6">
        <f>IFERROR(LN(Cotacao!BR88/Cotacao!BR87),AI86)</f>
        <v>6.7189502487450094E-3</v>
      </c>
      <c r="AJ87" s="6">
        <f>IFERROR(LN(Profit!C87/Profit!C86),AJ86)</f>
        <v>5.1768881795337274E-3</v>
      </c>
      <c r="AK87" s="6">
        <f>IFERROR(LN(Cotacao!BV88/Cotacao!BV87),AK86)</f>
        <v>3.5234012745050678E-3</v>
      </c>
      <c r="AL87" s="6">
        <f>IFERROR(LN(Cotacao!BX88/Cotacao!BX87),AL86)</f>
        <v>4.3558453859937792E-3</v>
      </c>
      <c r="AN87" s="44" t="s">
        <v>26</v>
      </c>
      <c r="AO87" s="44">
        <f t="shared" si="190"/>
        <v>2.468760865135481E-4</v>
      </c>
      <c r="AP87" s="44">
        <f t="shared" si="191"/>
        <v>1.6535993817544617E-4</v>
      </c>
      <c r="AQ87" s="44">
        <f t="shared" si="192"/>
        <v>1.4328245071213588E-4</v>
      </c>
      <c r="AR87" s="44">
        <f t="shared" si="193"/>
        <v>2.4978065085289584E-4</v>
      </c>
      <c r="AS87" s="44">
        <f t="shared" si="194"/>
        <v>1.8547582630878628E-4</v>
      </c>
      <c r="AT87" s="44">
        <f t="shared" si="195"/>
        <v>1.8112631241604506E-4</v>
      </c>
      <c r="AU87" s="44">
        <f t="shared" si="196"/>
        <v>1.5474865506430449E-4</v>
      </c>
      <c r="AV87" s="44">
        <f t="shared" si="197"/>
        <v>2.0561333311680069E-4</v>
      </c>
      <c r="AW87" s="44">
        <f t="shared" si="198"/>
        <v>3.4025090110825117E-4</v>
      </c>
      <c r="AX87" s="44">
        <f t="shared" si="199"/>
        <v>2.3656211255940939E-4</v>
      </c>
      <c r="AY87" s="44">
        <f t="shared" si="200"/>
        <v>2.7689380617764169E-4</v>
      </c>
      <c r="AZ87" s="44">
        <f t="shared" si="201"/>
        <v>1.1488952466212426E-4</v>
      </c>
      <c r="BA87" s="44">
        <f t="shared" si="202"/>
        <v>-1.8973766240387179E-5</v>
      </c>
      <c r="BB87" s="44">
        <f t="shared" si="203"/>
        <v>1.691733422881233E-4</v>
      </c>
      <c r="BC87" s="44">
        <f t="shared" si="204"/>
        <v>2.8815187532880006E-4</v>
      </c>
      <c r="BD87" s="44">
        <f t="shared" si="205"/>
        <v>2.3147574354687211E-4</v>
      </c>
      <c r="BE87" s="44">
        <f t="shared" si="206"/>
        <v>4.7650213153209377E-5</v>
      </c>
      <c r="BF87" s="44">
        <f t="shared" si="207"/>
        <v>1.9077478494868122E-4</v>
      </c>
      <c r="BG87" s="44">
        <f t="shared" si="208"/>
        <v>2.1424128054427165E-4</v>
      </c>
      <c r="BH87" s="44">
        <f t="shared" si="209"/>
        <v>1.5070927794341601E-4</v>
      </c>
      <c r="BI87" s="44">
        <f t="shared" si="210"/>
        <v>1.525443838454534E-4</v>
      </c>
      <c r="BJ87" s="44">
        <f t="shared" si="211"/>
        <v>1.700443647229512E-4</v>
      </c>
      <c r="BK87" s="44">
        <f t="shared" si="212"/>
        <v>1.9323051063078748E-4</v>
      </c>
      <c r="BL87" s="44">
        <f t="shared" ref="BL87:BL98" si="213">BL126</f>
        <v>2.5710188948087782E-4</v>
      </c>
      <c r="BM87" s="44">
        <f t="array" ref="BM87:BW87">TRANSPOSE(BL88:BL98)</f>
        <v>1.8484274556093463E-4</v>
      </c>
      <c r="BN87" s="44">
        <v>1.7616789598942333E-4</v>
      </c>
      <c r="BO87" s="44">
        <v>4.3575360955962878E-4</v>
      </c>
      <c r="BP87" s="44">
        <v>2.4301292547759102E-4</v>
      </c>
      <c r="BQ87" s="44">
        <v>1.8711679776766673E-4</v>
      </c>
      <c r="BR87" s="44">
        <v>1.4741601878958362E-4</v>
      </c>
      <c r="BS87" s="44">
        <v>1.573259004799959E-4</v>
      </c>
      <c r="BT87" s="44">
        <v>2.2707724468820062E-4</v>
      </c>
      <c r="BU87" s="44">
        <v>2.7145913872564695E-4</v>
      </c>
      <c r="BV87" s="44">
        <v>4.9585812199570234E-4</v>
      </c>
      <c r="BW87" s="44">
        <v>1.9267871868022853E-4</v>
      </c>
    </row>
    <row r="88" spans="1:75">
      <c r="A88" s="3" t="str">
        <f>Cotacao!C88</f>
        <v>10/25/2019 16:56:00</v>
      </c>
      <c r="B88" s="6">
        <f>IFERROR(LN(Cotacao!D89/Cotacao!D88),B87)</f>
        <v>1.1372990172269981E-2</v>
      </c>
      <c r="C88" s="6">
        <f>IFERROR(LN(Cotacao!F89/Cotacao!F88),C87)</f>
        <v>-1.1719442407356766E-2</v>
      </c>
      <c r="D88" s="6">
        <f>IFERROR(LN(Cotacao!H89/Cotacao!H88),D87)</f>
        <v>1.5726819865094065E-2</v>
      </c>
      <c r="E88" s="6">
        <f>IFERROR(LN(Cotacao!J89/Cotacao!J88),E87)</f>
        <v>3.3955097765490966E-2</v>
      </c>
      <c r="F88" s="6">
        <f>IFERROR(LN(Cotacao!L89/Cotacao!L88),F87)</f>
        <v>2.4611578596566881E-2</v>
      </c>
      <c r="G88" s="6">
        <f>IFERROR(LN(Cotacao!N89/Cotacao!N88),G87)</f>
        <v>8.6643141301412183E-3</v>
      </c>
      <c r="H88" s="6">
        <f>IFERROR(LN(Cotacao!P89/Cotacao!P88),H87)</f>
        <v>1.8384035982851567E-2</v>
      </c>
      <c r="I88" s="6">
        <f>IFERROR(LN(Cotacao!R89/Cotacao!R88),I87)</f>
        <v>2.0263431452324674E-3</v>
      </c>
      <c r="J88" s="6">
        <f>IFERROR(LN(Cotacao!T89/Cotacao!T88),J87)</f>
        <v>9.1743762760412295E-3</v>
      </c>
      <c r="K88" s="6">
        <f>IFERROR(LN(Cotacao!V89/Cotacao!V88),K87)</f>
        <v>5.0293484050019585E-3</v>
      </c>
      <c r="L88" s="6">
        <f>IFERROR(LN(Cotacao!X89/Cotacao!X88),L87)</f>
        <v>9.4218398237626375E-3</v>
      </c>
      <c r="M88" s="6">
        <f>IFERROR(LN(Profit!B88/Profit!B87),M87)</f>
        <v>-5.5137063044210805E-3</v>
      </c>
      <c r="N88" s="6">
        <f>IFERROR(LN(Cotacao!AB89/Cotacao!AB88),N87)</f>
        <v>1.7361115471762956E-3</v>
      </c>
      <c r="O88" s="6">
        <f>IFERROR(LN(Cotacao!AD89/Cotacao!AD88),O87)</f>
        <v>1.2237449869669546E-2</v>
      </c>
      <c r="P88" s="6">
        <f>IFERROR(LN(Cotacao!AF89/Cotacao!AF88),P87)</f>
        <v>-1.4706147389695562E-2</v>
      </c>
      <c r="Q88" s="6">
        <f>IFERROR(LN(Cotacao!AH89/Cotacao!AH88),Q87)</f>
        <v>2.8788833373012907E-3</v>
      </c>
      <c r="R88" s="6">
        <f>IFERROR(LN(Cotacao!AJ89/Cotacao!AJ88),R87)</f>
        <v>3.1609870528661456E-3</v>
      </c>
      <c r="S88" s="6">
        <f>IFERROR(LN(Cotacao!AL89/Cotacao!AL88),S87)</f>
        <v>-3.7902761737806908E-3</v>
      </c>
      <c r="T88" s="6">
        <f>IFERROR(LN(Cotacao!AN89/Cotacao!AN88),T87)</f>
        <v>9.1143054068145157E-3</v>
      </c>
      <c r="U88" s="6">
        <f>IFERROR(LN(Cotacao!AP89/Cotacao!AP88),U87)</f>
        <v>-1.2507819016527137E-3</v>
      </c>
      <c r="V88" s="6">
        <f>IFERROR(LN(Cotacao!AR89/Cotacao!AR88),V87)</f>
        <v>0</v>
      </c>
      <c r="W88" s="6">
        <f>IFERROR(LN(Cotacao!AT89/Cotacao!AT88),W87)</f>
        <v>6.5438130981895892E-3</v>
      </c>
      <c r="X88" s="6">
        <f>IFERROR(LN(Cotacao!AV89/Cotacao!AV88),X87)</f>
        <v>-3.7833235153015786E-3</v>
      </c>
      <c r="Y88" s="6">
        <f>IFERROR(LN(Cotacao!AX89/Cotacao!AX88),Y87)</f>
        <v>8.0353559968317299E-4</v>
      </c>
      <c r="Z88" s="6">
        <f>IFERROR(LN(Cotacao!AZ89/Cotacao!AZ88),Z87)</f>
        <v>2.5784117155714634E-2</v>
      </c>
      <c r="AA88" s="6">
        <f>IFERROR(LN(Cotacao!BB89/Cotacao!BB88),AA87)</f>
        <v>8.4628481736047402E-3</v>
      </c>
      <c r="AB88" s="6">
        <f>IFERROR(LN(Cotacao!BD89/Cotacao!BD88),AB87)</f>
        <v>1.3025643017155843E-2</v>
      </c>
      <c r="AC88" s="6">
        <f>IFERROR(LN(Cotacao!BF89/Cotacao!BF88),AC87)</f>
        <v>3.0771658666753687E-2</v>
      </c>
      <c r="AD88" s="6">
        <f>IFERROR(LN(Cotacao!BH89/Cotacao!BH88),AD87)</f>
        <v>1.7267799210878627E-2</v>
      </c>
      <c r="AE88" s="6">
        <f>IFERROR(LN(Cotacao!BJ89/Cotacao!BJ88),AE87)</f>
        <v>1.0067882637615003E-2</v>
      </c>
      <c r="AF88" s="6">
        <f>IFERROR(LN(Cotacao!BL89/Cotacao!BL88),AF87)</f>
        <v>6.6679988186238402E-3</v>
      </c>
      <c r="AG88" s="6">
        <f>IFERROR(LN(Cotacao!BN89/Cotacao!BN88),AG87)</f>
        <v>6.9987934922532188E-3</v>
      </c>
      <c r="AH88" s="6">
        <f>IFERROR(LN(Cotacao!BP89/Cotacao!BP88),AH87)</f>
        <v>1.1894787652149146E-2</v>
      </c>
      <c r="AI88" s="6">
        <f>IFERROR(LN(Cotacao!BR89/Cotacao!BR88),AI87)</f>
        <v>1.3303965626362666E-2</v>
      </c>
      <c r="AJ88" s="6">
        <f>IFERROR(LN(Profit!C88/Profit!C87),AJ87)</f>
        <v>-3.4482792789159327E-3</v>
      </c>
      <c r="AK88" s="6">
        <f>IFERROR(LN(Cotacao!BV89/Cotacao!BV88),AK87)</f>
        <v>7.6389778087786369E-3</v>
      </c>
      <c r="AL88" s="6">
        <f>IFERROR(LN(Cotacao!BX89/Cotacao!BX88),AL87)</f>
        <v>-9.7430638022039176E-3</v>
      </c>
      <c r="AN88" s="44" t="s">
        <v>27</v>
      </c>
      <c r="AO88" s="44">
        <f t="shared" si="190"/>
        <v>3.6740016886215265E-4</v>
      </c>
      <c r="AP88" s="44">
        <f t="shared" si="191"/>
        <v>1.9580890941442577E-4</v>
      </c>
      <c r="AQ88" s="44">
        <f t="shared" si="192"/>
        <v>2.0875226014994858E-4</v>
      </c>
      <c r="AR88" s="44">
        <f t="shared" si="193"/>
        <v>5.2544040041328799E-4</v>
      </c>
      <c r="AS88" s="44">
        <f t="shared" si="194"/>
        <v>3.2602824324719725E-4</v>
      </c>
      <c r="AT88" s="44">
        <f t="shared" si="195"/>
        <v>2.9922705974060705E-4</v>
      </c>
      <c r="AU88" s="44">
        <f t="shared" si="196"/>
        <v>2.9133897622846963E-4</v>
      </c>
      <c r="AV88" s="44">
        <f t="shared" si="197"/>
        <v>3.194515349473953E-4</v>
      </c>
      <c r="AW88" s="44">
        <f t="shared" si="198"/>
        <v>5.5154150561794889E-4</v>
      </c>
      <c r="AX88" s="44">
        <f t="shared" si="199"/>
        <v>3.7461020205613814E-4</v>
      </c>
      <c r="AY88" s="44">
        <f t="shared" si="200"/>
        <v>3.0843146197776037E-4</v>
      </c>
      <c r="AZ88" s="44">
        <f t="shared" si="201"/>
        <v>1.7012877895089914E-4</v>
      </c>
      <c r="BA88" s="44">
        <f t="shared" si="202"/>
        <v>-7.2754848974341919E-5</v>
      </c>
      <c r="BB88" s="44">
        <f t="shared" si="203"/>
        <v>3.1845059820529245E-4</v>
      </c>
      <c r="BC88" s="44">
        <f t="shared" si="204"/>
        <v>4.3799708379113194E-4</v>
      </c>
      <c r="BD88" s="44">
        <f t="shared" si="205"/>
        <v>4.3413349937294714E-4</v>
      </c>
      <c r="BE88" s="44">
        <f t="shared" si="206"/>
        <v>1.7584722927962458E-4</v>
      </c>
      <c r="BF88" s="44">
        <f t="shared" si="207"/>
        <v>3.7208866460072663E-4</v>
      </c>
      <c r="BG88" s="44">
        <f t="shared" si="208"/>
        <v>2.9239890091295858E-4</v>
      </c>
      <c r="BH88" s="44">
        <f t="shared" si="209"/>
        <v>1.7740402889034041E-4</v>
      </c>
      <c r="BI88" s="44">
        <f t="shared" si="210"/>
        <v>1.7257441566362653E-4</v>
      </c>
      <c r="BJ88" s="44">
        <f t="shared" si="211"/>
        <v>2.426448400128471E-4</v>
      </c>
      <c r="BK88" s="44">
        <f t="shared" si="212"/>
        <v>2.552477426453132E-4</v>
      </c>
      <c r="BL88" s="44">
        <f t="shared" si="213"/>
        <v>1.8484274556093463E-4</v>
      </c>
      <c r="BM88" s="44">
        <f t="shared" ref="BM88:BM98" si="214">BM127</f>
        <v>8.5216669548766758E-4</v>
      </c>
      <c r="BN88" s="44">
        <f t="array" ref="BN88:BW88">TRANSPOSE(BM89:BM98)</f>
        <v>2.5863364775210963E-4</v>
      </c>
      <c r="BO88" s="44">
        <v>7.193557595567405E-4</v>
      </c>
      <c r="BP88" s="44">
        <v>3.6787969143479505E-4</v>
      </c>
      <c r="BQ88" s="44">
        <v>4.9725949422437486E-4</v>
      </c>
      <c r="BR88" s="44">
        <v>2.1581973723981213E-4</v>
      </c>
      <c r="BS88" s="44">
        <v>3.8288642345024322E-4</v>
      </c>
      <c r="BT88" s="44">
        <v>4.4693354587760695E-4</v>
      </c>
      <c r="BU88" s="44">
        <v>5.7402821280359145E-4</v>
      </c>
      <c r="BV88" s="44">
        <v>8.7694280546516009E-4</v>
      </c>
      <c r="BW88" s="44">
        <v>3.9085236528008343E-4</v>
      </c>
    </row>
    <row r="89" spans="1:75">
      <c r="A89" s="3" t="str">
        <f>Cotacao!C89</f>
        <v>10/28/2019 16:56:00</v>
      </c>
      <c r="B89" s="6">
        <f>IFERROR(LN(Cotacao!D90/Cotacao!D89),B88)</f>
        <v>-9.7403367483846412E-3</v>
      </c>
      <c r="C89" s="6">
        <f>IFERROR(LN(Cotacao!F90/Cotacao!F89),C88)</f>
        <v>-1.7401831238692222E-2</v>
      </c>
      <c r="D89" s="6">
        <f>IFERROR(LN(Cotacao!H90/Cotacao!H89),D88)</f>
        <v>1.0572587516059906E-2</v>
      </c>
      <c r="E89" s="6">
        <f>IFERROR(LN(Cotacao!J90/Cotacao!J89),E88)</f>
        <v>-1.4073727211662078E-2</v>
      </c>
      <c r="F89" s="6">
        <f>IFERROR(LN(Cotacao!L90/Cotacao!L89),F88)</f>
        <v>7.5350195044182021E-3</v>
      </c>
      <c r="G89" s="6">
        <f>IFERROR(LN(Cotacao!N90/Cotacao!N89),G88)</f>
        <v>-9.3897403498390316E-3</v>
      </c>
      <c r="H89" s="6">
        <f>IFERROR(LN(Cotacao!P90/Cotacao!P89),H88)</f>
        <v>-1.4871338773595444E-2</v>
      </c>
      <c r="I89" s="6">
        <f>IFERROR(LN(Cotacao!R90/Cotacao!R89),I88)</f>
        <v>4.846536142529773E-3</v>
      </c>
      <c r="J89" s="6">
        <f>IFERROR(LN(Cotacao!T90/Cotacao!T89),J88)</f>
        <v>2.9802599270644645E-2</v>
      </c>
      <c r="K89" s="6">
        <f>IFERROR(LN(Cotacao!V90/Cotacao!V89),K88)</f>
        <v>-3.3500868852820854E-3</v>
      </c>
      <c r="L89" s="6">
        <f>IFERROR(LN(Cotacao!X90/Cotacao!X89),L88)</f>
        <v>2.4591403137322113E-2</v>
      </c>
      <c r="M89" s="6">
        <f>IFERROR(LN(Profit!B89/Profit!B88),M88)</f>
        <v>-4.4329588663161116E-3</v>
      </c>
      <c r="N89" s="6">
        <f>IFERROR(LN(Cotacao!AB90/Cotacao!AB89),N88)</f>
        <v>8.2056171924523909E-3</v>
      </c>
      <c r="O89" s="6">
        <f>IFERROR(LN(Cotacao!AD90/Cotacao!AD89),O88)</f>
        <v>-4.2395400013051599E-3</v>
      </c>
      <c r="P89" s="6">
        <f>IFERROR(LN(Cotacao!AF90/Cotacao!AF89),P88)</f>
        <v>3.3613477027049274E-3</v>
      </c>
      <c r="Q89" s="6">
        <f>IFERROR(LN(Cotacao!AH90/Cotacao!AH89),Q88)</f>
        <v>-1.0272214565301364E-3</v>
      </c>
      <c r="R89" s="6">
        <f>IFERROR(LN(Cotacao!AJ90/Cotacao!AJ89),R88)</f>
        <v>4.2739914346519685E-3</v>
      </c>
      <c r="S89" s="6">
        <f>IFERROR(LN(Cotacao!AL90/Cotacao!AL89),S88)</f>
        <v>-1.1457795621381274E-2</v>
      </c>
      <c r="T89" s="6">
        <f>IFERROR(LN(Cotacao!AN90/Cotacao!AN89),T88)</f>
        <v>1.3054474657859409E-2</v>
      </c>
      <c r="U89" s="6">
        <f>IFERROR(LN(Cotacao!AP90/Cotacao!AP89),U88)</f>
        <v>2.5943394492024239E-2</v>
      </c>
      <c r="V89" s="6">
        <f>IFERROR(LN(Cotacao!AR90/Cotacao!AR89),V88)</f>
        <v>-8.9325597721499092E-4</v>
      </c>
      <c r="W89" s="6">
        <f>IFERROR(LN(Cotacao!AT90/Cotacao!AT89),W88)</f>
        <v>-8.196767204178515E-3</v>
      </c>
      <c r="X89" s="6">
        <f>IFERROR(LN(Cotacao!AV90/Cotacao!AV89),X88)</f>
        <v>1.7214671147426804E-3</v>
      </c>
      <c r="Y89" s="6">
        <f>IFERROR(LN(Cotacao!AX90/Cotacao!AX89),Y88)</f>
        <v>5.6067427612358717E-3</v>
      </c>
      <c r="Z89" s="6">
        <f>IFERROR(LN(Cotacao!AZ90/Cotacao!AZ89),Z88)</f>
        <v>3.5718082602079246E-2</v>
      </c>
      <c r="AA89" s="6">
        <f>IFERROR(LN(Cotacao!BB90/Cotacao!BB89),AA88)</f>
        <v>-1.2303149621804453E-4</v>
      </c>
      <c r="AB89" s="6">
        <f>IFERROR(LN(Cotacao!BD90/Cotacao!BD89),AB88)</f>
        <v>-1.123939663569189E-2</v>
      </c>
      <c r="AC89" s="6">
        <f>IFERROR(LN(Cotacao!BF90/Cotacao!BF89),AC88)</f>
        <v>2.5726815238509077E-2</v>
      </c>
      <c r="AD89" s="6">
        <f>IFERROR(LN(Cotacao!BH90/Cotacao!BH89),AD88)</f>
        <v>8.9274230141036231E-3</v>
      </c>
      <c r="AE89" s="6">
        <f>IFERROR(LN(Cotacao!BJ90/Cotacao!BJ89),AE88)</f>
        <v>-6.9144112086432655E-3</v>
      </c>
      <c r="AF89" s="6">
        <f>IFERROR(LN(Cotacao!BL90/Cotacao!BL89),AF88)</f>
        <v>-2.3483376741073965E-3</v>
      </c>
      <c r="AG89" s="6">
        <f>IFERROR(LN(Cotacao!BN90/Cotacao!BN89),AG88)</f>
        <v>-1.7589693026986659E-2</v>
      </c>
      <c r="AH89" s="6">
        <f>IFERROR(LN(Cotacao!BP90/Cotacao!BP89),AH88)</f>
        <v>7.4049480065776505E-3</v>
      </c>
      <c r="AI89" s="6">
        <f>IFERROR(LN(Cotacao!BR90/Cotacao!BR89),AI88)</f>
        <v>1.2041743754393684E-2</v>
      </c>
      <c r="AJ89" s="6">
        <f>IFERROR(LN(Profit!C89/Profit!C88),AJ88)</f>
        <v>-8.6393093926390727E-4</v>
      </c>
      <c r="AK89" s="6">
        <f>IFERROR(LN(Cotacao!BV90/Cotacao!BV89),AK88)</f>
        <v>-5.8477064091845112E-3</v>
      </c>
      <c r="AL89" s="6">
        <f>IFERROR(LN(Cotacao!BX90/Cotacao!BX89),AL88)</f>
        <v>-4.0595454938786163E-3</v>
      </c>
      <c r="AN89" s="44" t="s">
        <v>28</v>
      </c>
      <c r="AO89" s="44">
        <f t="shared" si="190"/>
        <v>3.9209846213782027E-4</v>
      </c>
      <c r="AP89" s="44">
        <f t="shared" si="191"/>
        <v>1.0887629896752071E-4</v>
      </c>
      <c r="AQ89" s="44">
        <f t="shared" si="192"/>
        <v>1.5231484521321942E-4</v>
      </c>
      <c r="AR89" s="44">
        <f t="shared" si="193"/>
        <v>5.5797850267515659E-4</v>
      </c>
      <c r="AS89" s="44">
        <f t="shared" si="194"/>
        <v>2.2277697014837108E-4</v>
      </c>
      <c r="AT89" s="44">
        <f t="shared" si="195"/>
        <v>2.0511063366336296E-4</v>
      </c>
      <c r="AU89" s="44">
        <f t="shared" si="196"/>
        <v>2.5079990662810718E-4</v>
      </c>
      <c r="AV89" s="44">
        <f t="shared" si="197"/>
        <v>2.1092619815563603E-4</v>
      </c>
      <c r="AW89" s="44">
        <f t="shared" si="198"/>
        <v>5.2332389204829387E-4</v>
      </c>
      <c r="AX89" s="44">
        <f t="shared" si="199"/>
        <v>3.3405882973713846E-4</v>
      </c>
      <c r="AY89" s="44">
        <f t="shared" si="200"/>
        <v>4.0702690179585338E-4</v>
      </c>
      <c r="AZ89" s="44">
        <f t="shared" si="201"/>
        <v>1.1358620743585691E-4</v>
      </c>
      <c r="BA89" s="44">
        <f t="shared" si="202"/>
        <v>-3.8073861832502851E-5</v>
      </c>
      <c r="BB89" s="44">
        <f t="shared" si="203"/>
        <v>2.8165661199961063E-4</v>
      </c>
      <c r="BC89" s="44">
        <f t="shared" si="204"/>
        <v>4.6998797667086771E-4</v>
      </c>
      <c r="BD89" s="44">
        <f t="shared" si="205"/>
        <v>2.5341180670059954E-4</v>
      </c>
      <c r="BE89" s="44">
        <f t="shared" si="206"/>
        <v>1.124905148755901E-4</v>
      </c>
      <c r="BF89" s="44">
        <f t="shared" si="207"/>
        <v>3.4954340784283813E-4</v>
      </c>
      <c r="BG89" s="44">
        <f t="shared" si="208"/>
        <v>3.1092479038217634E-4</v>
      </c>
      <c r="BH89" s="44">
        <f t="shared" si="209"/>
        <v>1.8092835887933257E-4</v>
      </c>
      <c r="BI89" s="44">
        <f t="shared" si="210"/>
        <v>1.5200037831879839E-4</v>
      </c>
      <c r="BJ89" s="44">
        <f t="shared" si="211"/>
        <v>2.1095464776584505E-4</v>
      </c>
      <c r="BK89" s="44">
        <f t="shared" si="212"/>
        <v>2.4686078907430839E-4</v>
      </c>
      <c r="BL89" s="44">
        <f t="shared" si="213"/>
        <v>1.7616789598942333E-4</v>
      </c>
      <c r="BM89" s="44">
        <f t="shared" si="214"/>
        <v>2.5863364775210963E-4</v>
      </c>
      <c r="BN89" s="44">
        <f t="shared" ref="BN89:BN98" si="215">BN128</f>
        <v>4.9713894295684363E-4</v>
      </c>
      <c r="BO89" s="44">
        <f t="array" ref="BO89:BW89">TRANSPOSE(BN90:BN98)</f>
        <v>7.2610696370019681E-4</v>
      </c>
      <c r="BP89" s="44">
        <v>3.6683626813321994E-4</v>
      </c>
      <c r="BQ89" s="44">
        <v>3.1088401160308062E-4</v>
      </c>
      <c r="BR89" s="44">
        <v>2.6192585755598958E-4</v>
      </c>
      <c r="BS89" s="44">
        <v>3.393906659053671E-4</v>
      </c>
      <c r="BT89" s="44">
        <v>2.9513373922242925E-4</v>
      </c>
      <c r="BU89" s="44">
        <v>4.657412752425032E-4</v>
      </c>
      <c r="BV89" s="44">
        <v>9.0446156402443129E-4</v>
      </c>
      <c r="BW89" s="44">
        <v>2.8630773170681766E-4</v>
      </c>
    </row>
    <row r="90" spans="1:75">
      <c r="A90" s="3" t="str">
        <f>Cotacao!C90</f>
        <v>10/29/2019 16:56:00</v>
      </c>
      <c r="B90" s="6">
        <f>IFERROR(LN(Cotacao!D91/Cotacao!D90),B89)</f>
        <v>-8.738449925658108E-3</v>
      </c>
      <c r="C90" s="6">
        <f>IFERROR(LN(Cotacao!F91/Cotacao!F90),C89)</f>
        <v>-5.2801530712834749E-3</v>
      </c>
      <c r="D90" s="6">
        <f>IFERROR(LN(Cotacao!H91/Cotacao!H90),D89)</f>
        <v>1.3777995733686691E-2</v>
      </c>
      <c r="E90" s="6">
        <f>IFERROR(LN(Cotacao!J91/Cotacao!J90),E89)</f>
        <v>3.1010236742560218E-2</v>
      </c>
      <c r="F90" s="6">
        <f>IFERROR(LN(Cotacao!L91/Cotacao!L90),F89)</f>
        <v>1.1197131115486984E-2</v>
      </c>
      <c r="G90" s="6">
        <f>IFERROR(LN(Cotacao!N91/Cotacao!N90),G89)</f>
        <v>1.2261242681862163E-2</v>
      </c>
      <c r="H90" s="6">
        <f>IFERROR(LN(Cotacao!P91/Cotacao!P90),H89)</f>
        <v>6.038473775086638E-3</v>
      </c>
      <c r="I90" s="6">
        <f>IFERROR(LN(Cotacao!R91/Cotacao!R90),I89)</f>
        <v>-8.0612660552466383E-4</v>
      </c>
      <c r="J90" s="6">
        <f>IFERROR(LN(Cotacao!T91/Cotacao!T90),J89)</f>
        <v>6.6261976291900034E-3</v>
      </c>
      <c r="K90" s="6">
        <f>IFERROR(LN(Cotacao!V91/Cotacao!V90),K89)</f>
        <v>8.3542674698577242E-3</v>
      </c>
      <c r="L90" s="6">
        <f>IFERROR(LN(Cotacao!X91/Cotacao!X90),L89)</f>
        <v>-4.2194155427082106E-3</v>
      </c>
      <c r="M90" s="6">
        <f>IFERROR(LN(Profit!B90/Profit!B89),M89)</f>
        <v>-1.1169140682654725E-2</v>
      </c>
      <c r="N90" s="6">
        <f>IFERROR(LN(Cotacao!AB91/Cotacao!AB90),N89)</f>
        <v>1.6211959165451161E-2</v>
      </c>
      <c r="O90" s="6">
        <f>IFERROR(LN(Cotacao!AD91/Cotacao!AD90),O89)</f>
        <v>4.7682209546713959E-3</v>
      </c>
      <c r="P90" s="6">
        <f>IFERROR(LN(Cotacao!AF91/Cotacao!AF90),P89)</f>
        <v>-3.3613477027048832E-3</v>
      </c>
      <c r="Q90" s="6">
        <f>IFERROR(LN(Cotacao!AH91/Cotacao!AH90),Q89)</f>
        <v>-1.2340602142023134E-3</v>
      </c>
      <c r="R90" s="6">
        <f>IFERROR(LN(Cotacao!AJ91/Cotacao!AJ90),R89)</f>
        <v>0</v>
      </c>
      <c r="S90" s="6">
        <f>IFERROR(LN(Cotacao!AL91/Cotacao!AL90),S89)</f>
        <v>5.1085679427225802E-3</v>
      </c>
      <c r="T90" s="6">
        <f>IFERROR(LN(Cotacao!AN91/Cotacao!AN90),T89)</f>
        <v>1.8762659108266754E-2</v>
      </c>
      <c r="U90" s="6">
        <f>IFERROR(LN(Cotacao!AP91/Cotacao!AP90),U89)</f>
        <v>4.056800695614469E-3</v>
      </c>
      <c r="V90" s="6">
        <f>IFERROR(LN(Cotacao!AR91/Cotacao!AR90),V89)</f>
        <v>1.7857147602347531E-3</v>
      </c>
      <c r="W90" s="6">
        <f>IFERROR(LN(Cotacao!AT91/Cotacao!AT90),W89)</f>
        <v>2.7123675857129957E-3</v>
      </c>
      <c r="X90" s="6">
        <f>IFERROR(LN(Cotacao!AV91/Cotacao!AV90),X89)</f>
        <v>-9.3313274288843052E-3</v>
      </c>
      <c r="Y90" s="6">
        <f>IFERROR(LN(Cotacao!AX91/Cotacao!AX90),Y89)</f>
        <v>4.7808856003418946E-3</v>
      </c>
      <c r="Z90" s="6">
        <f>IFERROR(LN(Cotacao!AZ91/Cotacao!AZ90),Z89)</f>
        <v>0.12670993367230471</v>
      </c>
      <c r="AA90" s="6">
        <f>IFERROR(LN(Cotacao!BB91/Cotacao!BB90),AA89)</f>
        <v>-3.3893115175303262E-3</v>
      </c>
      <c r="AB90" s="6">
        <f>IFERROR(LN(Cotacao!BD91/Cotacao!BD90),AB89)</f>
        <v>2.1189727488860156E-2</v>
      </c>
      <c r="AC90" s="6">
        <f>IFERROR(LN(Cotacao!BF91/Cotacao!BF90),AC89)</f>
        <v>7.0630075844819147E-3</v>
      </c>
      <c r="AD90" s="6">
        <f>IFERROR(LN(Cotacao!BH91/Cotacao!BH90),AD89)</f>
        <v>2.3160891537396887E-2</v>
      </c>
      <c r="AE90" s="6">
        <f>IFERROR(LN(Cotacao!BJ91/Cotacao!BJ90),AE89)</f>
        <v>-4.9683008355508197E-3</v>
      </c>
      <c r="AF90" s="6">
        <f>IFERROR(LN(Cotacao!BL91/Cotacao!BL90),AF89)</f>
        <v>1.2848142477849059E-2</v>
      </c>
      <c r="AG90" s="6">
        <f>IFERROR(LN(Cotacao!BN91/Cotacao!BN90),AG89)</f>
        <v>1.2448293526568082E-2</v>
      </c>
      <c r="AH90" s="6">
        <f>IFERROR(LN(Cotacao!BP91/Cotacao!BP90),AH89)</f>
        <v>8.6811897450465893E-3</v>
      </c>
      <c r="AI90" s="6">
        <f>IFERROR(LN(Cotacao!BR91/Cotacao!BR90),AI89)</f>
        <v>6.5076151567382149E-3</v>
      </c>
      <c r="AJ90" s="6">
        <f>IFERROR(LN(Profit!C90/Profit!C89),AJ89)</f>
        <v>-5.199318471793995E-3</v>
      </c>
      <c r="AK90" s="6">
        <f>IFERROR(LN(Cotacao!BV91/Cotacao!BV90),AK89)</f>
        <v>7.8835842764420835E-3</v>
      </c>
      <c r="AL90" s="6">
        <f>IFERROR(LN(Cotacao!BX91/Cotacao!BX90),AL89)</f>
        <v>1.6807118316381191E-2</v>
      </c>
      <c r="AN90" s="44" t="s">
        <v>29</v>
      </c>
      <c r="AO90" s="44">
        <f t="shared" si="190"/>
        <v>1.0880176604718638E-3</v>
      </c>
      <c r="AP90" s="44">
        <f t="shared" si="191"/>
        <v>5.2429614289547957E-4</v>
      </c>
      <c r="AQ90" s="44">
        <f t="shared" si="192"/>
        <v>5.7767590079621674E-4</v>
      </c>
      <c r="AR90" s="44">
        <f t="shared" si="193"/>
        <v>1.2659642047056561E-3</v>
      </c>
      <c r="AS90" s="44">
        <f t="shared" si="194"/>
        <v>7.7979609189458322E-4</v>
      </c>
      <c r="AT90" s="44">
        <f t="shared" si="195"/>
        <v>7.1968291632101367E-4</v>
      </c>
      <c r="AU90" s="44">
        <f t="shared" si="196"/>
        <v>7.3360903016155227E-4</v>
      </c>
      <c r="AV90" s="44">
        <f t="shared" si="197"/>
        <v>8.2013370426755434E-4</v>
      </c>
      <c r="AW90" s="44">
        <f t="shared" si="198"/>
        <v>1.5349637820673545E-3</v>
      </c>
      <c r="AX90" s="44">
        <f t="shared" si="199"/>
        <v>1.0874712631852197E-3</v>
      </c>
      <c r="AY90" s="44">
        <f t="shared" si="200"/>
        <v>7.7930651108120092E-4</v>
      </c>
      <c r="AZ90" s="44">
        <f t="shared" si="201"/>
        <v>4.5721723696772967E-4</v>
      </c>
      <c r="BA90" s="44">
        <f t="shared" si="202"/>
        <v>3.3260961088091595E-5</v>
      </c>
      <c r="BB90" s="44">
        <f t="shared" si="203"/>
        <v>7.1259910353851355E-4</v>
      </c>
      <c r="BC90" s="44">
        <f t="shared" si="204"/>
        <v>1.2873293129166605E-3</v>
      </c>
      <c r="BD90" s="44">
        <f t="shared" si="205"/>
        <v>8.2786944689568816E-4</v>
      </c>
      <c r="BE90" s="44">
        <f t="shared" si="206"/>
        <v>4.3561133542741021E-4</v>
      </c>
      <c r="BF90" s="44">
        <f t="shared" si="207"/>
        <v>1.1318489661671768E-3</v>
      </c>
      <c r="BG90" s="44">
        <f t="shared" si="208"/>
        <v>6.6305635912453412E-4</v>
      </c>
      <c r="BH90" s="44">
        <f t="shared" si="209"/>
        <v>3.8905546090152682E-4</v>
      </c>
      <c r="BI90" s="44">
        <f t="shared" si="210"/>
        <v>3.7552654689120842E-4</v>
      </c>
      <c r="BJ90" s="44">
        <f t="shared" si="211"/>
        <v>5.0298350605737811E-4</v>
      </c>
      <c r="BK90" s="44">
        <f t="shared" si="212"/>
        <v>5.2786180770185789E-4</v>
      </c>
      <c r="BL90" s="44">
        <f t="shared" si="213"/>
        <v>4.3575360955962878E-4</v>
      </c>
      <c r="BM90" s="44">
        <f t="shared" si="214"/>
        <v>7.193557595567405E-4</v>
      </c>
      <c r="BN90" s="44">
        <f t="shared" si="215"/>
        <v>7.2610696370019681E-4</v>
      </c>
      <c r="BO90" s="44">
        <f t="shared" ref="BO90:BO98" si="216">BO129</f>
        <v>2.4866057936794406E-3</v>
      </c>
      <c r="BP90" s="44">
        <f t="array" ref="BP90:BW90">TRANSPOSE(BO91:BO98)</f>
        <v>1.1727955089493409E-3</v>
      </c>
      <c r="BQ90" s="44">
        <v>9.5214522679202055E-4</v>
      </c>
      <c r="BR90" s="44">
        <v>4.7743766357784549E-4</v>
      </c>
      <c r="BS90" s="44">
        <v>9.84206524998492E-4</v>
      </c>
      <c r="BT90" s="44">
        <v>1.1192134647182246E-3</v>
      </c>
      <c r="BU90" s="44">
        <v>1.3463248937299139E-3</v>
      </c>
      <c r="BV90" s="44">
        <v>2.3339776272047323E-3</v>
      </c>
      <c r="BW90" s="44">
        <v>8.8160063080283213E-4</v>
      </c>
    </row>
    <row r="91" spans="1:75">
      <c r="A91" s="3" t="str">
        <f>Cotacao!C91</f>
        <v>10/30/2019 16:56:00</v>
      </c>
      <c r="B91" s="6">
        <f>IFERROR(LN(Cotacao!D92/Cotacao!D91),B90)</f>
        <v>-1.0477074056094189E-2</v>
      </c>
      <c r="C91" s="6">
        <f>IFERROR(LN(Cotacao!F92/Cotacao!F91),C90)</f>
        <v>-8.8274244366892576E-4</v>
      </c>
      <c r="D91" s="6">
        <f>IFERROR(LN(Cotacao!H92/Cotacao!H91),D90)</f>
        <v>-1.1041184736556517E-3</v>
      </c>
      <c r="E91" s="6">
        <f>IFERROR(LN(Cotacao!J92/Cotacao!J91),E90)</f>
        <v>4.5696956900652683E-3</v>
      </c>
      <c r="F91" s="6">
        <f>IFERROR(LN(Cotacao!L92/Cotacao!L91),F90)</f>
        <v>5.8155067416112817E-3</v>
      </c>
      <c r="G91" s="6">
        <f>IFERROR(LN(Cotacao!N92/Cotacao!N91),G90)</f>
        <v>-1.7354014693151506E-2</v>
      </c>
      <c r="H91" s="6">
        <f>IFERROR(LN(Cotacao!P92/Cotacao!P91),H90)</f>
        <v>-1.2434402198427688E-2</v>
      </c>
      <c r="I91" s="6">
        <f>IFERROR(LN(Cotacao!R92/Cotacao!R91),I90)</f>
        <v>-1.0131798930406952E-2</v>
      </c>
      <c r="J91" s="6">
        <f>IFERROR(LN(Cotacao!T92/Cotacao!T91),J90)</f>
        <v>-3.2441323658613165E-2</v>
      </c>
      <c r="K91" s="6">
        <f>IFERROR(LN(Cotacao!V92/Cotacao!V91),K90)</f>
        <v>6.6335234956338774E-3</v>
      </c>
      <c r="L91" s="6">
        <f>IFERROR(LN(Cotacao!X92/Cotacao!X91),L90)</f>
        <v>8.5017313019146099E-3</v>
      </c>
      <c r="M91" s="6">
        <f>IFERROR(LN(Profit!B91/Profit!B90),M90)</f>
        <v>3.3638603949414036E-3</v>
      </c>
      <c r="N91" s="6">
        <f>IFERROR(LN(Cotacao!AB92/Cotacao!AB91),N90)</f>
        <v>-2.5423742507766881E-3</v>
      </c>
      <c r="O91" s="6">
        <f>IFERROR(LN(Cotacao!AD92/Cotacao!AD91),O90)</f>
        <v>1.1038219828429249E-2</v>
      </c>
      <c r="P91" s="6">
        <f>IFERROR(LN(Cotacao!AF92/Cotacao!AF91),P90)</f>
        <v>-2.350644767534121E-2</v>
      </c>
      <c r="Q91" s="6">
        <f>IFERROR(LN(Cotacao!AH92/Cotacao!AH91),Q90)</f>
        <v>-2.9023855826301945E-2</v>
      </c>
      <c r="R91" s="6">
        <f>IFERROR(LN(Cotacao!AJ92/Cotacao!AJ91),R90)</f>
        <v>-1.122964744623671E-3</v>
      </c>
      <c r="S91" s="6">
        <f>IFERROR(LN(Cotacao!AL92/Cotacao!AL91),S90)</f>
        <v>5.0826030634658096E-3</v>
      </c>
      <c r="T91" s="6">
        <f>IFERROR(LN(Cotacao!AN92/Cotacao!AN91),T90)</f>
        <v>3.0260261137867758E-3</v>
      </c>
      <c r="U91" s="6">
        <f>IFERROR(LN(Cotacao!AP92/Cotacao!AP91),U90)</f>
        <v>1.207258123426924E-2</v>
      </c>
      <c r="V91" s="6">
        <f>IFERROR(LN(Cotacao!AR92/Cotacao!AR91),V90)</f>
        <v>-8.9245878301983349E-4</v>
      </c>
      <c r="W91" s="6">
        <f>IFERROR(LN(Cotacao!AT92/Cotacao!AT91),W90)</f>
        <v>4.6595697438949462E-3</v>
      </c>
      <c r="X91" s="6">
        <f>IFERROR(LN(Cotacao!AV92/Cotacao!AV91),X90)</f>
        <v>-3.4782643763248086E-3</v>
      </c>
      <c r="Y91" s="6">
        <f>IFERROR(LN(Cotacao!AX92/Cotacao!AX91),Y90)</f>
        <v>9.4149989346018828E-3</v>
      </c>
      <c r="Z91" s="6">
        <f>IFERROR(LN(Cotacao!AZ92/Cotacao!AZ91),Z90)</f>
        <v>-5.5614011988574442E-2</v>
      </c>
      <c r="AA91" s="6">
        <f>IFERROR(LN(Cotacao!BB92/Cotacao!BB91),AA90)</f>
        <v>1.17215226721398E-3</v>
      </c>
      <c r="AB91" s="6">
        <f>IFERROR(LN(Cotacao!BD92/Cotacao!BD91),AB90)</f>
        <v>5.228010745897637E-3</v>
      </c>
      <c r="AC91" s="6">
        <f>IFERROR(LN(Cotacao!BF92/Cotacao!BF91),AC90)</f>
        <v>1.686576762286985E-2</v>
      </c>
      <c r="AD91" s="6">
        <f>IFERROR(LN(Cotacao!BH92/Cotacao!BH91),AD90)</f>
        <v>-6.6006840313520242E-3</v>
      </c>
      <c r="AE91" s="6">
        <f>IFERROR(LN(Cotacao!BJ92/Cotacao!BJ91),AE90)</f>
        <v>-3.8748360581769684E-3</v>
      </c>
      <c r="AF91" s="6">
        <f>IFERROR(LN(Cotacao!BL92/Cotacao!BL91),AF90)</f>
        <v>-1.3632148790057757E-2</v>
      </c>
      <c r="AG91" s="6">
        <f>IFERROR(LN(Cotacao!BN92/Cotacao!BN91),AG90)</f>
        <v>-2.4772927615562858E-3</v>
      </c>
      <c r="AH91" s="6">
        <f>IFERROR(LN(Cotacao!BP92/Cotacao!BP91),AH90)</f>
        <v>1.0253107847062704E-2</v>
      </c>
      <c r="AI91" s="6">
        <f>IFERROR(LN(Cotacao!BR92/Cotacao!BR91),AI90)</f>
        <v>0</v>
      </c>
      <c r="AJ91" s="6">
        <f>IFERROR(LN(Profit!C91/Profit!C90),AJ90)</f>
        <v>-1.7391308731268757E-3</v>
      </c>
      <c r="AK91" s="6">
        <f>IFERROR(LN(Cotacao!BV92/Cotacao!BV91),AK90)</f>
        <v>-1.1016430909082055E-2</v>
      </c>
      <c r="AL91" s="6">
        <f>IFERROR(LN(Cotacao!BX92/Cotacao!BX91),AL90)</f>
        <v>-1.0050335853501451E-2</v>
      </c>
      <c r="AN91" s="44" t="s">
        <v>30</v>
      </c>
      <c r="AO91" s="44">
        <f t="shared" si="190"/>
        <v>7.10098375816506E-4</v>
      </c>
      <c r="AP91" s="44">
        <f t="shared" si="191"/>
        <v>3.9927543973924772E-4</v>
      </c>
      <c r="AQ91" s="44">
        <f t="shared" si="192"/>
        <v>3.7405188350106292E-4</v>
      </c>
      <c r="AR91" s="44">
        <f t="shared" si="193"/>
        <v>7.9666276258739119E-4</v>
      </c>
      <c r="AS91" s="44">
        <f t="shared" si="194"/>
        <v>5.3357888941170785E-4</v>
      </c>
      <c r="AT91" s="44">
        <f t="shared" si="195"/>
        <v>4.6917363731940122E-4</v>
      </c>
      <c r="AU91" s="44">
        <f t="shared" si="196"/>
        <v>4.4060034498415352E-4</v>
      </c>
      <c r="AV91" s="44">
        <f t="shared" si="197"/>
        <v>5.580777820819743E-4</v>
      </c>
      <c r="AW91" s="44">
        <f t="shared" si="198"/>
        <v>8.9516395457831075E-4</v>
      </c>
      <c r="AX91" s="44">
        <f t="shared" si="199"/>
        <v>6.1166558054201231E-4</v>
      </c>
      <c r="AY91" s="44">
        <f t="shared" si="200"/>
        <v>4.2328907345523878E-4</v>
      </c>
      <c r="AZ91" s="44">
        <f t="shared" si="201"/>
        <v>2.6154727002534604E-4</v>
      </c>
      <c r="BA91" s="44">
        <f t="shared" si="202"/>
        <v>4.443513398365262E-5</v>
      </c>
      <c r="BB91" s="44">
        <f t="shared" si="203"/>
        <v>5.2811784898089474E-4</v>
      </c>
      <c r="BC91" s="44">
        <f t="shared" si="204"/>
        <v>9.3728164028035303E-4</v>
      </c>
      <c r="BD91" s="44">
        <f t="shared" si="205"/>
        <v>6.9568703773486206E-4</v>
      </c>
      <c r="BE91" s="44">
        <f t="shared" si="206"/>
        <v>4.1013133063261823E-4</v>
      </c>
      <c r="BF91" s="44">
        <f t="shared" si="207"/>
        <v>7.4143341696978108E-4</v>
      </c>
      <c r="BG91" s="44">
        <f t="shared" si="208"/>
        <v>4.0675406437156797E-4</v>
      </c>
      <c r="BH91" s="44">
        <f t="shared" si="209"/>
        <v>2.102647311520294E-4</v>
      </c>
      <c r="BI91" s="44">
        <f t="shared" si="210"/>
        <v>2.1422681186699695E-4</v>
      </c>
      <c r="BJ91" s="44">
        <f t="shared" si="211"/>
        <v>2.9387057048092336E-4</v>
      </c>
      <c r="BK91" s="44">
        <f t="shared" si="212"/>
        <v>3.0366320260807108E-4</v>
      </c>
      <c r="BL91" s="44">
        <f t="shared" si="213"/>
        <v>2.4301292547759102E-4</v>
      </c>
      <c r="BM91" s="44">
        <f t="shared" si="214"/>
        <v>3.6787969143479505E-4</v>
      </c>
      <c r="BN91" s="44">
        <f t="shared" si="215"/>
        <v>3.6683626813321994E-4</v>
      </c>
      <c r="BO91" s="44">
        <f t="shared" si="216"/>
        <v>1.1727955089493409E-3</v>
      </c>
      <c r="BP91" s="44">
        <f t="shared" ref="BP91:BP98" si="217">BP130</f>
        <v>1.8017711551932723E-3</v>
      </c>
      <c r="BQ91" s="44">
        <f t="array" ref="BQ91:BW91">TRANSPOSE(BP92:BP98)</f>
        <v>4.6165672949956125E-4</v>
      </c>
      <c r="BR91" s="44">
        <v>2.6553167963511696E-4</v>
      </c>
      <c r="BS91" s="44">
        <v>6.6196761391591817E-4</v>
      </c>
      <c r="BT91" s="44">
        <v>7.0548290316772529E-4</v>
      </c>
      <c r="BU91" s="44">
        <v>9.9639549328470168E-4</v>
      </c>
      <c r="BV91" s="44">
        <v>1.5429947978328241E-3</v>
      </c>
      <c r="BW91" s="44">
        <v>6.1020151588144552E-4</v>
      </c>
    </row>
    <row r="92" spans="1:75">
      <c r="A92" s="3" t="str">
        <f>Cotacao!C92</f>
        <v>10/31/2019 16:56:00</v>
      </c>
      <c r="B92" s="6">
        <f>IFERROR(LN(Cotacao!D93/Cotacao!D92),B91)</f>
        <v>3.3254631455346843E-2</v>
      </c>
      <c r="C92" s="6">
        <f>IFERROR(LN(Cotacao!F93/Cotacao!F92),C91)</f>
        <v>1.0250492447269006E-2</v>
      </c>
      <c r="D92" s="6">
        <f>IFERROR(LN(Cotacao!H93/Cotacao!H92),D91)</f>
        <v>1.5782879129644167E-2</v>
      </c>
      <c r="E92" s="6">
        <f>IFERROR(LN(Cotacao!J93/Cotacao!J92),E91)</f>
        <v>-7.6016727339760606E-4</v>
      </c>
      <c r="F92" s="6">
        <f>IFERROR(LN(Cotacao!L93/Cotacao!L92),F91)</f>
        <v>-3.6968618813262031E-3</v>
      </c>
      <c r="G92" s="6">
        <f>IFERROR(LN(Cotacao!N93/Cotacao!N92),G91)</f>
        <v>3.6403389309744515E-3</v>
      </c>
      <c r="H92" s="6">
        <f>IFERROR(LN(Cotacao!P93/Cotacao!P92),H91)</f>
        <v>6.4143684046624749E-4</v>
      </c>
      <c r="I92" s="6">
        <f>IFERROR(LN(Cotacao!R93/Cotacao!R92),I91)</f>
        <v>7.709512723812267E-3</v>
      </c>
      <c r="J92" s="6">
        <f>IFERROR(LN(Cotacao!T93/Cotacao!T92),J91)</f>
        <v>3.6834521279033708E-2</v>
      </c>
      <c r="K92" s="6">
        <f>IFERROR(LN(Cotacao!V93/Cotacao!V92),K91)</f>
        <v>1.3136477905369981E-2</v>
      </c>
      <c r="L92" s="6">
        <f>IFERROR(LN(Cotacao!X93/Cotacao!X92),L91)</f>
        <v>-3.3031729045192172E-2</v>
      </c>
      <c r="M92" s="6">
        <f>IFERROR(LN(Profit!B92/Profit!B91),M91)</f>
        <v>1.7385309340686165E-2</v>
      </c>
      <c r="N92" s="6">
        <f>IFERROR(LN(Cotacao!AB93/Cotacao!AB92),N91)</f>
        <v>-4.6778737227102674E-3</v>
      </c>
      <c r="O92" s="6">
        <f>IFERROR(LN(Cotacao!AD93/Cotacao!AD92),O91)</f>
        <v>-3.6658852261054558E-3</v>
      </c>
      <c r="P92" s="6">
        <f>IFERROR(LN(Cotacao!AF93/Cotacao!AF92),P91)</f>
        <v>2.4852342898696325E-2</v>
      </c>
      <c r="Q92" s="6">
        <f>IFERROR(LN(Cotacao!AH93/Cotacao!AH92),Q91)</f>
        <v>2.5932026093381782E-2</v>
      </c>
      <c r="R92" s="6">
        <f>IFERROR(LN(Cotacao!AJ93/Cotacao!AJ92),R91)</f>
        <v>-5.4078545492910008E-3</v>
      </c>
      <c r="S92" s="6">
        <f>IFERROR(LN(Cotacao!AL93/Cotacao!AL92),S91)</f>
        <v>2.1317421660754194E-2</v>
      </c>
      <c r="T92" s="6">
        <f>IFERROR(LN(Cotacao!AN93/Cotacao!AN92),T91)</f>
        <v>9.3229084860758545E-3</v>
      </c>
      <c r="U92" s="6">
        <f>IFERROR(LN(Cotacao!AP93/Cotacao!AP92),U91)</f>
        <v>-6.5816113655542859E-3</v>
      </c>
      <c r="V92" s="6">
        <f>IFERROR(LN(Cotacao!AR93/Cotacao!AR92),V91)</f>
        <v>0</v>
      </c>
      <c r="W92" s="6">
        <f>IFERROR(LN(Cotacao!AT93/Cotacao!AT92),W91)</f>
        <v>-3.3061398233628142E-3</v>
      </c>
      <c r="X92" s="6">
        <f>IFERROR(LN(Cotacao!AV93/Cotacao!AV92),X91)</f>
        <v>2.1986481299995517E-2</v>
      </c>
      <c r="Y92" s="6">
        <f>IFERROR(LN(Cotacao!AX93/Cotacao!AX92),Y91)</f>
        <v>-8.0645598367304078E-3</v>
      </c>
      <c r="Z92" s="6">
        <f>IFERROR(LN(Cotacao!AZ93/Cotacao!AZ92),Z91)</f>
        <v>1.6326534238853118E-3</v>
      </c>
      <c r="AA92" s="6">
        <f>IFERROR(LN(Cotacao!BB93/Cotacao!BB92),AA91)</f>
        <v>-5.550587579677697E-4</v>
      </c>
      <c r="AB92" s="6">
        <f>IFERROR(LN(Cotacao!BD93/Cotacao!BD92),AB91)</f>
        <v>3.0806771642757462E-2</v>
      </c>
      <c r="AC92" s="6">
        <f>IFERROR(LN(Cotacao!BF93/Cotacao!BF92),AC91)</f>
        <v>2.8793570137959509E-3</v>
      </c>
      <c r="AD92" s="6">
        <f>IFERROR(LN(Cotacao!BH93/Cotacao!BH92),AD91)</f>
        <v>9.2288064376217054E-3</v>
      </c>
      <c r="AE92" s="6">
        <f>IFERROR(LN(Cotacao!BJ93/Cotacao!BJ92),AE91)</f>
        <v>2.9368596733097057E-3</v>
      </c>
      <c r="AF92" s="6">
        <f>IFERROR(LN(Cotacao!BL93/Cotacao!BL92),AF91)</f>
        <v>1.4792017468319344E-2</v>
      </c>
      <c r="AG92" s="6">
        <f>IFERROR(LN(Cotacao!BN93/Cotacao!BN92),AG91)</f>
        <v>1.6807118316381191E-2</v>
      </c>
      <c r="AH92" s="6">
        <f>IFERROR(LN(Cotacao!BP93/Cotacao!BP92),AH91)</f>
        <v>1.3153569801779494E-3</v>
      </c>
      <c r="AI92" s="6">
        <f>IFERROR(LN(Cotacao!BR93/Cotacao!BR92),AI91)</f>
        <v>1.7149402072954487E-2</v>
      </c>
      <c r="AJ92" s="6">
        <f>IFERROR(LN(Profit!C92/Profit!C91),AJ91)</f>
        <v>1.5544354437800379E-2</v>
      </c>
      <c r="AK92" s="6">
        <f>IFERROR(LN(Cotacao!BV93/Cotacao!BV92),AK91)</f>
        <v>9.0597645536556002E-3</v>
      </c>
      <c r="AL92" s="6">
        <f>IFERROR(LN(Cotacao!BX93/Cotacao!BX92),AL91)</f>
        <v>-2.022245380767698E-3</v>
      </c>
      <c r="AN92" s="44" t="s">
        <v>31</v>
      </c>
      <c r="AO92" s="44">
        <f t="shared" si="190"/>
        <v>4.6791072196991016E-4</v>
      </c>
      <c r="AP92" s="44">
        <f t="shared" si="191"/>
        <v>3.1232721529752497E-4</v>
      </c>
      <c r="AQ92" s="44">
        <f t="shared" si="192"/>
        <v>3.303469363777308E-4</v>
      </c>
      <c r="AR92" s="44">
        <f t="shared" si="193"/>
        <v>6.2309800540255925E-4</v>
      </c>
      <c r="AS92" s="44">
        <f t="shared" si="194"/>
        <v>4.3040442733416421E-4</v>
      </c>
      <c r="AT92" s="44">
        <f t="shared" si="195"/>
        <v>4.0834416160926925E-4</v>
      </c>
      <c r="AU92" s="44">
        <f t="shared" si="196"/>
        <v>4.0684812981383353E-4</v>
      </c>
      <c r="AV92" s="44">
        <f t="shared" si="197"/>
        <v>4.5871225430114672E-4</v>
      </c>
      <c r="AW92" s="44">
        <f t="shared" si="198"/>
        <v>7.4788138276645399E-4</v>
      </c>
      <c r="AX92" s="44">
        <f t="shared" si="199"/>
        <v>4.7926496924944413E-4</v>
      </c>
      <c r="AY92" s="44">
        <f t="shared" si="200"/>
        <v>2.8322730464090499E-4</v>
      </c>
      <c r="AZ92" s="44">
        <f t="shared" si="201"/>
        <v>2.3692544551721193E-4</v>
      </c>
      <c r="BA92" s="44">
        <f t="shared" si="202"/>
        <v>-7.5586378918383708E-5</v>
      </c>
      <c r="BB92" s="44">
        <f t="shared" si="203"/>
        <v>4.3068313450302694E-4</v>
      </c>
      <c r="BC92" s="44">
        <f t="shared" si="204"/>
        <v>6.9893372603558614E-4</v>
      </c>
      <c r="BD92" s="44">
        <f t="shared" si="205"/>
        <v>5.1333165261213426E-4</v>
      </c>
      <c r="BE92" s="44">
        <f t="shared" si="206"/>
        <v>2.0460998564300839E-4</v>
      </c>
      <c r="BF92" s="44">
        <f t="shared" si="207"/>
        <v>5.0393694774326773E-4</v>
      </c>
      <c r="BG92" s="44">
        <f t="shared" si="208"/>
        <v>2.36254116582169E-4</v>
      </c>
      <c r="BH92" s="44">
        <f t="shared" si="209"/>
        <v>2.1050696895236431E-4</v>
      </c>
      <c r="BI92" s="44">
        <f t="shared" si="210"/>
        <v>1.9988936836421009E-4</v>
      </c>
      <c r="BJ92" s="44">
        <f t="shared" si="211"/>
        <v>2.4464544815845846E-4</v>
      </c>
      <c r="BK92" s="44">
        <f t="shared" si="212"/>
        <v>2.5366494610011477E-4</v>
      </c>
      <c r="BL92" s="44">
        <f t="shared" si="213"/>
        <v>1.8711679776766673E-4</v>
      </c>
      <c r="BM92" s="44">
        <f t="shared" si="214"/>
        <v>4.9725949422437486E-4</v>
      </c>
      <c r="BN92" s="44">
        <f t="shared" si="215"/>
        <v>3.1088401160308062E-4</v>
      </c>
      <c r="BO92" s="44">
        <f t="shared" si="216"/>
        <v>9.5214522679202055E-4</v>
      </c>
      <c r="BP92" s="44">
        <f t="shared" si="217"/>
        <v>4.6165672949956125E-4</v>
      </c>
      <c r="BQ92" s="44">
        <f t="shared" ref="BQ92:BQ98" si="218">BQ131</f>
        <v>1.0714989665259759E-3</v>
      </c>
      <c r="BR92" s="44">
        <f t="array" ref="BR92:BW92">TRANSPOSE(BQ93:BQ98)</f>
        <v>2.0148768746065657E-4</v>
      </c>
      <c r="BS92" s="44">
        <v>6.8182927961270528E-4</v>
      </c>
      <c r="BT92" s="44">
        <v>6.4918346456256334E-4</v>
      </c>
      <c r="BU92" s="44">
        <v>7.7408411421177141E-4</v>
      </c>
      <c r="BV92" s="44">
        <v>1.0839151267920714E-3</v>
      </c>
      <c r="BW92" s="44">
        <v>5.2594412704626867E-4</v>
      </c>
    </row>
    <row r="93" spans="1:75">
      <c r="A93" s="3" t="str">
        <f>Cotacao!C93</f>
        <v>11/1/2019 16:56:00</v>
      </c>
      <c r="B93" s="6">
        <f>IFERROR(LN(Cotacao!D94/Cotacao!D93),B92)</f>
        <v>-9.1570798762862955E-3</v>
      </c>
      <c r="C93" s="6">
        <f>IFERROR(LN(Cotacao!F94/Cotacao!F93),C92)</f>
        <v>-2.0607146639292043E-2</v>
      </c>
      <c r="D93" s="6">
        <f>IFERROR(LN(Cotacao!H94/Cotacao!H93),D92)</f>
        <v>6.5224483234177792E-4</v>
      </c>
      <c r="E93" s="6">
        <f>IFERROR(LN(Cotacao!J94/Cotacao!J93),E92)</f>
        <v>1.5094626222484888E-2</v>
      </c>
      <c r="F93" s="6">
        <f>IFERROR(LN(Cotacao!L94/Cotacao!L93),F92)</f>
        <v>5.2770571008438193E-3</v>
      </c>
      <c r="G93" s="6">
        <f>IFERROR(LN(Cotacao!N94/Cotacao!N93),G92)</f>
        <v>1.0123007631448598E-2</v>
      </c>
      <c r="H93" s="6">
        <f>IFERROR(LN(Cotacao!P94/Cotacao!P93),H92)</f>
        <v>4.4785743443882964E-3</v>
      </c>
      <c r="I93" s="6">
        <f>IFERROR(LN(Cotacao!R94/Cotacao!R93),I92)</f>
        <v>5.6429009066367901E-3</v>
      </c>
      <c r="J93" s="6">
        <f>IFERROR(LN(Cotacao!T94/Cotacao!T93),J92)</f>
        <v>4.5523255024083817E-2</v>
      </c>
      <c r="K93" s="6">
        <f>IFERROR(LN(Cotacao!V94/Cotacao!V93),K92)</f>
        <v>-1.8107490627390442E-2</v>
      </c>
      <c r="L93" s="6">
        <f>IFERROR(LN(Cotacao!X94/Cotacao!X93),L92)</f>
        <v>-8.6203822936113984E-3</v>
      </c>
      <c r="M93" s="6">
        <f>IFERROR(LN(Profit!B93/Profit!B92),M92)</f>
        <v>-5.1470701866568559E-3</v>
      </c>
      <c r="N93" s="6">
        <f>IFERROR(LN(Cotacao!AB94/Cotacao!AB93),N92)</f>
        <v>-6.4143901776636944E-3</v>
      </c>
      <c r="O93" s="6">
        <f>IFERROR(LN(Cotacao!AD94/Cotacao!AD93),O92)</f>
        <v>1.7681167843226445E-2</v>
      </c>
      <c r="P93" s="6">
        <f>IFERROR(LN(Cotacao!AF94/Cotacao!AF93),P92)</f>
        <v>2.4577789786436557E-2</v>
      </c>
      <c r="Q93" s="6">
        <f>IFERROR(LN(Cotacao!AH94/Cotacao!AH93),Q92)</f>
        <v>2.8090591149142943E-2</v>
      </c>
      <c r="R93" s="6">
        <f>IFERROR(LN(Cotacao!AJ94/Cotacao!AJ93),R92)</f>
        <v>2.1015752215281954E-2</v>
      </c>
      <c r="S93" s="6">
        <f>IFERROR(LN(Cotacao!AL94/Cotacao!AL93),S92)</f>
        <v>3.7151745518633778E-3</v>
      </c>
      <c r="T93" s="6">
        <f>IFERROR(LN(Cotacao!AN94/Cotacao!AN93),T92)</f>
        <v>2.6389873308425429E-2</v>
      </c>
      <c r="U93" s="6">
        <f>IFERROR(LN(Cotacao!AP94/Cotacao!AP93),U92)</f>
        <v>9.7765022620735758E-3</v>
      </c>
      <c r="V93" s="6">
        <f>IFERROR(LN(Cotacao!AR94/Cotacao!AR93),V92)</f>
        <v>3.5650661644961446E-3</v>
      </c>
      <c r="W93" s="6">
        <f>IFERROR(LN(Cotacao!AT94/Cotacao!AT93),W92)</f>
        <v>4.1309696979333742E-3</v>
      </c>
      <c r="X93" s="6">
        <f>IFERROR(LN(Cotacao!AV94/Cotacao!AV93),X92)</f>
        <v>-9.8651207676507483E-3</v>
      </c>
      <c r="Y93" s="6">
        <f>IFERROR(LN(Cotacao!AX94/Cotacao!AX93),Y92)</f>
        <v>-5.5723755081110776E-3</v>
      </c>
      <c r="Z93" s="6">
        <f>IFERROR(LN(Cotacao!AZ94/Cotacao!AZ93),Z92)</f>
        <v>-4.9059787688545183E-3</v>
      </c>
      <c r="AA93" s="6">
        <f>IFERROR(LN(Cotacao!BB94/Cotacao!BB93),AA92)</f>
        <v>9.2109954270163698E-3</v>
      </c>
      <c r="AB93" s="6">
        <f>IFERROR(LN(Cotacao!BD94/Cotacao!BD93),AB92)</f>
        <v>-1.4144507386164625E-2</v>
      </c>
      <c r="AC93" s="6">
        <f>IFERROR(LN(Cotacao!BF94/Cotacao!BF93),AC92)</f>
        <v>-8.0831848888229148E-3</v>
      </c>
      <c r="AD93" s="6">
        <f>IFERROR(LN(Cotacao!BH94/Cotacao!BH93),AD92)</f>
        <v>-2.956667628829265E-2</v>
      </c>
      <c r="AE93" s="6">
        <f>IFERROR(LN(Cotacao!BJ94/Cotacao!BJ93),AE92)</f>
        <v>1.3399559646383929E-2</v>
      </c>
      <c r="AF93" s="6">
        <f>IFERROR(LN(Cotacao!BL94/Cotacao!BL93),AF92)</f>
        <v>9.613609899821348E-3</v>
      </c>
      <c r="AG93" s="6">
        <f>IFERROR(LN(Cotacao!BN94/Cotacao!BN93),AG92)</f>
        <v>1.421753057609324E-3</v>
      </c>
      <c r="AH93" s="6">
        <f>IFERROR(LN(Cotacao!BP94/Cotacao!BP93),AH92)</f>
        <v>-2.3030113814505255E-3</v>
      </c>
      <c r="AI93" s="6">
        <f>IFERROR(LN(Cotacao!BR94/Cotacao!BR93),AI92)</f>
        <v>2.8288947691197251E-2</v>
      </c>
      <c r="AJ93" s="6">
        <f>IFERROR(LN(Profit!C93/Profit!C92),AJ92)</f>
        <v>5.980368101485869E-3</v>
      </c>
      <c r="AK93" s="6">
        <f>IFERROR(LN(Cotacao!BV94/Cotacao!BV93),AK92)</f>
        <v>5.3803573287001614E-3</v>
      </c>
      <c r="AL93" s="6">
        <f>IFERROR(LN(Cotacao!BX94/Cotacao!BX93),AL92)</f>
        <v>8.7336799687546315E-3</v>
      </c>
      <c r="AN93" s="44" t="s">
        <v>32</v>
      </c>
      <c r="AO93" s="44">
        <f t="shared" si="190"/>
        <v>2.8109035388660763E-4</v>
      </c>
      <c r="AP93" s="44">
        <f t="shared" si="191"/>
        <v>1.2311420514055343E-4</v>
      </c>
      <c r="AQ93" s="44">
        <f t="shared" si="192"/>
        <v>1.0970558260343349E-4</v>
      </c>
      <c r="AR93" s="44">
        <f t="shared" si="193"/>
        <v>3.8337506362572191E-4</v>
      </c>
      <c r="AS93" s="44">
        <f t="shared" si="194"/>
        <v>1.6407015258521266E-4</v>
      </c>
      <c r="AT93" s="44">
        <f t="shared" si="195"/>
        <v>1.7728218253947693E-4</v>
      </c>
      <c r="AU93" s="44">
        <f t="shared" si="196"/>
        <v>1.8951232343548816E-4</v>
      </c>
      <c r="AV93" s="44">
        <f t="shared" si="197"/>
        <v>1.8329802465626431E-4</v>
      </c>
      <c r="AW93" s="44">
        <f t="shared" si="198"/>
        <v>3.7563165391043955E-4</v>
      </c>
      <c r="AX93" s="44">
        <f t="shared" si="199"/>
        <v>2.8400650288821946E-4</v>
      </c>
      <c r="AY93" s="44">
        <f t="shared" si="200"/>
        <v>2.705433557702977E-4</v>
      </c>
      <c r="AZ93" s="44">
        <f t="shared" si="201"/>
        <v>8.6840119563643696E-5</v>
      </c>
      <c r="BA93" s="44">
        <f t="shared" si="202"/>
        <v>-3.9508524662734335E-5</v>
      </c>
      <c r="BB93" s="44">
        <f t="shared" si="203"/>
        <v>1.8156521356956239E-4</v>
      </c>
      <c r="BC93" s="44">
        <f t="shared" si="204"/>
        <v>3.1137175252084177E-4</v>
      </c>
      <c r="BD93" s="44">
        <f t="shared" si="205"/>
        <v>2.2521219127020017E-4</v>
      </c>
      <c r="BE93" s="44">
        <f t="shared" si="206"/>
        <v>9.9659167928174271E-5</v>
      </c>
      <c r="BF93" s="44">
        <f t="shared" si="207"/>
        <v>2.6688933573226976E-4</v>
      </c>
      <c r="BG93" s="44">
        <f t="shared" si="208"/>
        <v>2.1867027123058806E-4</v>
      </c>
      <c r="BH93" s="44">
        <f t="shared" si="209"/>
        <v>1.3456719813515416E-4</v>
      </c>
      <c r="BI93" s="44">
        <f t="shared" si="210"/>
        <v>1.3852826275542567E-4</v>
      </c>
      <c r="BJ93" s="44">
        <f t="shared" si="211"/>
        <v>1.5804553876556959E-4</v>
      </c>
      <c r="BK93" s="44">
        <f t="shared" si="212"/>
        <v>1.7636608752325084E-4</v>
      </c>
      <c r="BL93" s="44">
        <f t="shared" si="213"/>
        <v>1.4741601878958362E-4</v>
      </c>
      <c r="BM93" s="44">
        <f t="shared" si="214"/>
        <v>2.1581973723981213E-4</v>
      </c>
      <c r="BN93" s="44">
        <f t="shared" si="215"/>
        <v>2.6192585755598958E-4</v>
      </c>
      <c r="BO93" s="44">
        <f t="shared" si="216"/>
        <v>4.7743766357784549E-4</v>
      </c>
      <c r="BP93" s="44">
        <f t="shared" si="217"/>
        <v>2.6553167963511696E-4</v>
      </c>
      <c r="BQ93" s="44">
        <f t="shared" si="218"/>
        <v>2.0148768746065657E-4</v>
      </c>
      <c r="BR93" s="44">
        <f t="shared" ref="BR93:BR98" si="219">BR132</f>
        <v>2.7145380541981684E-4</v>
      </c>
      <c r="BS93" s="44">
        <f t="array" ref="BS93:BW93">TRANSPOSE(BR94:BR98)</f>
        <v>1.9463132215862217E-4</v>
      </c>
      <c r="BT93" s="44">
        <v>2.2811827181996877E-4</v>
      </c>
      <c r="BU93" s="44">
        <v>3.4720482849866501E-4</v>
      </c>
      <c r="BV93" s="44">
        <v>6.2571299416608664E-4</v>
      </c>
      <c r="BW93" s="44">
        <v>2.0266268032144528E-4</v>
      </c>
    </row>
    <row r="94" spans="1:75">
      <c r="A94" s="3" t="str">
        <f>Cotacao!C94</f>
        <v>11/4/2019 16:56:00</v>
      </c>
      <c r="B94" s="6">
        <f>IFERROR(LN(Cotacao!D95/Cotacao!D94),B93)</f>
        <v>-1.7467693040390832E-2</v>
      </c>
      <c r="C94" s="6">
        <f>IFERROR(LN(Cotacao!F95/Cotacao!F94),C93)</f>
        <v>2.4387869479198243E-2</v>
      </c>
      <c r="D94" s="6">
        <f>IFERROR(LN(Cotacao!H95/Cotacao!H94),D93)</f>
        <v>-8.6975434924062777E-4</v>
      </c>
      <c r="E94" s="6">
        <f>IFERROR(LN(Cotacao!J95/Cotacao!J94),E93)</f>
        <v>-1.1299555253933394E-2</v>
      </c>
      <c r="F94" s="6">
        <f>IFERROR(LN(Cotacao!L95/Cotacao!L94),F93)</f>
        <v>-1.0582109330536859E-2</v>
      </c>
      <c r="G94" s="6">
        <f>IFERROR(LN(Cotacao!N95/Cotacao!N94),G93)</f>
        <v>1.2156030989651671E-2</v>
      </c>
      <c r="H94" s="6">
        <f>IFERROR(LN(Cotacao!P95/Cotacao!P94),H93)</f>
        <v>1.2686500631004011E-2</v>
      </c>
      <c r="I94" s="6">
        <f>IFERROR(LN(Cotacao!R95/Cotacao!R94),I93)</f>
        <v>-1.3759828588213346E-2</v>
      </c>
      <c r="J94" s="6">
        <f>IFERROR(LN(Cotacao!T95/Cotacao!T94),J93)</f>
        <v>-1.9561818596587059E-2</v>
      </c>
      <c r="K94" s="6">
        <f>IFERROR(LN(Cotacao!V95/Cotacao!V94),K93)</f>
        <v>-1.5063046311095516E-2</v>
      </c>
      <c r="L94" s="6">
        <f>IFERROR(LN(Cotacao!X95/Cotacao!X94),L93)</f>
        <v>1.7635948303981954E-3</v>
      </c>
      <c r="M94" s="6">
        <f>IFERROR(LN(Profit!B94/Profit!B93),M93)</f>
        <v>-2.4628110431830431E-2</v>
      </c>
      <c r="N94" s="6">
        <f>IFERROR(LN(Cotacao!AB95/Cotacao!AB94),N93)</f>
        <v>-9.0498355199178145E-3</v>
      </c>
      <c r="O94" s="6">
        <f>IFERROR(LN(Cotacao!AD95/Cotacao!AD94),O93)</f>
        <v>-2.7699706688823499E-2</v>
      </c>
      <c r="P94" s="6">
        <f>IFERROR(LN(Cotacao!AF95/Cotacao!AF94),P93)</f>
        <v>-1.8877858176588838E-2</v>
      </c>
      <c r="Q94" s="6">
        <f>IFERROR(LN(Cotacao!AH95/Cotacao!AH94),Q93)</f>
        <v>1.0031097239967465E-3</v>
      </c>
      <c r="R94" s="6">
        <f>IFERROR(LN(Cotacao!AJ95/Cotacao!AJ94),R93)</f>
        <v>-1.1123585218662316E-2</v>
      </c>
      <c r="S94" s="6">
        <f>IFERROR(LN(Cotacao!AL95/Cotacao!AL94),S93)</f>
        <v>-3.1389896708083821E-2</v>
      </c>
      <c r="T94" s="6">
        <f>IFERROR(LN(Cotacao!AN95/Cotacao!AN94),T93)</f>
        <v>1.0729405525037931E-2</v>
      </c>
      <c r="U94" s="6">
        <f>IFERROR(LN(Cotacao!AP95/Cotacao!AP94),U93)</f>
        <v>-1.8917851361755542E-2</v>
      </c>
      <c r="V94" s="6">
        <f>IFERROR(LN(Cotacao!AR95/Cotacao!AR94),V93)</f>
        <v>1.4134510934904716E-2</v>
      </c>
      <c r="W94" s="6">
        <f>IFERROR(LN(Cotacao!AT95/Cotacao!AT94),W93)</f>
        <v>6.5093801855170162E-3</v>
      </c>
      <c r="X94" s="6">
        <f>IFERROR(LN(Cotacao!AV95/Cotacao!AV94),X93)</f>
        <v>-1.9535537322443647E-2</v>
      </c>
      <c r="Y94" s="6">
        <f>IFERROR(LN(Cotacao!AX95/Cotacao!AX94),Y93)</f>
        <v>5.8104990953773998E-3</v>
      </c>
      <c r="Z94" s="6">
        <f>IFERROR(LN(Cotacao!AZ95/Cotacao!AZ94),Z93)</f>
        <v>-1.486402263214928E-2</v>
      </c>
      <c r="AA94" s="6">
        <f>IFERROR(LN(Cotacao!BB95/Cotacao!BB94),AA93)</f>
        <v>1.2452704577258224E-2</v>
      </c>
      <c r="AB94" s="6">
        <f>IFERROR(LN(Cotacao!BD95/Cotacao!BD94),AB93)</f>
        <v>-4.568825765909678E-3</v>
      </c>
      <c r="AC94" s="6">
        <f>IFERROR(LN(Cotacao!BF95/Cotacao!BF94),AC93)</f>
        <v>-8.7336799687545534E-3</v>
      </c>
      <c r="AD94" s="6">
        <f>IFERROR(LN(Cotacao!BH95/Cotacao!BH94),AD93)</f>
        <v>-8.1433674771720817E-3</v>
      </c>
      <c r="AE94" s="6">
        <f>IFERROR(LN(Cotacao!BJ95/Cotacao!BJ94),AE93)</f>
        <v>-2.2236141446881845E-2</v>
      </c>
      <c r="AF94" s="6">
        <f>IFERROR(LN(Cotacao!BL95/Cotacao!BL94),AF93)</f>
        <v>2.3076492141275953E-2</v>
      </c>
      <c r="AG94" s="6">
        <f>IFERROR(LN(Cotacao!BN95/Cotacao!BN94),AG93)</f>
        <v>6.0870449277262225E-4</v>
      </c>
      <c r="AH94" s="6">
        <f>IFERROR(LN(Cotacao!BP95/Cotacao!BP94),AH93)</f>
        <v>-2.366382708369473E-2</v>
      </c>
      <c r="AI94" s="6">
        <f>IFERROR(LN(Cotacao!BR95/Cotacao!BR94),AI93)</f>
        <v>-1.7192400540372764E-2</v>
      </c>
      <c r="AJ94" s="6">
        <f>IFERROR(LN(Profit!C94/Profit!C93),AJ93)</f>
        <v>-2.0654779030746025E-2</v>
      </c>
      <c r="AK94" s="6">
        <f>IFERROR(LN(Cotacao!BV95/Cotacao!BV94),AK93)</f>
        <v>-5.5457893400788624E-4</v>
      </c>
      <c r="AL94" s="6">
        <f>IFERROR(LN(Cotacao!BX95/Cotacao!BX94),AL93)</f>
        <v>2.6720122778109891E-3</v>
      </c>
      <c r="AN94" s="44" t="s">
        <v>33</v>
      </c>
      <c r="AO94" s="44">
        <f t="shared" si="190"/>
        <v>5.6154270963976541E-4</v>
      </c>
      <c r="AP94" s="44">
        <f t="shared" si="191"/>
        <v>3.7769261869919756E-4</v>
      </c>
      <c r="AQ94" s="44">
        <f t="shared" si="192"/>
        <v>3.1568527699451127E-4</v>
      </c>
      <c r="AR94" s="44">
        <f t="shared" si="193"/>
        <v>6.9202183367751897E-4</v>
      </c>
      <c r="AS94" s="44">
        <f t="shared" si="194"/>
        <v>4.1225257373118896E-4</v>
      </c>
      <c r="AT94" s="44">
        <f t="shared" si="195"/>
        <v>4.3261338448162518E-4</v>
      </c>
      <c r="AU94" s="44">
        <f t="shared" si="196"/>
        <v>4.3136060070653594E-4</v>
      </c>
      <c r="AV94" s="44">
        <f t="shared" si="197"/>
        <v>4.5744742538160455E-4</v>
      </c>
      <c r="AW94" s="44">
        <f t="shared" si="198"/>
        <v>7.3596690157127001E-4</v>
      </c>
      <c r="AX94" s="44">
        <f t="shared" si="199"/>
        <v>4.7781782520940088E-4</v>
      </c>
      <c r="AY94" s="44">
        <f t="shared" si="200"/>
        <v>2.4155664651956757E-4</v>
      </c>
      <c r="AZ94" s="44">
        <f t="shared" si="201"/>
        <v>2.6512822461421866E-4</v>
      </c>
      <c r="BA94" s="44">
        <f t="shared" si="202"/>
        <v>-4.0557829162783001E-5</v>
      </c>
      <c r="BB94" s="44">
        <f t="shared" si="203"/>
        <v>4.6710722576197712E-4</v>
      </c>
      <c r="BC94" s="44">
        <f t="shared" si="204"/>
        <v>8.4511890122873905E-4</v>
      </c>
      <c r="BD94" s="44">
        <f t="shared" si="205"/>
        <v>5.2516905536831781E-4</v>
      </c>
      <c r="BE94" s="44">
        <f t="shared" si="206"/>
        <v>2.784007242975289E-4</v>
      </c>
      <c r="BF94" s="44">
        <f t="shared" si="207"/>
        <v>5.8190841618845903E-4</v>
      </c>
      <c r="BG94" s="44">
        <f t="shared" si="208"/>
        <v>2.7679136363391191E-4</v>
      </c>
      <c r="BH94" s="44">
        <f t="shared" si="209"/>
        <v>1.9015875443544373E-4</v>
      </c>
      <c r="BI94" s="44">
        <f t="shared" si="210"/>
        <v>1.4021857091388797E-4</v>
      </c>
      <c r="BJ94" s="44">
        <f t="shared" si="211"/>
        <v>2.3874570395464764E-4</v>
      </c>
      <c r="BK94" s="44">
        <f t="shared" si="212"/>
        <v>2.3473707249105306E-4</v>
      </c>
      <c r="BL94" s="44">
        <f t="shared" si="213"/>
        <v>1.573259004799959E-4</v>
      </c>
      <c r="BM94" s="44">
        <f t="shared" si="214"/>
        <v>3.8288642345024322E-4</v>
      </c>
      <c r="BN94" s="44">
        <f t="shared" si="215"/>
        <v>3.393906659053671E-4</v>
      </c>
      <c r="BO94" s="44">
        <f t="shared" si="216"/>
        <v>9.84206524998492E-4</v>
      </c>
      <c r="BP94" s="44">
        <f t="shared" si="217"/>
        <v>6.6196761391591817E-4</v>
      </c>
      <c r="BQ94" s="44">
        <f t="shared" si="218"/>
        <v>6.8182927961270528E-4</v>
      </c>
      <c r="BR94" s="44">
        <f t="shared" si="219"/>
        <v>1.9463132215862217E-4</v>
      </c>
      <c r="BS94" s="44">
        <f t="shared" ref="BS94:BS98" si="220">BS133</f>
        <v>1.1627058228438579E-3</v>
      </c>
      <c r="BT94" s="44">
        <f t="array" ref="BT94:BW94">TRANSPOSE(BS95:BS98)</f>
        <v>7.1544653231548738E-4</v>
      </c>
      <c r="BU94" s="44">
        <v>8.8006404993263817E-4</v>
      </c>
      <c r="BV94" s="44">
        <v>1.2598151931704248E-3</v>
      </c>
      <c r="BW94" s="44">
        <v>5.0656828036030701E-4</v>
      </c>
    </row>
    <row r="95" spans="1:75">
      <c r="A95" s="3" t="str">
        <f>Cotacao!C95</f>
        <v>11/5/2019 16:56:00</v>
      </c>
      <c r="B95" s="6">
        <f>IFERROR(LN(Cotacao!D96/Cotacao!D95),B94)</f>
        <v>2.7696584380484141E-2</v>
      </c>
      <c r="C95" s="6">
        <f>IFERROR(LN(Cotacao!F96/Cotacao!F95),C94)</f>
        <v>2.6355005757721619E-2</v>
      </c>
      <c r="D95" s="6">
        <f>IFERROR(LN(Cotacao!H96/Cotacao!H95),D94)</f>
        <v>1.0870747890832392E-3</v>
      </c>
      <c r="E95" s="6">
        <f>IFERROR(LN(Cotacao!J96/Cotacao!J95),E94)</f>
        <v>-7.6045993852193036E-3</v>
      </c>
      <c r="F95" s="6">
        <f>IFERROR(LN(Cotacao!L96/Cotacao!L95),F94)</f>
        <v>3.7164895445553178E-3</v>
      </c>
      <c r="G95" s="6">
        <f>IFERROR(LN(Cotacao!N96/Cotacao!N95),G94)</f>
        <v>-7.8487737920712869E-3</v>
      </c>
      <c r="H95" s="6">
        <f>IFERROR(LN(Cotacao!P96/Cotacao!P95),H94)</f>
        <v>0</v>
      </c>
      <c r="I95" s="6">
        <f>IFERROR(LN(Cotacao!R96/Cotacao!R95),I94)</f>
        <v>-1.6313217320840852E-3</v>
      </c>
      <c r="J95" s="6">
        <f>IFERROR(LN(Cotacao!T96/Cotacao!T95),J94)</f>
        <v>-1.6029925954562669E-3</v>
      </c>
      <c r="K95" s="6">
        <f>IFERROR(LN(Cotacao!V96/Cotacao!V95),K94)</f>
        <v>2.4980482968441554E-2</v>
      </c>
      <c r="L95" s="6">
        <f>IFERROR(LN(Cotacao!X96/Cotacao!X95),L94)</f>
        <v>6.0231067146357979E-3</v>
      </c>
      <c r="M95" s="6">
        <f>IFERROR(LN(Profit!B95/Profit!B94),M94)</f>
        <v>8.2769471774230257E-3</v>
      </c>
      <c r="N95" s="6">
        <f>IFERROR(LN(Cotacao!AB96/Cotacao!AB95),N94)</f>
        <v>5.1813587419973633E-3</v>
      </c>
      <c r="O95" s="6">
        <f>IFERROR(LN(Cotacao!AD96/Cotacao!AD95),O94)</f>
        <v>6.8656197859815159E-3</v>
      </c>
      <c r="P95" s="6">
        <f>IFERROR(LN(Cotacao!AF96/Cotacao!AF95),P94)</f>
        <v>3.0045090202987222E-3</v>
      </c>
      <c r="Q95" s="6">
        <f>IFERROR(LN(Cotacao!AH96/Cotacao!AH95),Q94)</f>
        <v>-3.615913943802015E-3</v>
      </c>
      <c r="R95" s="6">
        <f>IFERROR(LN(Cotacao!AJ96/Cotacao!AJ95),R94)</f>
        <v>1.3333530869465168E-2</v>
      </c>
      <c r="S95" s="6">
        <f>IFERROR(LN(Cotacao!AL96/Cotacao!AL95),S94)</f>
        <v>7.6239251106593664E-3</v>
      </c>
      <c r="T95" s="6">
        <f>IFERROR(LN(Cotacao!AN96/Cotacao!AN95),T94)</f>
        <v>-2.0210776332535911E-3</v>
      </c>
      <c r="U95" s="6">
        <f>IFERROR(LN(Cotacao!AP96/Cotacao!AP95),U94)</f>
        <v>2.3929197012335562E-2</v>
      </c>
      <c r="V95" s="6">
        <f>IFERROR(LN(Cotacao!AR96/Cotacao!AR95),V94)</f>
        <v>7.8637364602144513E-3</v>
      </c>
      <c r="W95" s="6">
        <f>IFERROR(LN(Cotacao!AT96/Cotacao!AT95),W94)</f>
        <v>4.8382362844735481E-3</v>
      </c>
      <c r="X95" s="6">
        <f>IFERROR(LN(Cotacao!AV96/Cotacao!AV95),X94)</f>
        <v>7.0656840177967728E-3</v>
      </c>
      <c r="Y95" s="6">
        <f>IFERROR(LN(Cotacao!AX96/Cotacao!AX95),Y94)</f>
        <v>-4.374634139046687E-3</v>
      </c>
      <c r="Z95" s="6">
        <f>IFERROR(LN(Cotacao!AZ96/Cotacao!AZ95),Z94)</f>
        <v>-3.333336419758116E-3</v>
      </c>
      <c r="AA95" s="6">
        <f>IFERROR(LN(Cotacao!BB96/Cotacao!BB95),AA94)</f>
        <v>7.1581405828395296E-3</v>
      </c>
      <c r="AB95" s="6">
        <f>IFERROR(LN(Cotacao!BD96/Cotacao!BD95),AB94)</f>
        <v>1.5336852735468195E-2</v>
      </c>
      <c r="AC95" s="6">
        <f>IFERROR(LN(Cotacao!BF96/Cotacao!BF95),AC94)</f>
        <v>8.7336799687544112E-3</v>
      </c>
      <c r="AD95" s="6">
        <f>IFERROR(LN(Cotacao!BH96/Cotacao!BH95),AD94)</f>
        <v>-5.4525628395590722E-4</v>
      </c>
      <c r="AE95" s="6">
        <f>IFERROR(LN(Cotacao!BJ96/Cotacao!BJ95),AE94)</f>
        <v>4.1334573171070256E-3</v>
      </c>
      <c r="AF95" s="6">
        <f>IFERROR(LN(Cotacao!BL96/Cotacao!BL95),AF94)</f>
        <v>1.5952851764459368E-2</v>
      </c>
      <c r="AG95" s="6">
        <f>IFERROR(LN(Cotacao!BN96/Cotacao!BN95),AG94)</f>
        <v>-8.1466845678180265E-3</v>
      </c>
      <c r="AH95" s="6">
        <f>IFERROR(LN(Cotacao!BP96/Cotacao!BP95),AH94)</f>
        <v>2.0215640307818237E-3</v>
      </c>
      <c r="AI95" s="6">
        <f>IFERROR(LN(Cotacao!BR96/Cotacao!BR95),AI94)</f>
        <v>6.8080912346563643E-3</v>
      </c>
      <c r="AJ95" s="6">
        <f>IFERROR(LN(Profit!C95/Profit!C94),AJ94)</f>
        <v>1.3817145553141903E-2</v>
      </c>
      <c r="AK95" s="6">
        <f>IFERROR(LN(Cotacao!BV96/Cotacao!BV95),AK94)</f>
        <v>-3.3057083370883616E-3</v>
      </c>
      <c r="AL95" s="6">
        <f>IFERROR(LN(Cotacao!BX96/Cotacao!BX95),AL94)</f>
        <v>1.9993342214822607E-3</v>
      </c>
      <c r="AN95" s="44" t="s">
        <v>34</v>
      </c>
      <c r="AO95" s="44">
        <f t="shared" si="190"/>
        <v>6.7635491411557674E-4</v>
      </c>
      <c r="AP95" s="44">
        <f t="shared" si="191"/>
        <v>5.3347234322003942E-4</v>
      </c>
      <c r="AQ95" s="44">
        <f t="shared" si="192"/>
        <v>4.5976473601903189E-4</v>
      </c>
      <c r="AR95" s="44">
        <f t="shared" si="193"/>
        <v>7.3662838370950592E-4</v>
      </c>
      <c r="AS95" s="44">
        <f t="shared" si="194"/>
        <v>5.1392753747727543E-4</v>
      </c>
      <c r="AT95" s="44">
        <f t="shared" si="195"/>
        <v>6.0107504733349711E-4</v>
      </c>
      <c r="AU95" s="44">
        <f t="shared" si="196"/>
        <v>5.1855118239197415E-4</v>
      </c>
      <c r="AV95" s="44">
        <f t="shared" si="197"/>
        <v>5.8396629677213616E-4</v>
      </c>
      <c r="AW95" s="44">
        <f t="shared" si="198"/>
        <v>9.2967370128252229E-4</v>
      </c>
      <c r="AX95" s="44">
        <f t="shared" si="199"/>
        <v>6.1286367281428145E-4</v>
      </c>
      <c r="AY95" s="44">
        <f t="shared" si="200"/>
        <v>2.8259731287908824E-4</v>
      </c>
      <c r="AZ95" s="44">
        <f t="shared" si="201"/>
        <v>3.4211258624567196E-4</v>
      </c>
      <c r="BA95" s="44">
        <f t="shared" si="202"/>
        <v>3.6326647029073248E-5</v>
      </c>
      <c r="BB95" s="44">
        <f t="shared" si="203"/>
        <v>4.5853700329664699E-4</v>
      </c>
      <c r="BC95" s="44">
        <f t="shared" si="204"/>
        <v>8.2002309529327817E-4</v>
      </c>
      <c r="BD95" s="44">
        <f t="shared" si="205"/>
        <v>7.4644431677337573E-4</v>
      </c>
      <c r="BE95" s="44">
        <f t="shared" si="206"/>
        <v>4.0980557538551236E-4</v>
      </c>
      <c r="BF95" s="44">
        <f t="shared" si="207"/>
        <v>6.3620636850369723E-4</v>
      </c>
      <c r="BG95" s="44">
        <f t="shared" si="208"/>
        <v>3.2184443401542544E-4</v>
      </c>
      <c r="BH95" s="44">
        <f t="shared" si="209"/>
        <v>2.1170039752186603E-4</v>
      </c>
      <c r="BI95" s="44">
        <f t="shared" si="210"/>
        <v>2.2212494524766766E-4</v>
      </c>
      <c r="BJ95" s="44">
        <f t="shared" si="211"/>
        <v>2.6851173641490115E-4</v>
      </c>
      <c r="BK95" s="44">
        <f t="shared" si="212"/>
        <v>2.6585995674757571E-4</v>
      </c>
      <c r="BL95" s="44">
        <f t="shared" si="213"/>
        <v>2.2707724468820062E-4</v>
      </c>
      <c r="BM95" s="44">
        <f t="shared" si="214"/>
        <v>4.4693354587760695E-4</v>
      </c>
      <c r="BN95" s="44">
        <f t="shared" si="215"/>
        <v>2.9513373922242925E-4</v>
      </c>
      <c r="BO95" s="44">
        <f t="shared" si="216"/>
        <v>1.1192134647182246E-3</v>
      </c>
      <c r="BP95" s="44">
        <f t="shared" si="217"/>
        <v>7.0548290316772529E-4</v>
      </c>
      <c r="BQ95" s="44">
        <f t="shared" si="218"/>
        <v>6.4918346456256334E-4</v>
      </c>
      <c r="BR95" s="44">
        <f t="shared" si="219"/>
        <v>2.2811827181996877E-4</v>
      </c>
      <c r="BS95" s="44">
        <f t="shared" si="220"/>
        <v>7.1544653231548738E-4</v>
      </c>
      <c r="BT95" s="44">
        <f t="shared" ref="BT95:BT98" si="221">BT134</f>
        <v>1.1903734414328165E-3</v>
      </c>
      <c r="BU95" s="44">
        <f t="array" ref="BU95:BW95">TRANSPOSE(BT96:BT98)</f>
        <v>1.034537313051985E-3</v>
      </c>
      <c r="BV95" s="44">
        <v>1.3136033081483757E-3</v>
      </c>
      <c r="BW95" s="44">
        <v>5.4233205682547431E-4</v>
      </c>
    </row>
    <row r="96" spans="1:75">
      <c r="A96" s="3" t="str">
        <f>Cotacao!C96</f>
        <v>11/6/2019 16:56:00</v>
      </c>
      <c r="B96" s="6">
        <f>IFERROR(LN(Cotacao!D97/Cotacao!D96),B95)</f>
        <v>-1.185358706709521E-2</v>
      </c>
      <c r="C96" s="6">
        <f>IFERROR(LN(Cotacao!F97/Cotacao!F96),C95)</f>
        <v>2.5412974286727692E-3</v>
      </c>
      <c r="D96" s="6">
        <f>IFERROR(LN(Cotacao!H97/Cotacao!H96),D95)</f>
        <v>4.9853793512142884E-3</v>
      </c>
      <c r="E96" s="6">
        <f>IFERROR(LN(Cotacao!J97/Cotacao!J96),E95)</f>
        <v>2.1895929495975391E-2</v>
      </c>
      <c r="F96" s="6">
        <f>IFERROR(LN(Cotacao!L97/Cotacao!L96),F95)</f>
        <v>5.8124338013228602E-3</v>
      </c>
      <c r="G96" s="6">
        <f>IFERROR(LN(Cotacao!N97/Cotacao!N96),G95)</f>
        <v>-1.4336920018486968E-3</v>
      </c>
      <c r="H96" s="6">
        <f>IFERROR(LN(Cotacao!P97/Cotacao!P96),H95)</f>
        <v>5.0298754268619872E-3</v>
      </c>
      <c r="I96" s="6">
        <f>IFERROR(LN(Cotacao!R97/Cotacao!R96),I95)</f>
        <v>9.3439639826436473E-3</v>
      </c>
      <c r="J96" s="6">
        <f>IFERROR(LN(Cotacao!T97/Cotacao!T96),J95)</f>
        <v>-8.0537348070967157E-3</v>
      </c>
      <c r="K96" s="6">
        <f>IFERROR(LN(Cotacao!V97/Cotacao!V96),K95)</f>
        <v>-8.2576852389815766E-3</v>
      </c>
      <c r="L96" s="6">
        <f>IFERROR(LN(Cotacao!X97/Cotacao!X96),L95)</f>
        <v>4.1614708412521986E-3</v>
      </c>
      <c r="M96" s="6">
        <f>IFERROR(LN(Profit!B96/Profit!B95),M95)</f>
        <v>3.7460198977097152E-4</v>
      </c>
      <c r="N96" s="6">
        <f>IFERROR(LN(Cotacao!AB97/Cotacao!AB96),N95)</f>
        <v>6.0111816902809782E-3</v>
      </c>
      <c r="O96" s="6">
        <f>IFERROR(LN(Cotacao!AD97/Cotacao!AD96),O95)</f>
        <v>5.249355886143745E-3</v>
      </c>
      <c r="P96" s="6">
        <f>IFERROR(LN(Cotacao!AF97/Cotacao!AF96),P95)</f>
        <v>1.6201379338008016E-2</v>
      </c>
      <c r="Q96" s="6">
        <f>IFERROR(LN(Cotacao!AH97/Cotacao!AH96),Q95)</f>
        <v>8.4168833574041688E-3</v>
      </c>
      <c r="R96" s="6">
        <f>IFERROR(LN(Cotacao!AJ97/Cotacao!AJ96),R95)</f>
        <v>-1.199214904526387E-2</v>
      </c>
      <c r="S96" s="6">
        <f>IFERROR(LN(Cotacao!AL97/Cotacao!AL96),S95)</f>
        <v>1.7566323717899065E-2</v>
      </c>
      <c r="T96" s="6">
        <f>IFERROR(LN(Cotacao!AN97/Cotacao!AN96),T95)</f>
        <v>1.8287699403531858E-3</v>
      </c>
      <c r="U96" s="6">
        <f>IFERROR(LN(Cotacao!AP97/Cotacao!AP96),U95)</f>
        <v>7.3521023687532347E-3</v>
      </c>
      <c r="V96" s="6">
        <f>IFERROR(LN(Cotacao!AR97/Cotacao!AR96),V95)</f>
        <v>8.6655654909959245E-3</v>
      </c>
      <c r="W96" s="6">
        <f>IFERROR(LN(Cotacao!AT97/Cotacao!AT96),W95)</f>
        <v>-7.2742910823545915E-3</v>
      </c>
      <c r="X96" s="6">
        <f>IFERROR(LN(Cotacao!AV97/Cotacao!AV96),X95)</f>
        <v>-3.4861426185369646E-4</v>
      </c>
      <c r="Y96" s="6">
        <f>IFERROR(LN(Cotacao!AX97/Cotacao!AX96),Y95)</f>
        <v>3.1880130978545175E-4</v>
      </c>
      <c r="Z96" s="6">
        <f>IFERROR(LN(Cotacao!AZ97/Cotacao!AZ96),Z95)</f>
        <v>-8.1713551838354173E-2</v>
      </c>
      <c r="AA96" s="6">
        <f>IFERROR(LN(Cotacao!BB97/Cotacao!BB96),AA95)</f>
        <v>1.2863445594329052E-2</v>
      </c>
      <c r="AB96" s="6">
        <f>IFERROR(LN(Cotacao!BD97/Cotacao!BD96),AB95)</f>
        <v>3.1079082965941997E-2</v>
      </c>
      <c r="AC96" s="6">
        <f>IFERROR(LN(Cotacao!BF97/Cotacao!BF96),AC95)</f>
        <v>-5.8139698654199566E-3</v>
      </c>
      <c r="AD96" s="6">
        <f>IFERROR(LN(Cotacao!BH97/Cotacao!BH96),AD95)</f>
        <v>1.3004789080533423E-2</v>
      </c>
      <c r="AE96" s="6">
        <f>IFERROR(LN(Cotacao!BJ97/Cotacao!BJ96),AE95)</f>
        <v>2.9459419862497727E-4</v>
      </c>
      <c r="AF96" s="6">
        <f>IFERROR(LN(Cotacao!BL97/Cotacao!BL96),AF95)</f>
        <v>3.3300217677895767E-2</v>
      </c>
      <c r="AG96" s="6">
        <f>IFERROR(LN(Cotacao!BN97/Cotacao!BN96),AG95)</f>
        <v>1.0173027713050568E-2</v>
      </c>
      <c r="AH96" s="6">
        <f>IFERROR(LN(Cotacao!BP97/Cotacao!BP96),AH95)</f>
        <v>3.9272494429183374E-2</v>
      </c>
      <c r="AI96" s="6">
        <f>IFERROR(LN(Cotacao!BR97/Cotacao!BR96),AI95)</f>
        <v>2.9315547491809476E-2</v>
      </c>
      <c r="AJ96" s="6">
        <f>IFERROR(LN(Profit!C96/Profit!C95),AJ95)</f>
        <v>-5.1590828100274476E-3</v>
      </c>
      <c r="AK96" s="6">
        <f>IFERROR(LN(Cotacao!BV97/Cotacao!BV96),AK95)</f>
        <v>1.119903029157396E-2</v>
      </c>
      <c r="AL96" s="6">
        <f>IFERROR(LN(Cotacao!BX97/Cotacao!BX96),AL95)</f>
        <v>-1.6784549792700297E-2</v>
      </c>
      <c r="AN96" s="44" t="s">
        <v>35</v>
      </c>
      <c r="AO96" s="44">
        <f t="shared" si="190"/>
        <v>8.3861728519566434E-4</v>
      </c>
      <c r="AP96" s="44">
        <f t="shared" si="191"/>
        <v>5.5444767717205293E-4</v>
      </c>
      <c r="AQ96" s="44">
        <f t="shared" si="192"/>
        <v>4.8747554867238082E-4</v>
      </c>
      <c r="AR96" s="44">
        <f t="shared" si="193"/>
        <v>1.2345184464313966E-3</v>
      </c>
      <c r="AS96" s="44">
        <f t="shared" si="194"/>
        <v>5.8983634895015344E-4</v>
      </c>
      <c r="AT96" s="44">
        <f t="shared" si="195"/>
        <v>7.145811503330115E-4</v>
      </c>
      <c r="AU96" s="44">
        <f t="shared" si="196"/>
        <v>6.4737067738525279E-4</v>
      </c>
      <c r="AV96" s="44">
        <f t="shared" si="197"/>
        <v>6.6585705743917045E-4</v>
      </c>
      <c r="AW96" s="44">
        <f t="shared" si="198"/>
        <v>1.0928066138953107E-3</v>
      </c>
      <c r="AX96" s="44">
        <f t="shared" si="199"/>
        <v>7.4121456703746843E-4</v>
      </c>
      <c r="AY96" s="44">
        <f t="shared" si="200"/>
        <v>4.4219496146196601E-4</v>
      </c>
      <c r="AZ96" s="44">
        <f t="shared" si="201"/>
        <v>3.5899537482494238E-4</v>
      </c>
      <c r="BA96" s="44">
        <f t="shared" si="202"/>
        <v>-2.4610993537893145E-5</v>
      </c>
      <c r="BB96" s="44">
        <f t="shared" si="203"/>
        <v>6.966504730403282E-4</v>
      </c>
      <c r="BC96" s="44">
        <f t="shared" si="204"/>
        <v>1.0712540460292394E-3</v>
      </c>
      <c r="BD96" s="44">
        <f t="shared" si="205"/>
        <v>1.0617866952535176E-3</v>
      </c>
      <c r="BE96" s="44">
        <f t="shared" si="206"/>
        <v>4.9872847871482021E-4</v>
      </c>
      <c r="BF96" s="44">
        <f t="shared" si="207"/>
        <v>8.8641085274395251E-4</v>
      </c>
      <c r="BG96" s="44">
        <f t="shared" si="208"/>
        <v>4.5200048114859062E-4</v>
      </c>
      <c r="BH96" s="44">
        <f t="shared" si="209"/>
        <v>2.953899972948047E-4</v>
      </c>
      <c r="BI96" s="44">
        <f t="shared" si="210"/>
        <v>2.747970806272615E-4</v>
      </c>
      <c r="BJ96" s="44">
        <f t="shared" si="211"/>
        <v>3.4153591246776673E-4</v>
      </c>
      <c r="BK96" s="44">
        <f t="shared" si="212"/>
        <v>3.4127092464964712E-4</v>
      </c>
      <c r="BL96" s="44">
        <f t="shared" si="213"/>
        <v>2.7145913872564695E-4</v>
      </c>
      <c r="BM96" s="44">
        <f t="shared" si="214"/>
        <v>5.7402821280359145E-4</v>
      </c>
      <c r="BN96" s="44">
        <f t="shared" si="215"/>
        <v>4.657412752425032E-4</v>
      </c>
      <c r="BO96" s="44">
        <f t="shared" si="216"/>
        <v>1.3463248937299139E-3</v>
      </c>
      <c r="BP96" s="44">
        <f t="shared" si="217"/>
        <v>9.9639549328470168E-4</v>
      </c>
      <c r="BQ96" s="44">
        <f t="shared" si="218"/>
        <v>7.7408411421177141E-4</v>
      </c>
      <c r="BR96" s="44">
        <f t="shared" si="219"/>
        <v>3.4720482849866501E-4</v>
      </c>
      <c r="BS96" s="44">
        <f t="shared" si="220"/>
        <v>8.8006404993263817E-4</v>
      </c>
      <c r="BT96" s="44">
        <f t="shared" si="221"/>
        <v>1.034537313051985E-3</v>
      </c>
      <c r="BU96" s="44">
        <f t="shared" ref="BU96:BU98" si="222">BU135</f>
        <v>1.8569704661684204E-3</v>
      </c>
      <c r="BV96" s="44">
        <f t="array" ref="BV96:BW96">TRANSPOSE(BU97:BU98)</f>
        <v>2.1912971858805219E-3</v>
      </c>
      <c r="BW96" s="44">
        <v>7.308273102972243E-4</v>
      </c>
    </row>
    <row r="97" spans="1:75">
      <c r="A97" s="3" t="str">
        <f>Cotacao!C97</f>
        <v>11/7/2019 16:56:00</v>
      </c>
      <c r="B97" s="6">
        <f>IFERROR(LN(Cotacao!D98/Cotacao!D97),B96)</f>
        <v>-1.0845988048042183E-3</v>
      </c>
      <c r="C97" s="6">
        <f>IFERROR(LN(Cotacao!F98/Cotacao!F97),C96)</f>
        <v>-2.1953839664403601E-2</v>
      </c>
      <c r="D97" s="6">
        <f>IFERROR(LN(Cotacao!H98/Cotacao!H97),D96)</f>
        <v>-2.2964377120248687E-2</v>
      </c>
      <c r="E97" s="6">
        <f>IFERROR(LN(Cotacao!J98/Cotacao!J97),E96)</f>
        <v>-2.1895929495975321E-2</v>
      </c>
      <c r="F97" s="6">
        <f>IFERROR(LN(Cotacao!L98/Cotacao!L97),F96)</f>
        <v>-1.1125942583364443E-2</v>
      </c>
      <c r="G97" s="6">
        <f>IFERROR(LN(Cotacao!N98/Cotacao!N97),G96)</f>
        <v>-1.2996572827180248E-2</v>
      </c>
      <c r="H97" s="6">
        <f>IFERROR(LN(Cotacao!P98/Cotacao!P97),H96)</f>
        <v>-1.6759285539759163E-2</v>
      </c>
      <c r="I97" s="6">
        <f>IFERROR(LN(Cotacao!R98/Cotacao!R97),I96)</f>
        <v>-2.8345837971265634E-3</v>
      </c>
      <c r="J97" s="6">
        <f>IFERROR(LN(Cotacao!T98/Cotacao!T97),J96)</f>
        <v>-2.8987536873252298E-2</v>
      </c>
      <c r="K97" s="6">
        <f>IFERROR(LN(Cotacao!V98/Cotacao!V97),K96)</f>
        <v>-1.0000083334583422E-2</v>
      </c>
      <c r="L97" s="6">
        <f>IFERROR(LN(Cotacao!X98/Cotacao!X97),L96)</f>
        <v>9.0947299058824066E-3</v>
      </c>
      <c r="M97" s="6">
        <f>IFERROR(LN(Profit!B97/Profit!B96),M96)</f>
        <v>-3.2739886491802692E-2</v>
      </c>
      <c r="N97" s="6">
        <f>IFERROR(LN(Cotacao!AB98/Cotacao!AB97),N96)</f>
        <v>3.8453369322619542E-3</v>
      </c>
      <c r="O97" s="6">
        <f>IFERROR(LN(Cotacao!AD98/Cotacao!AD97),O96)</f>
        <v>3.2958698952751199E-2</v>
      </c>
      <c r="P97" s="6">
        <f>IFERROR(LN(Cotacao!AF98/Cotacao!AF97),P96)</f>
        <v>-3.1992065244331978E-2</v>
      </c>
      <c r="Q97" s="6">
        <f>IFERROR(LN(Cotacao!AH98/Cotacao!AH97),Q96)</f>
        <v>-1.8733552183586764E-2</v>
      </c>
      <c r="R97" s="6">
        <f>IFERROR(LN(Cotacao!AJ98/Cotacao!AJ97),R96)</f>
        <v>5.3476063265952773E-3</v>
      </c>
      <c r="S97" s="6">
        <f>IFERROR(LN(Cotacao!AL98/Cotacao!AL97),S96)</f>
        <v>-2.6466573188163176E-2</v>
      </c>
      <c r="T97" s="6">
        <f>IFERROR(LN(Cotacao!AN98/Cotacao!AN97),T96)</f>
        <v>-1.7363062902537276E-2</v>
      </c>
      <c r="U97" s="6">
        <f>IFERROR(LN(Cotacao!AP98/Cotacao!AP97),U96)</f>
        <v>-2.7226143783534523E-2</v>
      </c>
      <c r="V97" s="6">
        <f>IFERROR(LN(Cotacao!AR98/Cotacao!AR97),V96)</f>
        <v>-1.9164349589215715E-2</v>
      </c>
      <c r="W97" s="6">
        <f>IFERROR(LN(Cotacao!AT98/Cotacao!AT97),W96)</f>
        <v>-3.4612678351205128E-3</v>
      </c>
      <c r="X97" s="6">
        <f>IFERROR(LN(Cotacao!AV98/Cotacao!AV97),X96)</f>
        <v>-2.7932979056127108E-3</v>
      </c>
      <c r="Y97" s="6">
        <f>IFERROR(LN(Cotacao!AX98/Cotacao!AX97),Y96)</f>
        <v>2.4672701441234737E-3</v>
      </c>
      <c r="Z97" s="6">
        <f>IFERROR(LN(Cotacao!AZ98/Cotacao!AZ97),Z96)</f>
        <v>3.6166404701885148E-3</v>
      </c>
      <c r="AA97" s="6">
        <f>IFERROR(LN(Cotacao!BB98/Cotacao!BB97),AA96)</f>
        <v>-3.9723764920830268E-3</v>
      </c>
      <c r="AB97" s="6">
        <f>IFERROR(LN(Cotacao!BD98/Cotacao!BD97),AB96)</f>
        <v>-6.029067317344333E-3</v>
      </c>
      <c r="AC97" s="6">
        <f>IFERROR(LN(Cotacao!BF98/Cotacao!BF97),AC96)</f>
        <v>-8.7848295557328027E-3</v>
      </c>
      <c r="AD97" s="6">
        <f>IFERROR(LN(Cotacao!BH98/Cotacao!BH97),AD96)</f>
        <v>-3.3391170038340759E-2</v>
      </c>
      <c r="AE97" s="6">
        <f>IFERROR(LN(Cotacao!BJ98/Cotacao!BJ97),AE96)</f>
        <v>-1.8869042687905851E-3</v>
      </c>
      <c r="AF97" s="6">
        <f>IFERROR(LN(Cotacao!BL98/Cotacao!BL97),AF96)</f>
        <v>5.3257715088889847E-3</v>
      </c>
      <c r="AG97" s="6">
        <f>IFERROR(LN(Cotacao!BN98/Cotacao!BN97),AG96)</f>
        <v>-1.4271394105332682E-2</v>
      </c>
      <c r="AH97" s="6">
        <f>IFERROR(LN(Cotacao!BP98/Cotacao!BP97),AH96)</f>
        <v>-2.8892357698383875E-2</v>
      </c>
      <c r="AI97" s="6">
        <f>IFERROR(LN(Cotacao!BR98/Cotacao!BR97),AI96)</f>
        <v>3.5416176659656862E-3</v>
      </c>
      <c r="AJ97" s="6">
        <f>IFERROR(LN(Profit!C97/Profit!C96),AJ96)</f>
        <v>-9.5280062516545829E-3</v>
      </c>
      <c r="AK97" s="6">
        <f>IFERROR(LN(Cotacao!BV98/Cotacao!BV97),AK96)</f>
        <v>-1.7970135456220671E-2</v>
      </c>
      <c r="AL97" s="6">
        <f>IFERROR(LN(Cotacao!BX98/Cotacao!BX97),AL96)</f>
        <v>8.7631164081250993E-3</v>
      </c>
      <c r="AN97" s="44" t="s">
        <v>36</v>
      </c>
      <c r="AO97" s="44">
        <f t="shared" si="190"/>
        <v>1.2877994164832846E-3</v>
      </c>
      <c r="AP97" s="44">
        <f t="shared" si="191"/>
        <v>5.9095212641650633E-4</v>
      </c>
      <c r="AQ97" s="44">
        <f t="shared" si="192"/>
        <v>6.5534945998624327E-4</v>
      </c>
      <c r="AR97" s="44">
        <f t="shared" si="193"/>
        <v>2.0716078411760512E-3</v>
      </c>
      <c r="AS97" s="44">
        <f t="shared" si="194"/>
        <v>8.5724079757906768E-4</v>
      </c>
      <c r="AT97" s="44">
        <f t="shared" si="195"/>
        <v>9.5523377243392237E-4</v>
      </c>
      <c r="AU97" s="44">
        <f t="shared" si="196"/>
        <v>9.310616470983834E-4</v>
      </c>
      <c r="AV97" s="44">
        <f t="shared" si="197"/>
        <v>9.733788284691184E-4</v>
      </c>
      <c r="AW97" s="44">
        <f t="shared" si="198"/>
        <v>1.7101995960450945E-3</v>
      </c>
      <c r="AX97" s="44">
        <f t="shared" si="199"/>
        <v>1.0998966494819708E-3</v>
      </c>
      <c r="AY97" s="44">
        <f t="shared" si="200"/>
        <v>9.0487842154419193E-4</v>
      </c>
      <c r="AZ97" s="44">
        <f t="shared" si="201"/>
        <v>5.1094750975611144E-4</v>
      </c>
      <c r="BA97" s="44">
        <f t="shared" si="202"/>
        <v>-2.326210331972351E-5</v>
      </c>
      <c r="BB97" s="44">
        <f t="shared" si="203"/>
        <v>1.0719586324804051E-3</v>
      </c>
      <c r="BC97" s="44">
        <f t="shared" si="204"/>
        <v>1.5917835626293193E-3</v>
      </c>
      <c r="BD97" s="44">
        <f t="shared" si="205"/>
        <v>1.3014781648419658E-3</v>
      </c>
      <c r="BE97" s="44">
        <f t="shared" si="206"/>
        <v>6.0695060333563501E-4</v>
      </c>
      <c r="BF97" s="44">
        <f t="shared" si="207"/>
        <v>1.3142453050584712E-3</v>
      </c>
      <c r="BG97" s="44">
        <f t="shared" si="208"/>
        <v>8.329908917960138E-4</v>
      </c>
      <c r="BH97" s="44">
        <f t="shared" si="209"/>
        <v>4.511379941677729E-4</v>
      </c>
      <c r="BI97" s="44">
        <f t="shared" si="210"/>
        <v>4.166462076742257E-4</v>
      </c>
      <c r="BJ97" s="44">
        <f t="shared" si="211"/>
        <v>5.4971347054492839E-4</v>
      </c>
      <c r="BK97" s="44">
        <f t="shared" si="212"/>
        <v>6.3299120722833807E-4</v>
      </c>
      <c r="BL97" s="44">
        <f t="shared" si="213"/>
        <v>4.9585812199570234E-4</v>
      </c>
      <c r="BM97" s="44">
        <f t="shared" si="214"/>
        <v>8.7694280546516009E-4</v>
      </c>
      <c r="BN97" s="44">
        <f t="shared" si="215"/>
        <v>9.0446156402443129E-4</v>
      </c>
      <c r="BO97" s="44">
        <f t="shared" si="216"/>
        <v>2.3339776272047323E-3</v>
      </c>
      <c r="BP97" s="44">
        <f t="shared" si="217"/>
        <v>1.5429947978328241E-3</v>
      </c>
      <c r="BQ97" s="44">
        <f t="shared" si="218"/>
        <v>1.0839151267920714E-3</v>
      </c>
      <c r="BR97" s="44">
        <f t="shared" si="219"/>
        <v>6.2571299416608664E-4</v>
      </c>
      <c r="BS97" s="44">
        <f t="shared" si="220"/>
        <v>1.2598151931704248E-3</v>
      </c>
      <c r="BT97" s="44">
        <f t="shared" si="221"/>
        <v>1.3136033081483757E-3</v>
      </c>
      <c r="BU97" s="44">
        <f t="shared" si="222"/>
        <v>2.1912971858805219E-3</v>
      </c>
      <c r="BV97" s="44">
        <f t="shared" ref="BV97:BV98" si="223">BV136</f>
        <v>4.6020770134625327E-3</v>
      </c>
      <c r="BW97" s="44">
        <f>BV98</f>
        <v>1.1324303467340172E-3</v>
      </c>
    </row>
    <row r="98" spans="1:75" ht="15" thickBot="1">
      <c r="A98" s="3" t="str">
        <f>Cotacao!C98</f>
        <v>11/8/2019 16:56:00</v>
      </c>
      <c r="B98" s="6">
        <f>IFERROR(LN(Cotacao!D99/Cotacao!D98),B97)</f>
        <v>3.7909604025473239E-3</v>
      </c>
      <c r="C98" s="6">
        <f>IFERROR(LN(Cotacao!F99/Cotacao!F98),C97)</f>
        <v>-3.1759807265138652E-3</v>
      </c>
      <c r="D98" s="6">
        <f>IFERROR(LN(Cotacao!H99/Cotacao!H98),D97)</f>
        <v>-2.8802501356286958E-3</v>
      </c>
      <c r="E98" s="6">
        <f>IFERROR(LN(Cotacao!J99/Cotacao!J98),E97)</f>
        <v>4.40534090932517E-2</v>
      </c>
      <c r="F98" s="6">
        <f>IFERROR(LN(Cotacao!L99/Cotacao!L98),F97)</f>
        <v>-2.6673795489714756E-3</v>
      </c>
      <c r="G98" s="6">
        <f>IFERROR(LN(Cotacao!N99/Cotacao!N98),G97)</f>
        <v>9.4033242610548663E-3</v>
      </c>
      <c r="H98" s="6">
        <f>IFERROR(LN(Cotacao!P99/Cotacao!P98),H97)</f>
        <v>6.9908133452888932E-3</v>
      </c>
      <c r="I98" s="6">
        <f>IFERROR(LN(Cotacao!R99/Cotacao!R98),I97)</f>
        <v>1.6207458977333445E-3</v>
      </c>
      <c r="J98" s="6">
        <f>IFERROR(LN(Cotacao!T99/Cotacao!T98),J97)</f>
        <v>-7.2403546595640363E-3</v>
      </c>
      <c r="K98" s="6">
        <f>IFERROR(LN(Cotacao!V99/Cotacao!V98),K97)</f>
        <v>-6.7227143948765892E-3</v>
      </c>
      <c r="L98" s="6">
        <f>IFERROR(LN(Cotacao!X99/Cotacao!X98),L97)</f>
        <v>-1.2422519998557209E-2</v>
      </c>
      <c r="M98" s="6">
        <f>IFERROR(LN(Profit!B98/Profit!B97),M97)</f>
        <v>5.7881697389977468E-3</v>
      </c>
      <c r="N98" s="6">
        <f>IFERROR(LN(Cotacao!AB99/Cotacao!AB98),N97)</f>
        <v>-4.1799728921064067E-2</v>
      </c>
      <c r="O98" s="6">
        <f>IFERROR(LN(Cotacao!AD99/Cotacao!AD98),O97)</f>
        <v>2.2044980920127466E-2</v>
      </c>
      <c r="P98" s="6">
        <f>IFERROR(LN(Cotacao!AF99/Cotacao!AF98),P97)</f>
        <v>1.312045735044513E-2</v>
      </c>
      <c r="Q98" s="6">
        <f>IFERROR(LN(Cotacao!AH99/Cotacao!AH98),Q97)</f>
        <v>-2.1581353473028395E-2</v>
      </c>
      <c r="R98" s="6">
        <f>IFERROR(LN(Cotacao!AJ99/Cotacao!AJ98),R97)</f>
        <v>5.7611504350714412E-3</v>
      </c>
      <c r="S98" s="6">
        <f>IFERROR(LN(Cotacao!AL99/Cotacao!AL98),S97)</f>
        <v>0</v>
      </c>
      <c r="T98" s="6">
        <f>IFERROR(LN(Cotacao!AN99/Cotacao!AN98),T97)</f>
        <v>1.1673284304724805E-2</v>
      </c>
      <c r="U98" s="6">
        <f>IFERROR(LN(Cotacao!AP99/Cotacao!AP98),U97)</f>
        <v>-2.0855386837877927E-2</v>
      </c>
      <c r="V98" s="6">
        <f>IFERROR(LN(Cotacao!AR99/Cotacao!AR98),V97)</f>
        <v>7.0114222378040826E-3</v>
      </c>
      <c r="W98" s="6">
        <f>IFERROR(LN(Cotacao!AT99/Cotacao!AT98),W97)</f>
        <v>6.8538803952851298E-3</v>
      </c>
      <c r="X98" s="6">
        <f>IFERROR(LN(Cotacao!AV99/Cotacao!AV98),X97)</f>
        <v>3.4904049397685676E-3</v>
      </c>
      <c r="Y98" s="6">
        <f>IFERROR(LN(Cotacao!AX99/Cotacao!AX98),Y97)</f>
        <v>-2.3875856945015225E-3</v>
      </c>
      <c r="Z98" s="6">
        <f>IFERROR(LN(Cotacao!AZ99/Cotacao!AZ98),Z97)</f>
        <v>-8.6683239168801871E-2</v>
      </c>
      <c r="AA98" s="6">
        <f>IFERROR(LN(Cotacao!BB99/Cotacao!BB98),AA97)</f>
        <v>9.1071002002292654E-3</v>
      </c>
      <c r="AB98" s="6">
        <f>IFERROR(LN(Cotacao!BD99/Cotacao!BD98),AB97)</f>
        <v>-9.9448333421661098E-3</v>
      </c>
      <c r="AC98" s="6">
        <f>IFERROR(LN(Cotacao!BF99/Cotacao!BF98),AC97)</f>
        <v>0</v>
      </c>
      <c r="AD98" s="6">
        <f>IFERROR(LN(Cotacao!BH99/Cotacao!BH98),AD97)</f>
        <v>-1.4578335001615081E-2</v>
      </c>
      <c r="AE98" s="6">
        <f>IFERROR(LN(Cotacao!BJ99/Cotacao!BJ98),AE97)</f>
        <v>-1.9496062654803341E-3</v>
      </c>
      <c r="AF98" s="6">
        <f>IFERROR(LN(Cotacao!BL99/Cotacao!BL98),AF97)</f>
        <v>2.9655059882069089E-2</v>
      </c>
      <c r="AG98" s="6">
        <f>IFERROR(LN(Cotacao!BN99/Cotacao!BN98),AG97)</f>
        <v>2.8341978002274882E-2</v>
      </c>
      <c r="AH98" s="6">
        <f>IFERROR(LN(Cotacao!BP99/Cotacao!BP98),AH97)</f>
        <v>1.4222167950590187E-2</v>
      </c>
      <c r="AI98" s="6">
        <f>IFERROR(LN(Cotacao!BR99/Cotacao!BR98),AI97)</f>
        <v>-1.3218291085852957E-2</v>
      </c>
      <c r="AJ98" s="6">
        <f>IFERROR(LN(Profit!C98/Profit!C97),AJ97)</f>
        <v>-1.5789801732635195E-2</v>
      </c>
      <c r="AK98" s="6">
        <f>IFERROR(LN(Cotacao!BV99/Cotacao!BV98),AK97)</f>
        <v>6.8377325623925674E-3</v>
      </c>
      <c r="AL98" s="6">
        <f>IFERROR(LN(Cotacao!BX99/Cotacao!BX98),AL97)</f>
        <v>-3.0247040368424939E-3</v>
      </c>
      <c r="AN98" s="45" t="s">
        <v>37</v>
      </c>
      <c r="AO98" s="45">
        <f t="shared" si="190"/>
        <v>4.7243777439174564E-4</v>
      </c>
      <c r="AP98" s="45">
        <f t="shared" si="191"/>
        <v>2.8287561733646914E-4</v>
      </c>
      <c r="AQ98" s="45">
        <f t="shared" si="192"/>
        <v>3.6311256741844715E-4</v>
      </c>
      <c r="AR98" s="45">
        <f t="shared" si="193"/>
        <v>5.940381888271827E-4</v>
      </c>
      <c r="AS98" s="45">
        <f t="shared" si="194"/>
        <v>4.4659868481831478E-4</v>
      </c>
      <c r="AT98" s="45">
        <f t="shared" si="195"/>
        <v>4.2057450073403443E-4</v>
      </c>
      <c r="AU98" s="45">
        <f t="shared" si="196"/>
        <v>3.8739451691012023E-4</v>
      </c>
      <c r="AV98" s="45">
        <f t="shared" si="197"/>
        <v>4.4917055856630777E-4</v>
      </c>
      <c r="AW98" s="45">
        <f t="shared" si="198"/>
        <v>6.7296696163163792E-4</v>
      </c>
      <c r="AX98" s="45">
        <f t="shared" si="199"/>
        <v>5.7391460397161905E-4</v>
      </c>
      <c r="AY98" s="45">
        <f t="shared" si="200"/>
        <v>3.4953605458972495E-4</v>
      </c>
      <c r="AZ98" s="45">
        <f t="shared" si="201"/>
        <v>2.5906524602910524E-4</v>
      </c>
      <c r="BA98" s="45">
        <f t="shared" si="202"/>
        <v>-2.4442896687287611E-6</v>
      </c>
      <c r="BB98" s="45">
        <f t="shared" si="203"/>
        <v>4.362077901402664E-4</v>
      </c>
      <c r="BC98" s="45">
        <f t="shared" si="204"/>
        <v>7.457948305038645E-4</v>
      </c>
      <c r="BD98" s="45">
        <f t="shared" si="205"/>
        <v>5.2135560188877443E-4</v>
      </c>
      <c r="BE98" s="45">
        <f t="shared" si="206"/>
        <v>2.9912759409336174E-4</v>
      </c>
      <c r="BF98" s="45">
        <f t="shared" si="207"/>
        <v>5.4383530324592479E-4</v>
      </c>
      <c r="BG98" s="45">
        <f t="shared" si="208"/>
        <v>3.488074327476671E-4</v>
      </c>
      <c r="BH98" s="45">
        <f t="shared" si="209"/>
        <v>1.8525604702465095E-4</v>
      </c>
      <c r="BI98" s="45">
        <f t="shared" si="210"/>
        <v>2.3191638451038824E-4</v>
      </c>
      <c r="BJ98" s="45">
        <f t="shared" si="211"/>
        <v>2.314330440647346E-4</v>
      </c>
      <c r="BK98" s="45">
        <f t="shared" si="212"/>
        <v>2.6320917071503334E-4</v>
      </c>
      <c r="BL98" s="45">
        <f t="shared" si="213"/>
        <v>1.9267871868022853E-4</v>
      </c>
      <c r="BM98" s="45">
        <f t="shared" si="214"/>
        <v>3.9085236528008343E-4</v>
      </c>
      <c r="BN98" s="45">
        <f t="shared" si="215"/>
        <v>2.8630773170681766E-4</v>
      </c>
      <c r="BO98" s="45">
        <f t="shared" si="216"/>
        <v>8.8160063080283213E-4</v>
      </c>
      <c r="BP98" s="45">
        <f t="shared" si="217"/>
        <v>6.1020151588144552E-4</v>
      </c>
      <c r="BQ98" s="45">
        <f t="shared" si="218"/>
        <v>5.2594412704626867E-4</v>
      </c>
      <c r="BR98" s="45">
        <f t="shared" si="219"/>
        <v>2.0266268032144528E-4</v>
      </c>
      <c r="BS98" s="45">
        <f t="shared" si="220"/>
        <v>5.0656828036030701E-4</v>
      </c>
      <c r="BT98" s="45">
        <f t="shared" si="221"/>
        <v>5.4233205682547431E-4</v>
      </c>
      <c r="BU98" s="45">
        <f t="shared" si="222"/>
        <v>7.308273102972243E-4</v>
      </c>
      <c r="BV98" s="45">
        <f t="shared" si="223"/>
        <v>1.1324303467340172E-3</v>
      </c>
      <c r="BW98" s="45">
        <f>$BW$137</f>
        <v>8.6297779941043576E-4</v>
      </c>
    </row>
    <row r="99" spans="1:75">
      <c r="A99" s="3" t="str">
        <f>Cotacao!C99</f>
        <v>11/11/2019 16:56:00</v>
      </c>
      <c r="B99" s="6">
        <f>IFERROR(LN(Cotacao!D100/Cotacao!D99),B98)</f>
        <v>-1.4702143393707427E-2</v>
      </c>
      <c r="C99" s="6">
        <f>IFERROR(LN(Cotacao!F100/Cotacao!F99),C98)</f>
        <v>-1.2220111334775333E-2</v>
      </c>
      <c r="D99" s="6">
        <f>IFERROR(LN(Cotacao!H100/Cotacao!H99),D98)</f>
        <v>-1.1155849744092434E-2</v>
      </c>
      <c r="E99" s="6">
        <f>IFERROR(LN(Cotacao!J100/Cotacao!J99),E98)</f>
        <v>-5.9438327932731079E-2</v>
      </c>
      <c r="F99" s="6">
        <f>IFERROR(LN(Cotacao!L100/Cotacao!L99),F98)</f>
        <v>1.2739025777429932E-2</v>
      </c>
      <c r="G99" s="6">
        <f>IFERROR(LN(Cotacao!N100/Cotacao!N99),G98)</f>
        <v>-1.1585936986372747E-2</v>
      </c>
      <c r="H99" s="6">
        <f>IFERROR(LN(Cotacao!P100/Cotacao!P99),H98)</f>
        <v>-2.1120785108274691E-2</v>
      </c>
      <c r="I99" s="6">
        <f>IFERROR(LN(Cotacao!R100/Cotacao!R99),I98)</f>
        <v>-8.1301260832501755E-3</v>
      </c>
      <c r="J99" s="6">
        <f>IFERROR(LN(Cotacao!T100/Cotacao!T99),J98)</f>
        <v>-1.124238934893379E-2</v>
      </c>
      <c r="K99" s="6">
        <f>IFERROR(LN(Cotacao!V100/Cotacao!V99),K98)</f>
        <v>1.3400535537482113E-2</v>
      </c>
      <c r="L99" s="6">
        <f>IFERROR(LN(Cotacao!X100/Cotacao!X99),L98)</f>
        <v>0</v>
      </c>
      <c r="M99" s="6">
        <f>IFERROR(LN(Profit!B99/Profit!B98),M98)</f>
        <v>1.9219686869696242E-3</v>
      </c>
      <c r="N99" s="6">
        <f>IFERROR(LN(Cotacao!AB100/Cotacao!AB99),N98)</f>
        <v>4.8791403070160763E-3</v>
      </c>
      <c r="O99" s="6">
        <f>IFERROR(LN(Cotacao!AD100/Cotacao!AD99),O98)</f>
        <v>-2.6614676610192709E-2</v>
      </c>
      <c r="P99" s="6">
        <f>IFERROR(LN(Cotacao!AF100/Cotacao!AF99),P98)</f>
        <v>5.3333459753623818E-3</v>
      </c>
      <c r="Q99" s="6">
        <f>IFERROR(LN(Cotacao!AH100/Cotacao!AH99),Q98)</f>
        <v>-4.790178898148487E-3</v>
      </c>
      <c r="R99" s="6">
        <f>IFERROR(LN(Cotacao!AJ100/Cotacao!AJ99),R98)</f>
        <v>-7.3179171233227498E-3</v>
      </c>
      <c r="S99" s="6">
        <f>IFERROR(LN(Cotacao!AL100/Cotacao!AL99),S98)</f>
        <v>-1.0269666637456156E-2</v>
      </c>
      <c r="T99" s="6">
        <f>IFERROR(LN(Cotacao!AN100/Cotacao!AN99),T98)</f>
        <v>6.3626937878286504E-3</v>
      </c>
      <c r="U99" s="6">
        <f>IFERROR(LN(Cotacao!AP100/Cotacao!AP99),U98)</f>
        <v>0</v>
      </c>
      <c r="V99" s="6">
        <f>IFERROR(LN(Cotacao!AR100/Cotacao!AR99),V98)</f>
        <v>7.8295310797048007E-3</v>
      </c>
      <c r="W99" s="6">
        <f>IFERROR(LN(Cotacao!AT100/Cotacao!AT99),W98)</f>
        <v>2.5114738027304397E-4</v>
      </c>
      <c r="X99" s="6">
        <f>IFERROR(LN(Cotacao!AV100/Cotacao!AV99),X98)</f>
        <v>-1.2622888503041123E-2</v>
      </c>
      <c r="Y99" s="6">
        <f>IFERROR(LN(Cotacao!AX100/Cotacao!AX99),Y98)</f>
        <v>3.186743175472344E-4</v>
      </c>
      <c r="Z99" s="6">
        <f>IFERROR(LN(Cotacao!AZ100/Cotacao!AZ99),Z98)</f>
        <v>-9.0596895352226703E-2</v>
      </c>
      <c r="AA99" s="6">
        <f>IFERROR(LN(Cotacao!BB100/Cotacao!BB99),AA98)</f>
        <v>-5.0163875148834395E-3</v>
      </c>
      <c r="AB99" s="6">
        <f>IFERROR(LN(Cotacao!BD100/Cotacao!BD99),AB98)</f>
        <v>-2.0758108609219561E-2</v>
      </c>
      <c r="AC99" s="6">
        <f>IFERROR(LN(Cotacao!BF100/Cotacao!BF99),AC98)</f>
        <v>1.0532572499893152E-2</v>
      </c>
      <c r="AD99" s="6">
        <f>IFERROR(LN(Cotacao!BH100/Cotacao!BH99),AD98)</f>
        <v>-2.9519266169108944E-2</v>
      </c>
      <c r="AE99" s="6">
        <f>IFERROR(LN(Cotacao!BJ100/Cotacao!BJ99),AE98)</f>
        <v>-3.376480416605951E-3</v>
      </c>
      <c r="AF99" s="6">
        <f>IFERROR(LN(Cotacao!BL100/Cotacao!BL99),AF98)</f>
        <v>-2.0490385232505366E-2</v>
      </c>
      <c r="AG99" s="6">
        <f>IFERROR(LN(Cotacao!BN100/Cotacao!BN99),AG98)</f>
        <v>-1.8127384592556604E-2</v>
      </c>
      <c r="AH99" s="6">
        <f>IFERROR(LN(Cotacao!BP100/Cotacao!BP99),AH98)</f>
        <v>-1.4222167950590073E-2</v>
      </c>
      <c r="AI99" s="6">
        <f>IFERROR(LN(Cotacao!BR100/Cotacao!BR99),AI98)</f>
        <v>-9.2545647662057497E-3</v>
      </c>
      <c r="AJ99" s="6">
        <f>IFERROR(LN(Profit!C99/Profit!C98),AJ98)</f>
        <v>3.5304537993824377E-3</v>
      </c>
      <c r="AK99" s="6">
        <f>IFERROR(LN(Cotacao!BV100/Cotacao!BV99),AK98)</f>
        <v>-1.5027624700913832E-2</v>
      </c>
      <c r="AL99" s="6">
        <f>IFERROR(LN(Cotacao!BX100/Cotacao!BX99),AL98)</f>
        <v>-2.418785948804222E-2</v>
      </c>
    </row>
    <row r="100" spans="1:75">
      <c r="A100" s="3" t="str">
        <f>Cotacao!C100</f>
        <v>11/12/2019 16:56:00</v>
      </c>
      <c r="B100" s="6">
        <f>IFERROR(LN(Cotacao!D101/Cotacao!D100),B99)</f>
        <v>-3.2967062824917548E-3</v>
      </c>
      <c r="C100" s="6">
        <f>IFERROR(LN(Cotacao!F101/Cotacao!F100),C99)</f>
        <v>1.4626300691443364E-3</v>
      </c>
      <c r="D100" s="6">
        <f>IFERROR(LN(Cotacao!H101/Cotacao!H100),D99)</f>
        <v>-3.1460700106473454E-3</v>
      </c>
      <c r="E100" s="6">
        <f>IFERROR(LN(Cotacao!J101/Cotacao!J100),E99)</f>
        <v>1.3857034661426281E-2</v>
      </c>
      <c r="F100" s="6">
        <f>IFERROR(LN(Cotacao!L101/Cotacao!L100),F99)</f>
        <v>-4.2283361095211761E-3</v>
      </c>
      <c r="G100" s="6">
        <f>IFERROR(LN(Cotacao!N101/Cotacao!N100),G99)</f>
        <v>-1.689353433549598E-2</v>
      </c>
      <c r="H100" s="6">
        <f>IFERROR(LN(Cotacao!P101/Cotacao!P100),H99)</f>
        <v>-4.2132617828122632E-3</v>
      </c>
      <c r="I100" s="6">
        <f>IFERROR(LN(Cotacao!R101/Cotacao!R100),I99)</f>
        <v>2.0387366898483089E-3</v>
      </c>
      <c r="J100" s="6">
        <f>IFERROR(LN(Cotacao!T101/Cotacao!T100),J99)</f>
        <v>-5.1006061275877968E-3</v>
      </c>
      <c r="K100" s="6">
        <f>IFERROR(LN(Cotacao!V101/Cotacao!V100),K99)</f>
        <v>-1.6652793190612089E-3</v>
      </c>
      <c r="L100" s="6">
        <f>IFERROR(LN(Cotacao!X101/Cotacao!X100),L99)</f>
        <v>3.3277900926747457E-3</v>
      </c>
      <c r="M100" s="6">
        <f>IFERROR(LN(Profit!B100/Profit!B99),M99)</f>
        <v>-2.6917916657114146E-3</v>
      </c>
      <c r="N100" s="6">
        <f>IFERROR(LN(Cotacao!AB101/Cotacao!AB100),N99)</f>
        <v>-1.8308169333737662E-2</v>
      </c>
      <c r="O100" s="6">
        <f>IFERROR(LN(Cotacao!AD101/Cotacao!AD100),O99)</f>
        <v>1.3144779760834687E-2</v>
      </c>
      <c r="P100" s="6">
        <f>IFERROR(LN(Cotacao!AF101/Cotacao!AF100),P99)</f>
        <v>-1.7776755229531843E-2</v>
      </c>
      <c r="Q100" s="6">
        <f>IFERROR(LN(Cotacao!AH101/Cotacao!AH100),Q99)</f>
        <v>-1.6417965073538265E-2</v>
      </c>
      <c r="R100" s="6">
        <f>IFERROR(LN(Cotacao!AJ101/Cotacao!AJ100),R99)</f>
        <v>-1.5591939900063587E-3</v>
      </c>
      <c r="S100" s="6">
        <f>IFERROR(LN(Cotacao!AL101/Cotacao!AL100),S99)</f>
        <v>-6.4725145056174788E-3</v>
      </c>
      <c r="T100" s="6">
        <f>IFERROR(LN(Cotacao!AN101/Cotacao!AN100),T99)</f>
        <v>7.9445261113549725E-3</v>
      </c>
      <c r="U100" s="6">
        <f>IFERROR(LN(Cotacao!AP101/Cotacao!AP100),U99)</f>
        <v>8.2641213220129362E-5</v>
      </c>
      <c r="V100" s="6">
        <f>IFERROR(LN(Cotacao!AR101/Cotacao!AR100),V99)</f>
        <v>-1.2205905679503623E-2</v>
      </c>
      <c r="W100" s="6">
        <f>IFERROR(LN(Cotacao!AT101/Cotacao!AT100),W99)</f>
        <v>1.2224297107351798E-3</v>
      </c>
      <c r="X100" s="6">
        <f>IFERROR(LN(Cotacao!AV101/Cotacao!AV100),X99)</f>
        <v>2.8188884064202012E-3</v>
      </c>
      <c r="Y100" s="6">
        <f>IFERROR(LN(Cotacao!AX101/Cotacao!AX100),Y99)</f>
        <v>-1.2753070435633067E-3</v>
      </c>
      <c r="Z100" s="6">
        <f>IFERROR(LN(Cotacao!AZ101/Cotacao!AZ100),Z99)</f>
        <v>7.2721543525263443E-2</v>
      </c>
      <c r="AA100" s="6">
        <f>IFERROR(LN(Cotacao!BB101/Cotacao!BB100),AA99)</f>
        <v>7.6884411038122507E-4</v>
      </c>
      <c r="AB100" s="6">
        <f>IFERROR(LN(Cotacao!BD101/Cotacao!BD100),AB99)</f>
        <v>1.4631662268064049E-2</v>
      </c>
      <c r="AC100" s="6">
        <f>IFERROR(LN(Cotacao!BF101/Cotacao!BF100),AC99)</f>
        <v>-2.3310033864754783E-3</v>
      </c>
      <c r="AD100" s="6">
        <f>IFERROR(LN(Cotacao!BH101/Cotacao!BH100),AD99)</f>
        <v>-3.763964839554839E-2</v>
      </c>
      <c r="AE100" s="6">
        <f>IFERROR(LN(Cotacao!BJ101/Cotacao!BJ100),AE99)</f>
        <v>-1.4845167656084477E-3</v>
      </c>
      <c r="AF100" s="6">
        <f>IFERROR(LN(Cotacao!BL101/Cotacao!BL100),AF99)</f>
        <v>2.4607029125044699E-2</v>
      </c>
      <c r="AG100" s="6">
        <f>IFERROR(LN(Cotacao!BN101/Cotacao!BN100),AG99)</f>
        <v>6.684923101883798E-3</v>
      </c>
      <c r="AH100" s="6">
        <f>IFERROR(LN(Cotacao!BP101/Cotacao!BP100),AH99)</f>
        <v>-4.005345808675162E-3</v>
      </c>
      <c r="AI100" s="6">
        <f>IFERROR(LN(Cotacao!BR101/Cotacao!BR100),AI99)</f>
        <v>-4.1407926660312769E-3</v>
      </c>
      <c r="AJ100" s="6">
        <f>IFERROR(LN(Profit!C100/Profit!C99),AJ99)</f>
        <v>-6.1864978574988471E-3</v>
      </c>
      <c r="AK100" s="6">
        <f>IFERROR(LN(Cotacao!BV101/Cotacao!BV100),AK99)</f>
        <v>-6.4955499035300093E-3</v>
      </c>
      <c r="AL100" s="6">
        <f>IFERROR(LN(Cotacao!BX101/Cotacao!BX100),AL99)</f>
        <v>-1.2840710876450336E-2</v>
      </c>
    </row>
    <row r="101" spans="1:75" ht="24" thickBot="1">
      <c r="A101" s="3" t="str">
        <f>Cotacao!C101</f>
        <v>11/13/2019 16:56:00</v>
      </c>
      <c r="B101" s="6">
        <f>IFERROR(LN(Cotacao!D102/Cotacao!D101),B100)</f>
        <v>9.3125844202388702E-3</v>
      </c>
      <c r="C101" s="6">
        <f>IFERROR(LN(Cotacao!F102/Cotacao!F101),C100)</f>
        <v>5.5385653898393627E-3</v>
      </c>
      <c r="D101" s="6">
        <f>IFERROR(LN(Cotacao!H102/Cotacao!H101),D100)</f>
        <v>-2.4788745087887449E-3</v>
      </c>
      <c r="E101" s="6">
        <f>IFERROR(LN(Cotacao!J102/Cotacao!J101),E100)</f>
        <v>1.2913206403178624E-2</v>
      </c>
      <c r="F101" s="6">
        <f>IFERROR(LN(Cotacao!L102/Cotacao!L101),F100)</f>
        <v>1.4199554909300411E-2</v>
      </c>
      <c r="G101" s="6">
        <f>IFERROR(LN(Cotacao!N102/Cotacao!N101),G100)</f>
        <v>9.5835602640575064E-3</v>
      </c>
      <c r="H101" s="6">
        <f>IFERROR(LN(Cotacao!P102/Cotacao!P101),H100)</f>
        <v>3.2425449940813285E-3</v>
      </c>
      <c r="I101" s="6">
        <f>IFERROR(LN(Cotacao!R102/Cotacao!R101),I100)</f>
        <v>1.7763890606331271E-2</v>
      </c>
      <c r="J101" s="6">
        <f>IFERROR(LN(Cotacao!T102/Cotacao!T101),J100)</f>
        <v>-3.7631068217647001E-2</v>
      </c>
      <c r="K101" s="6">
        <f>IFERROR(LN(Cotacao!V102/Cotacao!V101),K100)</f>
        <v>1.980262729617973E-2</v>
      </c>
      <c r="L101" s="6">
        <f>IFERROR(LN(Cotacao!X102/Cotacao!X101),L100)</f>
        <v>-3.9112936310909535E-3</v>
      </c>
      <c r="M101" s="6">
        <f>IFERROR(LN(Profit!B101/Profit!B100),M100)</f>
        <v>1.9825277609321169E-2</v>
      </c>
      <c r="N101" s="6">
        <f>IFERROR(LN(Cotacao!AB102/Cotacao!AB101),N100)</f>
        <v>-4.0641284207954412E-3</v>
      </c>
      <c r="O101" s="6">
        <f>IFERROR(LN(Cotacao!AD102/Cotacao!AD101),O100)</f>
        <v>-1.0603482332162155E-2</v>
      </c>
      <c r="P101" s="6">
        <f>IFERROR(LN(Cotacao!AF102/Cotacao!AF101),P100)</f>
        <v>-3.6179656577502356E-2</v>
      </c>
      <c r="Q101" s="6">
        <f>IFERROR(LN(Cotacao!AH102/Cotacao!AH101),Q100)</f>
        <v>-2.5499376332726478E-3</v>
      </c>
      <c r="R101" s="6">
        <f>IFERROR(LN(Cotacao!AJ102/Cotacao!AJ101),R100)</f>
        <v>2.1610543314421988E-2</v>
      </c>
      <c r="S101" s="6">
        <f>IFERROR(LN(Cotacao!AL102/Cotacao!AL101),S100)</f>
        <v>2.056627758147702E-2</v>
      </c>
      <c r="T101" s="6">
        <f>IFERROR(LN(Cotacao!AN102/Cotacao!AN101),T100)</f>
        <v>8.0710688337915001E-3</v>
      </c>
      <c r="U101" s="6">
        <f>IFERROR(LN(Cotacao!AP102/Cotacao!AP101),U100)</f>
        <v>1.427657986466872E-2</v>
      </c>
      <c r="V101" s="6">
        <f>IFERROR(LN(Cotacao!AR102/Cotacao!AR101),V100)</f>
        <v>-1.7699577099400975E-2</v>
      </c>
      <c r="W101" s="6">
        <f>IFERROR(LN(Cotacao!AT102/Cotacao!AT101),W100)</f>
        <v>-1.6275373128531033E-3</v>
      </c>
      <c r="X101" s="6">
        <f>IFERROR(LN(Cotacao!AV102/Cotacao!AV101),X100)</f>
        <v>5.054061017908877E-3</v>
      </c>
      <c r="Y101" s="6">
        <f>IFERROR(LN(Cotacao!AX102/Cotacao!AX101),Y100)</f>
        <v>1.3549597577716609E-3</v>
      </c>
      <c r="Z101" s="6">
        <f>IFERROR(LN(Cotacao!AZ102/Cotacao!AZ101),Z100)</f>
        <v>5.0792166840105131E-2</v>
      </c>
      <c r="AA101" s="6">
        <f>IFERROR(LN(Cotacao!BB102/Cotacao!BB101),AA100)</f>
        <v>1.7870696766912948E-2</v>
      </c>
      <c r="AB101" s="6">
        <f>IFERROR(LN(Cotacao!BD102/Cotacao!BD101),AB100)</f>
        <v>-1.6901810802603025E-2</v>
      </c>
      <c r="AC101" s="6">
        <f>IFERROR(LN(Cotacao!BF102/Cotacao!BF101),AC100)</f>
        <v>2.3069073774403079E-2</v>
      </c>
      <c r="AD101" s="6">
        <f>IFERROR(LN(Cotacao!BH102/Cotacao!BH101),AD100)</f>
        <v>1.3201511858535761E-2</v>
      </c>
      <c r="AE101" s="6">
        <f>IFERROR(LN(Cotacao!BJ102/Cotacao!BJ101),AE100)</f>
        <v>3.6183567075096031E-3</v>
      </c>
      <c r="AF101" s="6">
        <f>IFERROR(LN(Cotacao!BL102/Cotacao!BL101),AF100)</f>
        <v>1.7102791923286902E-3</v>
      </c>
      <c r="AG101" s="6">
        <f>IFERROR(LN(Cotacao!BN102/Cotacao!BN101),AG100)</f>
        <v>5.4364374304608646E-3</v>
      </c>
      <c r="AH101" s="6">
        <f>IFERROR(LN(Cotacao!BP102/Cotacao!BP101),AH100)</f>
        <v>-2.0270964373618992E-2</v>
      </c>
      <c r="AI101" s="6">
        <f>IFERROR(LN(Cotacao!BR102/Cotacao!BR101),AI100)</f>
        <v>9.2927875754594148E-3</v>
      </c>
      <c r="AJ101" s="6">
        <f>IFERROR(LN(Profit!C101/Profit!C100),AJ100)</f>
        <v>1.1458917804071491E-2</v>
      </c>
      <c r="AK101" s="6">
        <f>IFERROR(LN(Cotacao!BV102/Cotacao!BV101),AK100)</f>
        <v>4.6744268065457588E-3</v>
      </c>
      <c r="AL101" s="6">
        <f>IFERROR(LN(Cotacao!BX102/Cotacao!BX101),AL100)</f>
        <v>2.551862610050503E-2</v>
      </c>
      <c r="AN101" s="59" t="s">
        <v>723</v>
      </c>
    </row>
    <row r="102" spans="1:75">
      <c r="A102" s="3" t="str">
        <f>Cotacao!C102</f>
        <v>11/14/2019 16:56:00</v>
      </c>
      <c r="B102" s="6">
        <f>IFERROR(LN(Cotacao!D103/Cotacao!D102),B101)</f>
        <v>-7.113573088802113E-3</v>
      </c>
      <c r="C102" s="6">
        <f>IFERROR(LN(Cotacao!F103/Cotacao!F102),C101)</f>
        <v>-1.4641549992948118E-2</v>
      </c>
      <c r="D102" s="6">
        <f>IFERROR(LN(Cotacao!H103/Cotacao!H102),D101)</f>
        <v>9.6554022818359248E-3</v>
      </c>
      <c r="E102" s="6">
        <f>IFERROR(LN(Cotacao!J103/Cotacao!J102),E101)</f>
        <v>2.2388994893478686E-2</v>
      </c>
      <c r="F102" s="6">
        <f>IFERROR(LN(Cotacao!L103/Cotacao!L102),F101)</f>
        <v>-2.6143805740707093E-3</v>
      </c>
      <c r="G102" s="6">
        <f>IFERROR(LN(Cotacao!N103/Cotacao!N102),G101)</f>
        <v>-2.2034529664350204E-3</v>
      </c>
      <c r="H102" s="6">
        <f>IFERROR(LN(Cotacao!P103/Cotacao!P102),H101)</f>
        <v>-2.5931943219138676E-3</v>
      </c>
      <c r="I102" s="6">
        <f>IFERROR(LN(Cotacao!R103/Cotacao!R102),I101)</f>
        <v>-2.3892612547704778E-2</v>
      </c>
      <c r="J102" s="6">
        <f>IFERROR(LN(Cotacao!T103/Cotacao!T102),J101)</f>
        <v>-9.4843627370098139E-3</v>
      </c>
      <c r="K102" s="6">
        <f>IFERROR(LN(Cotacao!V103/Cotacao!V102),K101)</f>
        <v>-1.4815085785140587E-2</v>
      </c>
      <c r="L102" s="6">
        <f>IFERROR(LN(Cotacao!X103/Cotacao!X102),L101)</f>
        <v>3.9112936310910498E-3</v>
      </c>
      <c r="M102" s="6">
        <f>IFERROR(LN(Profit!B102/Profit!B101),M101)</f>
        <v>3.391750001120884E-3</v>
      </c>
      <c r="N102" s="6">
        <f>IFERROR(LN(Cotacao!AB103/Cotacao!AB102),N101)</f>
        <v>-4.0807129853368184E-3</v>
      </c>
      <c r="O102" s="6">
        <f>IFERROR(LN(Cotacao!AD103/Cotacao!AD102),O101)</f>
        <v>2.0283982613926192E-3</v>
      </c>
      <c r="P102" s="6">
        <f>IFERROR(LN(Cotacao!AF103/Cotacao!AF102),P101)</f>
        <v>1.2205905679503764E-2</v>
      </c>
      <c r="Q102" s="6">
        <f>IFERROR(LN(Cotacao!AH103/Cotacao!AH102),Q101)</f>
        <v>1.2895221496368811E-2</v>
      </c>
      <c r="R102" s="6">
        <f>IFERROR(LN(Cotacao!AJ103/Cotacao!AJ102),R101)</f>
        <v>2.0726130517116734E-2</v>
      </c>
      <c r="S102" s="6">
        <f>IFERROR(LN(Cotacao!AL103/Cotacao!AL102),S101)</f>
        <v>-1.4093763075859592E-2</v>
      </c>
      <c r="T102" s="6">
        <f>IFERROR(LN(Cotacao!AN103/Cotacao!AN102),T101)</f>
        <v>6.2223261002400249E-3</v>
      </c>
      <c r="U102" s="6">
        <f>IFERROR(LN(Cotacao!AP103/Cotacao!AP102),U101)</f>
        <v>1.0131798930406955E-2</v>
      </c>
      <c r="V102" s="6">
        <f>IFERROR(LN(Cotacao!AR103/Cotacao!AR102),V101)</f>
        <v>6.2305497506361628E-3</v>
      </c>
      <c r="W102" s="6">
        <f>IFERROR(LN(Cotacao!AT103/Cotacao!AT102),W101)</f>
        <v>-1.0951244894007025E-2</v>
      </c>
      <c r="X102" s="6">
        <f>IFERROR(LN(Cotacao!AV103/Cotacao!AV102),X101)</f>
        <v>-1.400462154798245E-4</v>
      </c>
      <c r="Y102" s="6">
        <f>IFERROR(LN(Cotacao!AX103/Cotacao!AX102),Y101)</f>
        <v>7.9617838600719879E-4</v>
      </c>
      <c r="Z102" s="6">
        <f>IFERROR(LN(Cotacao!AZ103/Cotacao!AZ102),Z101)</f>
        <v>1.5123161574220828E-2</v>
      </c>
      <c r="AA102" s="6">
        <f>IFERROR(LN(Cotacao!BB103/Cotacao!BB102),AA101)</f>
        <v>1.8355473776416099E-2</v>
      </c>
      <c r="AB102" s="6">
        <f>IFERROR(LN(Cotacao!BD103/Cotacao!BD102),AB101)</f>
        <v>-2.473522713472192E-2</v>
      </c>
      <c r="AC102" s="6">
        <f>IFERROR(LN(Cotacao!BF103/Cotacao!BF102),AC101)</f>
        <v>9.0806526357465594E-3</v>
      </c>
      <c r="AD102" s="6">
        <f>IFERROR(LN(Cotacao!BH103/Cotacao!BH102),AD101)</f>
        <v>-7.4794664312926237E-3</v>
      </c>
      <c r="AE102" s="6">
        <f>IFERROR(LN(Cotacao!BJ103/Cotacao!BJ102),AE101)</f>
        <v>6.5109949324364887E-4</v>
      </c>
      <c r="AF102" s="6">
        <f>IFERROR(LN(Cotacao!BL103/Cotacao!BL102),AF101)</f>
        <v>1.3661204310434418E-3</v>
      </c>
      <c r="AG102" s="6">
        <f>IFERROR(LN(Cotacao!BN103/Cotacao!BN102),AG101)</f>
        <v>-1.5378692402651271E-2</v>
      </c>
      <c r="AH102" s="6">
        <f>IFERROR(LN(Cotacao!BP103/Cotacao!BP102),AH101)</f>
        <v>-7.5368633577030733E-3</v>
      </c>
      <c r="AI102" s="6">
        <f>IFERROR(LN(Cotacao!BR103/Cotacao!BR102),AI101)</f>
        <v>-3.6036075032985443E-3</v>
      </c>
      <c r="AJ102" s="6">
        <f>IFERROR(LN(Profit!C102/Profit!C101),AJ101)</f>
        <v>-1.1458917804071543E-2</v>
      </c>
      <c r="AK102" s="6">
        <f>IFERROR(LN(Cotacao!BV103/Cotacao!BV102),AK101)</f>
        <v>-2.7029592195134816E-3</v>
      </c>
      <c r="AL102" s="6">
        <f>IFERROR(LN(Cotacao!BX103/Cotacao!BX102),AL101)</f>
        <v>-6.8119893642327274E-4</v>
      </c>
      <c r="AN102" s="46"/>
      <c r="AO102" s="46" t="s">
        <v>3</v>
      </c>
      <c r="AP102" s="46" t="s">
        <v>4</v>
      </c>
      <c r="AQ102" s="46" t="s">
        <v>5</v>
      </c>
      <c r="AR102" s="46" t="s">
        <v>6</v>
      </c>
      <c r="AS102" s="46" t="s">
        <v>7</v>
      </c>
      <c r="AT102" s="46" t="s">
        <v>8</v>
      </c>
      <c r="AU102" s="46" t="s">
        <v>9</v>
      </c>
      <c r="AV102" s="46" t="s">
        <v>10</v>
      </c>
      <c r="AW102" s="46" t="s">
        <v>11</v>
      </c>
      <c r="AX102" s="46" t="s">
        <v>12</v>
      </c>
      <c r="AY102" s="46" t="s">
        <v>13</v>
      </c>
      <c r="AZ102" s="46" t="s">
        <v>14</v>
      </c>
      <c r="BA102" s="46" t="s">
        <v>15</v>
      </c>
      <c r="BB102" s="46" t="s">
        <v>16</v>
      </c>
      <c r="BC102" s="46" t="s">
        <v>17</v>
      </c>
      <c r="BD102" s="46" t="s">
        <v>18</v>
      </c>
      <c r="BE102" s="46" t="s">
        <v>19</v>
      </c>
      <c r="BF102" s="46" t="s">
        <v>20</v>
      </c>
      <c r="BG102" s="46" t="s">
        <v>21</v>
      </c>
      <c r="BH102" s="46" t="s">
        <v>22</v>
      </c>
      <c r="BI102" s="46" t="s">
        <v>23</v>
      </c>
      <c r="BJ102" s="46" t="s">
        <v>24</v>
      </c>
      <c r="BK102" s="46" t="s">
        <v>25</v>
      </c>
      <c r="BL102" s="46" t="s">
        <v>26</v>
      </c>
      <c r="BM102" s="46" t="s">
        <v>27</v>
      </c>
      <c r="BN102" s="46" t="s">
        <v>28</v>
      </c>
      <c r="BO102" s="46" t="s">
        <v>345</v>
      </c>
      <c r="BP102" s="46" t="s">
        <v>30</v>
      </c>
      <c r="BQ102" s="46" t="s">
        <v>31</v>
      </c>
      <c r="BR102" s="46" t="s">
        <v>32</v>
      </c>
      <c r="BS102" s="46" t="s">
        <v>33</v>
      </c>
      <c r="BT102" s="46" t="s">
        <v>34</v>
      </c>
      <c r="BU102" s="46" t="s">
        <v>35</v>
      </c>
      <c r="BV102" s="46" t="s">
        <v>36</v>
      </c>
      <c r="BW102" s="46" t="s">
        <v>37</v>
      </c>
    </row>
    <row r="103" spans="1:75">
      <c r="A103" s="3" t="str">
        <f>Cotacao!C103</f>
        <v>11/18/2019 16:56:00</v>
      </c>
      <c r="B103" s="6">
        <f>IFERROR(LN(Cotacao!D104/Cotacao!D103),B102)</f>
        <v>8.7480054875176214E-3</v>
      </c>
      <c r="C103" s="6">
        <f>IFERROR(LN(Cotacao!F104/Cotacao!F103),C102)</f>
        <v>3.8274741264099146E-3</v>
      </c>
      <c r="D103" s="6">
        <f>IFERROR(LN(Cotacao!H104/Cotacao!H103),D102)</f>
        <v>-1.1179431013411721E-3</v>
      </c>
      <c r="E103" s="6">
        <f>IFERROR(LN(Cotacao!J104/Cotacao!J103),E102)</f>
        <v>1.4652276786870415E-2</v>
      </c>
      <c r="F103" s="6">
        <f>IFERROR(LN(Cotacao!L104/Cotacao!L103),F102)</f>
        <v>-5.2493558861437901E-3</v>
      </c>
      <c r="G103" s="6">
        <f>IFERROR(LN(Cotacao!N104/Cotacao!N103),G102)</f>
        <v>-1.3323661198470543E-2</v>
      </c>
      <c r="H103" s="6">
        <f>IFERROR(LN(Cotacao!P104/Cotacao!P103),H102)</f>
        <v>-1.6691600093253003E-2</v>
      </c>
      <c r="I103" s="6">
        <f>IFERROR(LN(Cotacao!R104/Cotacao!R103),I102)</f>
        <v>7.7567239289451379E-3</v>
      </c>
      <c r="J103" s="6">
        <f>IFERROR(LN(Cotacao!T104/Cotacao!T103),J102)</f>
        <v>1.0663608156685404E-2</v>
      </c>
      <c r="K103" s="6">
        <f>IFERROR(LN(Cotacao!V104/Cotacao!V103),K102)</f>
        <v>4.962789342128876E-3</v>
      </c>
      <c r="L103" s="6">
        <f>IFERROR(LN(Cotacao!X104/Cotacao!X103),L102)</f>
        <v>7.4472830752836394E-3</v>
      </c>
      <c r="M103" s="6">
        <f>IFERROR(LN(Profit!B103/Profit!B102),M102)</f>
        <v>-9.4500797768812071E-3</v>
      </c>
      <c r="N103" s="6">
        <f>IFERROR(LN(Cotacao!AB104/Cotacao!AB103),N102)</f>
        <v>-1.4184634991956525E-2</v>
      </c>
      <c r="O103" s="6">
        <f>IFERROR(LN(Cotacao!AD104/Cotacao!AD103),O102)</f>
        <v>-2.0283982613926096E-3</v>
      </c>
      <c r="P103" s="6">
        <f>IFERROR(LN(Cotacao!AF104/Cotacao!AF103),P102)</f>
        <v>1.3855215240352553E-3</v>
      </c>
      <c r="Q103" s="6">
        <f>IFERROR(LN(Cotacao!AH104/Cotacao!AH103),Q102)</f>
        <v>1.169359743570204E-2</v>
      </c>
      <c r="R103" s="6">
        <f>IFERROR(LN(Cotacao!AJ104/Cotacao!AJ103),R102)</f>
        <v>-2.4660561821951608E-2</v>
      </c>
      <c r="S103" s="6">
        <f>IFERROR(LN(Cotacao!AL104/Cotacao!AL103),S102)</f>
        <v>6.4308903302903314E-3</v>
      </c>
      <c r="T103" s="6">
        <f>IFERROR(LN(Cotacao!AN104/Cotacao!AN103),T102)</f>
        <v>4.6882411234555384E-3</v>
      </c>
      <c r="U103" s="6">
        <f>IFERROR(LN(Cotacao!AP104/Cotacao!AP103),U102)</f>
        <v>6.4308903302903314E-3</v>
      </c>
      <c r="V103" s="6">
        <f>IFERROR(LN(Cotacao!AR104/Cotacao!AR103),V102)</f>
        <v>-3.5555593013330954E-3</v>
      </c>
      <c r="W103" s="6">
        <f>IFERROR(LN(Cotacao!AT104/Cotacao!AT103),W102)</f>
        <v>7.7125925556872383E-3</v>
      </c>
      <c r="X103" s="6">
        <f>IFERROR(LN(Cotacao!AV104/Cotacao!AV103),X102)</f>
        <v>1.1834457647002798E-2</v>
      </c>
      <c r="Y103" s="6">
        <f>IFERROR(LN(Cotacao!AX104/Cotacao!AX103),Y102)</f>
        <v>-1.832158874726431E-3</v>
      </c>
      <c r="Z103" s="6">
        <f>IFERROR(LN(Cotacao!AZ104/Cotacao!AZ103),Z102)</f>
        <v>9.3371359959399172E-3</v>
      </c>
      <c r="AA103" s="6">
        <f>IFERROR(LN(Cotacao!BB104/Cotacao!BB103),AA102)</f>
        <v>9.1941623830187388E-3</v>
      </c>
      <c r="AB103" s="6">
        <f>IFERROR(LN(Cotacao!BD104/Cotacao!BD103),AB102)</f>
        <v>-9.950330853168203E-3</v>
      </c>
      <c r="AC103" s="6">
        <f>IFERROR(LN(Cotacao!BF104/Cotacao!BF103),AC102)</f>
        <v>5.6481221495874204E-4</v>
      </c>
      <c r="AD103" s="6">
        <f>IFERROR(LN(Cotacao!BH104/Cotacao!BH103),AD102)</f>
        <v>7.7774846126073523E-3</v>
      </c>
      <c r="AE103" s="6">
        <f>IFERROR(LN(Cotacao!BJ104/Cotacao!BJ103),AE102)</f>
        <v>2.0382572797558861E-2</v>
      </c>
      <c r="AF103" s="6">
        <f>IFERROR(LN(Cotacao!BL104/Cotacao!BL103),AF102)</f>
        <v>-3.418806748785609E-3</v>
      </c>
      <c r="AG103" s="6">
        <f>IFERROR(LN(Cotacao!BN104/Cotacao!BN103),AG102)</f>
        <v>-2.2686062621717646E-2</v>
      </c>
      <c r="AH103" s="6">
        <f>IFERROR(LN(Cotacao!BP104/Cotacao!BP103),AH102)</f>
        <v>-1.0369951206096777E-2</v>
      </c>
      <c r="AI103" s="6">
        <f>IFERROR(LN(Cotacao!BR104/Cotacao!BR103),AI102)</f>
        <v>-7.7660240170001485E-3</v>
      </c>
      <c r="AJ103" s="6">
        <f>IFERROR(LN(Profit!C103/Profit!C102),AJ102)</f>
        <v>-8.010723746078972E-3</v>
      </c>
      <c r="AK103" s="6">
        <f>IFERROR(LN(Cotacao!BV104/Cotacao!BV103),AK102)</f>
        <v>-3.8190161006193524E-3</v>
      </c>
      <c r="AL103" s="6">
        <f>IFERROR(LN(Cotacao!BX104/Cotacao!BX103),AL102)</f>
        <v>-8.5543720966586318E-3</v>
      </c>
      <c r="AN103" s="44" t="s">
        <v>3</v>
      </c>
      <c r="AO103" s="44">
        <f>VARP(Valorização!$B$2:$B$247)</f>
        <v>9.5018915720820711E-4</v>
      </c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</row>
    <row r="104" spans="1:75">
      <c r="A104" s="3" t="str">
        <f>Cotacao!C104</f>
        <v>11/19/2019 16:56:00</v>
      </c>
      <c r="B104" s="6">
        <f>IFERROR(LN(Cotacao!D105/Cotacao!D104),B103)</f>
        <v>3.8033189014134456E-3</v>
      </c>
      <c r="C104" s="6">
        <f>IFERROR(LN(Cotacao!F105/Cotacao!F104),C103)</f>
        <v>3.2382129743859504E-2</v>
      </c>
      <c r="D104" s="6">
        <f>IFERROR(LN(Cotacao!H105/Cotacao!H104),D103)</f>
        <v>4.4732722732048933E-4</v>
      </c>
      <c r="E104" s="6">
        <f>IFERROR(LN(Cotacao!J105/Cotacao!J104),E103)</f>
        <v>2.6553407952515585E-2</v>
      </c>
      <c r="F104" s="6">
        <f>IFERROR(LN(Cotacao!L105/Cotacao!L104),F103)</f>
        <v>0</v>
      </c>
      <c r="G104" s="6">
        <f>IFERROR(LN(Cotacao!N105/Cotacao!N104),G103)</f>
        <v>6.6840204285717924E-3</v>
      </c>
      <c r="H104" s="6">
        <f>IFERROR(LN(Cotacao!P105/Cotacao!P104),H103)</f>
        <v>1.5067432122119707E-2</v>
      </c>
      <c r="I104" s="6">
        <f>IFERROR(LN(Cotacao!R105/Cotacao!R104),I103)</f>
        <v>1.0517896314536502E-2</v>
      </c>
      <c r="J104" s="6">
        <f>IFERROR(LN(Cotacao!T105/Cotacao!T104),J103)</f>
        <v>3.7019843261979775E-2</v>
      </c>
      <c r="K104" s="6">
        <f>IFERROR(LN(Cotacao!V105/Cotacao!V104),K103)</f>
        <v>8.2169731022810246E-3</v>
      </c>
      <c r="L104" s="6">
        <f>IFERROR(LN(Cotacao!X105/Cotacao!X104),L103)</f>
        <v>9.8442140347771746E-3</v>
      </c>
      <c r="M104" s="6">
        <f>IFERROR(LN(Profit!B104/Profit!B103),M103)</f>
        <v>-1.1400343244990874E-3</v>
      </c>
      <c r="N104" s="6">
        <f>IFERROR(LN(Cotacao!AB105/Cotacao!AB104),N103)</f>
        <v>-8.7943172667751361E-3</v>
      </c>
      <c r="O104" s="6">
        <f>IFERROR(LN(Cotacao!AD105/Cotacao!AD104),O103)</f>
        <v>-5.0774309290857434E-4</v>
      </c>
      <c r="P104" s="6">
        <f>IFERROR(LN(Cotacao!AF105/Cotacao!AF104),P103)</f>
        <v>-1.0088796652336987E-2</v>
      </c>
      <c r="Q104" s="6">
        <f>IFERROR(LN(Cotacao!AH105/Cotacao!AH104),Q103)</f>
        <v>5.1765308677829648E-3</v>
      </c>
      <c r="R104" s="6">
        <f>IFERROR(LN(Cotacao!AJ105/Cotacao!AJ104),R103)</f>
        <v>-2.1903406067191357E-4</v>
      </c>
      <c r="S104" s="6">
        <f>IFERROR(LN(Cotacao!AL105/Cotacao!AL104),S103)</f>
        <v>5.1151006667704089E-3</v>
      </c>
      <c r="T104" s="6">
        <f>IFERROR(LN(Cotacao!AN105/Cotacao!AN104),T103)</f>
        <v>3.2125731999260713E-2</v>
      </c>
      <c r="U104" s="6">
        <f>IFERROR(LN(Cotacao!AP105/Cotacao!AP104),U103)</f>
        <v>-3.934010131703157E-3</v>
      </c>
      <c r="V104" s="6">
        <f>IFERROR(LN(Cotacao!AR105/Cotacao!AR104),V103)</f>
        <v>8.9007571519310834E-4</v>
      </c>
      <c r="W104" s="6">
        <f>IFERROR(LN(Cotacao!AT105/Cotacao!AT104),W103)</f>
        <v>8.0972102326193028E-3</v>
      </c>
      <c r="X104" s="6">
        <f>IFERROR(LN(Cotacao!AV105/Cotacao!AV104),X103)</f>
        <v>-2.6152154712612796E-2</v>
      </c>
      <c r="Y104" s="6">
        <f>IFERROR(LN(Cotacao!AX105/Cotacao!AX104),Y103)</f>
        <v>-9.5724321285220243E-4</v>
      </c>
      <c r="Z104" s="6">
        <f>IFERROR(LN(Cotacao!AZ105/Cotacao!AZ104),Z103)</f>
        <v>-1.4981553615616946E-2</v>
      </c>
      <c r="AA104" s="6">
        <f>IFERROR(LN(Cotacao!BB105/Cotacao!BB104),AA103)</f>
        <v>2.7643807624054485E-3</v>
      </c>
      <c r="AB104" s="6">
        <f>IFERROR(LN(Cotacao!BD105/Cotacao!BD104),AB103)</f>
        <v>8.7848295557328114E-3</v>
      </c>
      <c r="AC104" s="6">
        <f>IFERROR(LN(Cotacao!BF105/Cotacao!BF104),AC103)</f>
        <v>2.2560641266825541E-3</v>
      </c>
      <c r="AD104" s="6">
        <f>IFERROR(LN(Cotacao!BH105/Cotacao!BH104),AD103)</f>
        <v>-1.789442767984732E-3</v>
      </c>
      <c r="AE104" s="6">
        <f>IFERROR(LN(Cotacao!BJ105/Cotacao!BJ104),AE103)</f>
        <v>3.0103067771467353E-3</v>
      </c>
      <c r="AF104" s="6">
        <f>IFERROR(LN(Cotacao!BL105/Cotacao!BL104),AF103)</f>
        <v>-1.1019395249610538E-2</v>
      </c>
      <c r="AG104" s="6">
        <f>IFERROR(LN(Cotacao!BN105/Cotacao!BN104),AG103)</f>
        <v>1.9418085857101731E-2</v>
      </c>
      <c r="AH104" s="6">
        <f>IFERROR(LN(Cotacao!BP105/Cotacao!BP104),AH103)</f>
        <v>3.6504138379389366E-2</v>
      </c>
      <c r="AI104" s="6">
        <f>IFERROR(LN(Cotacao!BR105/Cotacao!BR104),AI103)</f>
        <v>2.6162046109570621E-2</v>
      </c>
      <c r="AJ104" s="6">
        <f>IFERROR(LN(Profit!C104/Profit!C103),AJ103)</f>
        <v>-1.2590094360071901E-2</v>
      </c>
      <c r="AK104" s="6">
        <f>IFERROR(LN(Cotacao!BV105/Cotacao!BV104),AK103)</f>
        <v>1.530347673639058E-2</v>
      </c>
      <c r="AL104" s="6">
        <f>IFERROR(LN(Cotacao!BX105/Cotacao!BX104),AL103)</f>
        <v>1.0256500167189061E-2</v>
      </c>
      <c r="AN104" s="44" t="s">
        <v>4</v>
      </c>
      <c r="AO104" s="44">
        <v>4.0070684521526493E-4</v>
      </c>
      <c r="AP104" s="44">
        <f>VARP(Valorização!$C$2:$C$247)</f>
        <v>6.6974479787646542E-4</v>
      </c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</row>
    <row r="105" spans="1:75">
      <c r="A105" s="3" t="str">
        <f>Cotacao!C105</f>
        <v>11/21/2019 16:56:00</v>
      </c>
      <c r="B105" s="6">
        <f>IFERROR(LN(Cotacao!D106/Cotacao!D105),B104)</f>
        <v>-5.4377513001291049E-3</v>
      </c>
      <c r="C105" s="6">
        <f>IFERROR(LN(Cotacao!F106/Cotacao!F105),C104)</f>
        <v>1.4214643473776684E-3</v>
      </c>
      <c r="D105" s="6">
        <f>IFERROR(LN(Cotacao!H106/Cotacao!H105),D104)</f>
        <v>1.4209830572653003E-2</v>
      </c>
      <c r="E105" s="6">
        <f>IFERROR(LN(Cotacao!J106/Cotacao!J105),E104)</f>
        <v>1.7550468025837439E-2</v>
      </c>
      <c r="F105" s="6">
        <f>IFERROR(LN(Cotacao!L106/Cotacao!L105),F104)</f>
        <v>2.1030501967786684E-3</v>
      </c>
      <c r="G105" s="6">
        <f>IFERROR(LN(Cotacao!N106/Cotacao!N105),G104)</f>
        <v>1.4695341602115617E-2</v>
      </c>
      <c r="H105" s="6">
        <f>IFERROR(LN(Cotacao!P106/Cotacao!P105),H104)</f>
        <v>-9.7576849505000502E-4</v>
      </c>
      <c r="I105" s="6">
        <f>IFERROR(LN(Cotacao!R106/Cotacao!R105),I104)</f>
        <v>-1.8274620243481671E-2</v>
      </c>
      <c r="J105" s="6">
        <f>IFERROR(LN(Cotacao!T106/Cotacao!T105),J104)</f>
        <v>3.2405070021916137E-2</v>
      </c>
      <c r="K105" s="6">
        <f>IFERROR(LN(Cotacao!V106/Cotacao!V105),K104)</f>
        <v>1.3008313513000747E-2</v>
      </c>
      <c r="L105" s="6">
        <f>IFERROR(LN(Cotacao!X106/Cotacao!X105),L104)</f>
        <v>0</v>
      </c>
      <c r="M105" s="6">
        <f>IFERROR(LN(Profit!B105/Profit!B104),M104)</f>
        <v>1.8993358036525374E-3</v>
      </c>
      <c r="N105" s="6">
        <f>IFERROR(LN(Cotacao!AB106/Cotacao!AB105),N104)</f>
        <v>1.5225207597065596E-2</v>
      </c>
      <c r="O105" s="6">
        <f>IFERROR(LN(Cotacao!AD106/Cotacao!AD105),O104)</f>
        <v>1.0106200214846529E-2</v>
      </c>
      <c r="P105" s="6">
        <f>IFERROR(LN(Cotacao!AF106/Cotacao!AF105),P104)</f>
        <v>8.0097938245038205E-3</v>
      </c>
      <c r="Q105" s="6">
        <f>IFERROR(LN(Cotacao!AH106/Cotacao!AH105),Q104)</f>
        <v>3.2709873990201199E-2</v>
      </c>
      <c r="R105" s="6">
        <f>IFERROR(LN(Cotacao!AJ106/Cotacao!AJ105),R104)</f>
        <v>-3.2912810840727328E-3</v>
      </c>
      <c r="S105" s="6">
        <f>IFERROR(LN(Cotacao!AL106/Cotacao!AL105),S104)</f>
        <v>1.1414201284440191E-2</v>
      </c>
      <c r="T105" s="6">
        <f>IFERROR(LN(Cotacao!AN106/Cotacao!AN105),T104)</f>
        <v>4.5191689348642594E-3</v>
      </c>
      <c r="U105" s="6">
        <f>IFERROR(LN(Cotacao!AP106/Cotacao!AP105),U104)</f>
        <v>-2.5775286118733961E-3</v>
      </c>
      <c r="V105" s="6">
        <f>IFERROR(LN(Cotacao!AR106/Cotacao!AR105),V104)</f>
        <v>-3.5650661644962569E-3</v>
      </c>
      <c r="W105" s="6">
        <f>IFERROR(LN(Cotacao!AT106/Cotacao!AT105),W104)</f>
        <v>0</v>
      </c>
      <c r="X105" s="6">
        <f>IFERROR(LN(Cotacao!AV106/Cotacao!AV105),X104)</f>
        <v>-1.9910409763138691E-3</v>
      </c>
      <c r="Y105" s="6">
        <f>IFERROR(LN(Cotacao!AX106/Cotacao!AX105),Y104)</f>
        <v>3.2668050247170611E-3</v>
      </c>
      <c r="Z105" s="6">
        <f>IFERROR(LN(Cotacao!AZ106/Cotacao!AZ105),Z104)</f>
        <v>-7.5757938084576558E-3</v>
      </c>
      <c r="AA105" s="6">
        <f>IFERROR(LN(Cotacao!BB106/Cotacao!BB105),AA104)</f>
        <v>0</v>
      </c>
      <c r="AB105" s="6">
        <f>IFERROR(LN(Cotacao!BD106/Cotacao!BD105),AB104)</f>
        <v>0</v>
      </c>
      <c r="AC105" s="6">
        <f>IFERROR(LN(Cotacao!BF106/Cotacao!BF105),AC104)</f>
        <v>-5.6353903999145887E-4</v>
      </c>
      <c r="AD105" s="6">
        <f>IFERROR(LN(Cotacao!BH106/Cotacao!BH105),AD104)</f>
        <v>1.4914245866698983E-3</v>
      </c>
      <c r="AE105" s="6">
        <f>IFERROR(LN(Cotacao!BJ106/Cotacao!BJ105),AE104)</f>
        <v>-1.1628037995119099E-2</v>
      </c>
      <c r="AF105" s="6">
        <f>IFERROR(LN(Cotacao!BL106/Cotacao!BL105),AF104)</f>
        <v>6.2133441175112507E-3</v>
      </c>
      <c r="AG105" s="6">
        <f>IFERROR(LN(Cotacao!BN106/Cotacao!BN105),AG104)</f>
        <v>1.2402314100454804E-2</v>
      </c>
      <c r="AH105" s="6">
        <f>IFERROR(LN(Cotacao!BP106/Cotacao!BP105),AH104)</f>
        <v>4.3456528358404457E-3</v>
      </c>
      <c r="AI105" s="6">
        <f>IFERROR(LN(Cotacao!BR106/Cotacao!BR105),AI104)</f>
        <v>4.3107987241683132E-2</v>
      </c>
      <c r="AJ105" s="6">
        <f>IFERROR(LN(Profit!C105/Profit!C104),AJ104)</f>
        <v>1.7048416501783133E-2</v>
      </c>
      <c r="AK105" s="6">
        <f>IFERROR(LN(Cotacao!BV106/Cotacao!BV105),AK104)</f>
        <v>1.1060341945477066E-2</v>
      </c>
      <c r="AL105" s="6">
        <f>IFERROR(LN(Cotacao!BX106/Cotacao!BX105),AL104)</f>
        <v>7.1174677688639549E-3</v>
      </c>
      <c r="AN105" s="44" t="s">
        <v>5</v>
      </c>
      <c r="AO105" s="44">
        <v>3.7564740524296923E-4</v>
      </c>
      <c r="AP105" s="44">
        <v>2.8930993627063894E-4</v>
      </c>
      <c r="AQ105" s="44">
        <f>VARP(Valorização!$D$2:$D$247)</f>
        <v>4.73730671568555E-4</v>
      </c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</row>
    <row r="106" spans="1:75">
      <c r="A106" s="3" t="str">
        <f>Cotacao!C106</f>
        <v>11/22/2019 16:56:00</v>
      </c>
      <c r="B106" s="6">
        <f>IFERROR(LN(Cotacao!D107/Cotacao!D106),B105)</f>
        <v>1.030657346894971E-2</v>
      </c>
      <c r="C106" s="6">
        <f>IFERROR(LN(Cotacao!F107/Cotacao!F106),C105)</f>
        <v>-1.6903424956798599E-2</v>
      </c>
      <c r="D106" s="6">
        <f>IFERROR(LN(Cotacao!H107/Cotacao!H106),D105)</f>
        <v>-2.2048285835095892E-4</v>
      </c>
      <c r="E106" s="6">
        <f>IFERROR(LN(Cotacao!J107/Cotacao!J106),E105)</f>
        <v>-3.3253859954287368E-2</v>
      </c>
      <c r="F106" s="6">
        <f>IFERROR(LN(Cotacao!L107/Cotacao!L106),F105)</f>
        <v>2.0986366569212054E-3</v>
      </c>
      <c r="G106" s="6">
        <f>IFERROR(LN(Cotacao!N107/Cotacao!N106),G105)</f>
        <v>-2.4364438874140599E-2</v>
      </c>
      <c r="H106" s="6">
        <f>IFERROR(LN(Cotacao!P107/Cotacao!P106),H105)</f>
        <v>-9.4818431489082072E-3</v>
      </c>
      <c r="I106" s="6">
        <f>IFERROR(LN(Cotacao!R107/Cotacao!R106),I105)</f>
        <v>6.5359709797854493E-3</v>
      </c>
      <c r="J106" s="6">
        <f>IFERROR(LN(Cotacao!T107/Cotacao!T106),J105)</f>
        <v>6.0290673173444293E-3</v>
      </c>
      <c r="K106" s="6">
        <f>IFERROR(LN(Cotacao!V107/Cotacao!V106),K105)</f>
        <v>-1.6168152269053946E-3</v>
      </c>
      <c r="L106" s="6">
        <f>IFERROR(LN(Cotacao!X107/Cotacao!X106),L105)</f>
        <v>-2.8987536873252298E-2</v>
      </c>
      <c r="M106" s="6">
        <f>IFERROR(LN(Profit!B106/Profit!B105),M105)</f>
        <v>8.3144847843507601E-3</v>
      </c>
      <c r="N106" s="6">
        <f>IFERROR(LN(Cotacao!AB107/Cotacao!AB106),N105)</f>
        <v>-2.2920019201757773E-3</v>
      </c>
      <c r="O106" s="6">
        <f>IFERROR(LN(Cotacao!AD107/Cotacao!AD106),O105)</f>
        <v>5.5151806881101433E-3</v>
      </c>
      <c r="P106" s="6">
        <f>IFERROR(LN(Cotacao!AF107/Cotacao!AF106),P105)</f>
        <v>-1.3971585987402304E-2</v>
      </c>
      <c r="Q106" s="6">
        <f>IFERROR(LN(Cotacao!AH107/Cotacao!AH106),Q105)</f>
        <v>1.6453934493859779E-2</v>
      </c>
      <c r="R106" s="6">
        <f>IFERROR(LN(Cotacao!AJ107/Cotacao!AJ106),R105)</f>
        <v>-2.2002209096024235E-3</v>
      </c>
      <c r="S106" s="6">
        <f>IFERROR(LN(Cotacao!AL107/Cotacao!AL106),S105)</f>
        <v>-1.0139503852439617E-2</v>
      </c>
      <c r="T106" s="6">
        <f>IFERROR(LN(Cotacao!AN107/Cotacao!AN106),T105)</f>
        <v>-1.7190836735980788E-2</v>
      </c>
      <c r="U106" s="6">
        <f>IFERROR(LN(Cotacao!AP107/Cotacao!AP106),U105)</f>
        <v>4.1047987130116599E-3</v>
      </c>
      <c r="V106" s="6">
        <f>IFERROR(LN(Cotacao!AR107/Cotacao!AR106),V105)</f>
        <v>6.2305497506361628E-3</v>
      </c>
      <c r="W106" s="6">
        <f>IFERROR(LN(Cotacao!AT107/Cotacao!AT106),W105)</f>
        <v>-3.7165753372837402E-3</v>
      </c>
      <c r="X106" s="6">
        <f>IFERROR(LN(Cotacao!AV107/Cotacao!AV106),X105)</f>
        <v>-6.1198670813261871E-2</v>
      </c>
      <c r="Y106" s="6">
        <f>IFERROR(LN(Cotacao!AX107/Cotacao!AX106),Y105)</f>
        <v>-2.3867297937384016E-4</v>
      </c>
      <c r="Z106" s="6">
        <f>IFERROR(LN(Cotacao!AZ107/Cotacao!AZ106),Z105)</f>
        <v>-2.1134312073973614E-2</v>
      </c>
      <c r="AA106" s="6">
        <f>IFERROR(LN(Cotacao!BB107/Cotacao!BB106),AA105)</f>
        <v>0</v>
      </c>
      <c r="AB106" s="6">
        <f>IFERROR(LN(Cotacao!BD107/Cotacao!BD106),AB105)</f>
        <v>9.2861955761690106E-3</v>
      </c>
      <c r="AC106" s="6">
        <f>IFERROR(LN(Cotacao!BF107/Cotacao!BF106),AC105)</f>
        <v>0</v>
      </c>
      <c r="AD106" s="6">
        <f>IFERROR(LN(Cotacao!BH107/Cotacao!BH106),AD105)</f>
        <v>-1.3503581034673435E-2</v>
      </c>
      <c r="AE106" s="6">
        <f>IFERROR(LN(Cotacao!BJ107/Cotacao!BJ106),AE105)</f>
        <v>3.2112128017989265E-3</v>
      </c>
      <c r="AF106" s="6">
        <f>IFERROR(LN(Cotacao!BL107/Cotacao!BL106),AF105)</f>
        <v>1.3755160353100982E-3</v>
      </c>
      <c r="AG106" s="6">
        <f>IFERROR(LN(Cotacao!BN107/Cotacao!BN106),AG105)</f>
        <v>-3.5372801561924211E-2</v>
      </c>
      <c r="AH106" s="6">
        <f>IFERROR(LN(Cotacao!BP107/Cotacao!BP106),AH105)</f>
        <v>-8.3738556644453298E-3</v>
      </c>
      <c r="AI106" s="6">
        <f>IFERROR(LN(Cotacao!BR107/Cotacao!BR106),AI105)</f>
        <v>-1.0726577738643333E-2</v>
      </c>
      <c r="AJ106" s="6">
        <f>IFERROR(LN(Profit!C106/Profit!C105),AJ105)</f>
        <v>-1.253373614725658E-2</v>
      </c>
      <c r="AK106" s="6">
        <f>IFERROR(LN(Cotacao!BV107/Cotacao!BV106),AK105)</f>
        <v>-2.4719493458991186E-3</v>
      </c>
      <c r="AL106" s="6">
        <f>IFERROR(LN(Cotacao!BX107/Cotacao!BX106),AL105)</f>
        <v>-6.777389547596273E-3</v>
      </c>
      <c r="AN106" s="44" t="s">
        <v>6</v>
      </c>
      <c r="AO106" s="44">
        <v>6.7544169730195537E-4</v>
      </c>
      <c r="AP106" s="44">
        <v>2.4583505838221976E-4</v>
      </c>
      <c r="AQ106" s="44">
        <v>3.4823983087285188E-4</v>
      </c>
      <c r="AR106" s="44">
        <f>VARP(Valorização!$E$2:$E$247)</f>
        <v>2.0788672329953056E-3</v>
      </c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</row>
    <row r="107" spans="1:75">
      <c r="A107" s="3" t="str">
        <f>Cotacao!C107</f>
        <v>11/25/2019 16:56:00</v>
      </c>
      <c r="B107" s="6">
        <f>IFERROR(LN(Cotacao!D108/Cotacao!D107),B106)</f>
        <v>-2.7908788117076616E-2</v>
      </c>
      <c r="C107" s="6">
        <f>IFERROR(LN(Cotacao!F108/Cotacao!F107),C106)</f>
        <v>-2.1022672028292933E-2</v>
      </c>
      <c r="D107" s="6">
        <f>IFERROR(LN(Cotacao!H108/Cotacao!H107),D106)</f>
        <v>-1.1309578357186451E-2</v>
      </c>
      <c r="E107" s="6">
        <f>IFERROR(LN(Cotacao!J108/Cotacao!J107),E106)</f>
        <v>1.4994925728076426E-2</v>
      </c>
      <c r="F107" s="6">
        <f>IFERROR(LN(Cotacao!L108/Cotacao!L107),F106)</f>
        <v>7.8308935805480595E-3</v>
      </c>
      <c r="G107" s="6">
        <f>IFERROR(LN(Cotacao!N108/Cotacao!N107),G106)</f>
        <v>-2.4206930851797422E-2</v>
      </c>
      <c r="H107" s="6">
        <f>IFERROR(LN(Cotacao!P108/Cotacao!P107),H106)</f>
        <v>-1.5227040319033484E-2</v>
      </c>
      <c r="I107" s="6">
        <f>IFERROR(LN(Cotacao!R108/Cotacao!R107),I106)</f>
        <v>-2.4459857282604141E-3</v>
      </c>
      <c r="J107" s="6">
        <f>IFERROR(LN(Cotacao!T108/Cotacao!T107),J106)</f>
        <v>-1.0436787952053298E-2</v>
      </c>
      <c r="K107" s="6">
        <f>IFERROR(LN(Cotacao!V108/Cotacao!V107),K106)</f>
        <v>-2.9558802241544391E-2</v>
      </c>
      <c r="L107" s="6">
        <f>IFERROR(LN(Cotacao!X108/Cotacao!X107),L106)</f>
        <v>0</v>
      </c>
      <c r="M107" s="6">
        <f>IFERROR(LN(Profit!B107/Profit!B106),M106)</f>
        <v>7.8725804913044126E-3</v>
      </c>
      <c r="N107" s="6">
        <f>IFERROR(LN(Cotacao!AB108/Cotacao!AB107),N106)</f>
        <v>-9.2209044298125348E-3</v>
      </c>
      <c r="O107" s="6">
        <f>IFERROR(LN(Cotacao!AD108/Cotacao!AD107),O106)</f>
        <v>1.242251999855711E-2</v>
      </c>
      <c r="P107" s="6">
        <f>IFERROR(LN(Cotacao!AF108/Cotacao!AF107),P106)</f>
        <v>3.7284263291939596E-2</v>
      </c>
      <c r="Q107" s="6">
        <f>IFERROR(LN(Cotacao!AH108/Cotacao!AH107),Q106)</f>
        <v>7.0533207774055879E-3</v>
      </c>
      <c r="R107" s="6">
        <f>IFERROR(LN(Cotacao!AJ108/Cotacao!AJ107),R106)</f>
        <v>-2.2723187542854323E-2</v>
      </c>
      <c r="S107" s="6">
        <f>IFERROR(LN(Cotacao!AL108/Cotacao!AL107),S106)</f>
        <v>3.8143720754706925E-3</v>
      </c>
      <c r="T107" s="6">
        <f>IFERROR(LN(Cotacao!AN108/Cotacao!AN107),T106)</f>
        <v>-1.009683871174105E-3</v>
      </c>
      <c r="U107" s="6">
        <f>IFERROR(LN(Cotacao!AP108/Cotacao!AP107),U106)</f>
        <v>-3.9435083900812478E-3</v>
      </c>
      <c r="V107" s="6">
        <f>IFERROR(LN(Cotacao!AR108/Cotacao!AR107),V106)</f>
        <v>-6.2305497506360864E-3</v>
      </c>
      <c r="W107" s="6">
        <f>IFERROR(LN(Cotacao!AT108/Cotacao!AT107),W106)</f>
        <v>4.8555475583723852E-4</v>
      </c>
      <c r="X107" s="6">
        <f>IFERROR(LN(Cotacao!AV108/Cotacao!AV107),X106)</f>
        <v>2.503399926945734E-2</v>
      </c>
      <c r="Y107" s="6">
        <f>IFERROR(LN(Cotacao!AX108/Cotacao!AX107),Y106)</f>
        <v>2.3841702464171737E-3</v>
      </c>
      <c r="Z107" s="6">
        <f>IFERROR(LN(Cotacao!AZ108/Cotacao!AZ107),Z106)</f>
        <v>1.1583141089630636E-2</v>
      </c>
      <c r="AA107" s="6">
        <f>IFERROR(LN(Cotacao!BB108/Cotacao!BB107),AA106)</f>
        <v>2.8129413766146577E-3</v>
      </c>
      <c r="AB107" s="6">
        <f>IFERROR(LN(Cotacao!BD108/Cotacao!BD107),AB106)</f>
        <v>-1.5134165458591997E-2</v>
      </c>
      <c r="AC107" s="6">
        <f>IFERROR(LN(Cotacao!BF108/Cotacao!BF107),AC106)</f>
        <v>-5.0861935021276347E-3</v>
      </c>
      <c r="AD107" s="6">
        <f>IFERROR(LN(Cotacao!BH108/Cotacao!BH107),AD106)</f>
        <v>-2.8188140818780124E-2</v>
      </c>
      <c r="AE107" s="6">
        <f>IFERROR(LN(Cotacao!BJ108/Cotacao!BJ107),AE106)</f>
        <v>8.8213676324488711E-3</v>
      </c>
      <c r="AF107" s="6">
        <f>IFERROR(LN(Cotacao!BL108/Cotacao!BL107),AF106)</f>
        <v>-1.62830550674232E-2</v>
      </c>
      <c r="AG107" s="6">
        <f>IFERROR(LN(Cotacao!BN108/Cotacao!BN107),AG106)</f>
        <v>-2.6945514808559896E-2</v>
      </c>
      <c r="AH107" s="6">
        <f>IFERROR(LN(Cotacao!BP108/Cotacao!BP107),AH106)</f>
        <v>-1.833045214398285E-2</v>
      </c>
      <c r="AI107" s="6">
        <f>IFERROR(LN(Cotacao!BR108/Cotacao!BR107),AI106)</f>
        <v>4.3641545260355123E-2</v>
      </c>
      <c r="AJ107" s="6">
        <f>IFERROR(LN(Profit!C107/Profit!C106),AJ106)</f>
        <v>1.6972269843282244E-2</v>
      </c>
      <c r="AK107" s="6">
        <f>IFERROR(LN(Cotacao!BV108/Cotacao!BV107),AK106)</f>
        <v>-1.2665000484476531E-2</v>
      </c>
      <c r="AL107" s="6">
        <f>IFERROR(LN(Cotacao!BX108/Cotacao!BX107),AL106)</f>
        <v>-4.4300634727927717E-3</v>
      </c>
      <c r="AN107" s="44" t="s">
        <v>7</v>
      </c>
      <c r="AO107" s="44">
        <v>5.0733190426652957E-4</v>
      </c>
      <c r="AP107" s="44">
        <v>3.3308943525576156E-4</v>
      </c>
      <c r="AQ107" s="44">
        <v>3.9067974674515205E-4</v>
      </c>
      <c r="AR107" s="44">
        <v>4.1910028541583056E-4</v>
      </c>
      <c r="AS107" s="44">
        <f>VARP(Valorização!$F$2:$F$247)</f>
        <v>6.0363164974211317E-4</v>
      </c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</row>
    <row r="108" spans="1:75">
      <c r="A108" s="3" t="str">
        <f>Cotacao!C108</f>
        <v>11/26/2019 16:56:00</v>
      </c>
      <c r="B108" s="6">
        <f>IFERROR(LN(Cotacao!D109/Cotacao!D108),B107)</f>
        <v>3.324102783838621E-3</v>
      </c>
      <c r="C108" s="6">
        <f>IFERROR(LN(Cotacao!F109/Cotacao!F108),C107)</f>
        <v>1.7688683857451637E-3</v>
      </c>
      <c r="D108" s="6">
        <f>IFERROR(LN(Cotacao!H109/Cotacao!H108),D107)</f>
        <v>1.3732220220437972E-2</v>
      </c>
      <c r="E108" s="6">
        <f>IFERROR(LN(Cotacao!J109/Cotacao!J108),E107)</f>
        <v>-1.5714609098470118E-2</v>
      </c>
      <c r="F108" s="6">
        <f>IFERROR(LN(Cotacao!L109/Cotacao!L108),F107)</f>
        <v>2.5967295817111349E-3</v>
      </c>
      <c r="G108" s="6">
        <f>IFERROR(LN(Cotacao!N109/Cotacao!N108),G107)</f>
        <v>1.2176710575255285E-2</v>
      </c>
      <c r="H108" s="6">
        <f>IFERROR(LN(Cotacao!P109/Cotacao!P108),H107)</f>
        <v>7.3114317063723514E-3</v>
      </c>
      <c r="I108" s="6">
        <f>IFERROR(LN(Cotacao!R109/Cotacao!R108),I107)</f>
        <v>6.5093801855170162E-3</v>
      </c>
      <c r="J108" s="6">
        <f>IFERROR(LN(Cotacao!T109/Cotacao!T108),J107)</f>
        <v>-3.8271412363392439E-2</v>
      </c>
      <c r="K108" s="6">
        <f>IFERROR(LN(Cotacao!V109/Cotacao!V108),K107)</f>
        <v>0</v>
      </c>
      <c r="L108" s="6">
        <f>IFERROR(LN(Cotacao!X109/Cotacao!X108),L107)</f>
        <v>-1.6820861829848262E-3</v>
      </c>
      <c r="M108" s="6">
        <f>IFERROR(LN(Profit!B108/Profit!B107),M107)</f>
        <v>-1.4947685892294736E-3</v>
      </c>
      <c r="N108" s="6">
        <f>IFERROR(LN(Cotacao!AB109/Cotacao!AB108),N107)</f>
        <v>1.3885676843461922E-3</v>
      </c>
      <c r="O108" s="6">
        <f>IFERROR(LN(Cotacao!AD109/Cotacao!AD108),O107)</f>
        <v>1.97336028517529E-3</v>
      </c>
      <c r="P108" s="6">
        <f>IFERROR(LN(Cotacao!AF109/Cotacao!AF108),P107)</f>
        <v>1.3129291441792581E-2</v>
      </c>
      <c r="Q108" s="6">
        <f>IFERROR(LN(Cotacao!AH109/Cotacao!AH108),Q107)</f>
        <v>-1.2573839529560064E-2</v>
      </c>
      <c r="R108" s="6">
        <f>IFERROR(LN(Cotacao!AJ109/Cotacao!AJ108),R107)</f>
        <v>2.8214689536529534E-2</v>
      </c>
      <c r="S108" s="6">
        <f>IFERROR(LN(Cotacao!AL109/Cotacao!AL108),S107)</f>
        <v>-1.6635060504532097E-2</v>
      </c>
      <c r="T108" s="6">
        <f>IFERROR(LN(Cotacao!AN109/Cotacao!AN108),T107)</f>
        <v>-3.2955140922944E-2</v>
      </c>
      <c r="U108" s="6">
        <f>IFERROR(LN(Cotacao!AP109/Cotacao!AP108),U107)</f>
        <v>-6.1473945918815078E-3</v>
      </c>
      <c r="V108" s="6">
        <f>IFERROR(LN(Cotacao!AR109/Cotacao!AR108),V107)</f>
        <v>-5.3715438019107647E-3</v>
      </c>
      <c r="W108" s="6">
        <f>IFERROR(LN(Cotacao!AT109/Cotacao!AT108),W107)</f>
        <v>4.8426244757879908E-3</v>
      </c>
      <c r="X108" s="6">
        <f>IFERROR(LN(Cotacao!AV109/Cotacao!AV108),X107)</f>
        <v>-2.8083678202108966E-3</v>
      </c>
      <c r="Y108" s="6">
        <f>IFERROR(LN(Cotacao!AX109/Cotacao!AX108),Y107)</f>
        <v>-6.3522314348149977E-4</v>
      </c>
      <c r="Z108" s="6">
        <f>IFERROR(LN(Cotacao!AZ109/Cotacao!AZ108),Z107)</f>
        <v>-2.1339316034995493E-2</v>
      </c>
      <c r="AA108" s="6">
        <f>IFERROR(LN(Cotacao!BB109/Cotacao!BB108),AA107)</f>
        <v>0</v>
      </c>
      <c r="AB108" s="6">
        <f>IFERROR(LN(Cotacao!BD109/Cotacao!BD108),AB107)</f>
        <v>-6.4725145056174788E-3</v>
      </c>
      <c r="AC108" s="6">
        <f>IFERROR(LN(Cotacao!BF109/Cotacao!BF108),AC107)</f>
        <v>0</v>
      </c>
      <c r="AD108" s="6">
        <f>IFERROR(LN(Cotacao!BH109/Cotacao!BH108),AD107)</f>
        <v>3.4512510641351288E-2</v>
      </c>
      <c r="AE108" s="6">
        <f>IFERROR(LN(Cotacao!BJ109/Cotacao!BJ108),AE107)</f>
        <v>-9.1128703309131358E-3</v>
      </c>
      <c r="AF108" s="6">
        <f>IFERROR(LN(Cotacao!BL109/Cotacao!BL108),AF107)</f>
        <v>1.456336418789651E-2</v>
      </c>
      <c r="AG108" s="6">
        <f>IFERROR(LN(Cotacao!BN109/Cotacao!BN108),AG107)</f>
        <v>2.0224212462626314E-2</v>
      </c>
      <c r="AH108" s="6">
        <f>IFERROR(LN(Cotacao!BP109/Cotacao!BP108),AH107)</f>
        <v>4.7846981233362531E-3</v>
      </c>
      <c r="AI108" s="6">
        <f>IFERROR(LN(Cotacao!BR109/Cotacao!BR108),AI107)</f>
        <v>-7.536540618238813E-3</v>
      </c>
      <c r="AJ108" s="6">
        <f>IFERROR(LN(Profit!C108/Profit!C107),AJ107)</f>
        <v>6.1810351314346692E-3</v>
      </c>
      <c r="AK108" s="6">
        <f>IFERROR(LN(Cotacao!BV109/Cotacao!BV108),AK107)</f>
        <v>6.0377201036704862E-3</v>
      </c>
      <c r="AL108" s="6">
        <f>IFERROR(LN(Cotacao!BX109/Cotacao!BX108),AL107)</f>
        <v>4.770026080180738E-3</v>
      </c>
      <c r="AN108" s="44" t="s">
        <v>8</v>
      </c>
      <c r="AO108" s="44">
        <v>5.2052665040877805E-4</v>
      </c>
      <c r="AP108" s="44">
        <v>4.6088409184028278E-4</v>
      </c>
      <c r="AQ108" s="44">
        <v>3.5951066501159343E-4</v>
      </c>
      <c r="AR108" s="44">
        <v>4.7313758725940771E-4</v>
      </c>
      <c r="AS108" s="44">
        <v>4.2638751077204258E-4</v>
      </c>
      <c r="AT108" s="44">
        <f>VARP(Valorização!$G$2:$G$247)</f>
        <v>6.9429877251618295E-4</v>
      </c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</row>
    <row r="109" spans="1:75">
      <c r="A109" s="3" t="str">
        <f>Cotacao!C109</f>
        <v>11/27/2019 16:56:00</v>
      </c>
      <c r="B109" s="6">
        <f>IFERROR(LN(Cotacao!D110/Cotacao!D109),B108)</f>
        <v>6.6152391187191831E-3</v>
      </c>
      <c r="C109" s="6">
        <f>IFERROR(LN(Cotacao!F110/Cotacao!F109),C108)</f>
        <v>1.5200526524068817E-2</v>
      </c>
      <c r="D109" s="6">
        <f>IFERROR(LN(Cotacao!H110/Cotacao!H109),D108)</f>
        <v>1.9604200047153717E-2</v>
      </c>
      <c r="E109" s="6">
        <f>IFERROR(LN(Cotacao!J110/Cotacao!J109),E108)</f>
        <v>1.0028737348117159E-2</v>
      </c>
      <c r="F109" s="6">
        <f>IFERROR(LN(Cotacao!L110/Cotacao!L109),F108)</f>
        <v>1.4418375424271671E-2</v>
      </c>
      <c r="G109" s="6">
        <f>IFERROR(LN(Cotacao!N110/Cotacao!N109),G108)</f>
        <v>2.2667180086910102E-3</v>
      </c>
      <c r="H109" s="6">
        <f>IFERROR(LN(Cotacao!P110/Cotacao!P109),H108)</f>
        <v>-1.1322132269779617E-2</v>
      </c>
      <c r="I109" s="6">
        <f>IFERROR(LN(Cotacao!R110/Cotacao!R109),I108)</f>
        <v>1.6207458977333445E-3</v>
      </c>
      <c r="J109" s="6">
        <f>IFERROR(LN(Cotacao!T110/Cotacao!T109),J108)</f>
        <v>1.5371780047853783E-2</v>
      </c>
      <c r="K109" s="6">
        <f>IFERROR(LN(Cotacao!V110/Cotacao!V109),K108)</f>
        <v>3.1175617468449796E-2</v>
      </c>
      <c r="L109" s="6">
        <f>IFERROR(LN(Cotacao!X110/Cotacao!X109),L108)</f>
        <v>3.7807228399061523E-3</v>
      </c>
      <c r="M109" s="6">
        <f>IFERROR(LN(Profit!B109/Profit!B108),M108)</f>
        <v>-4.8734866841993229E-3</v>
      </c>
      <c r="N109" s="6">
        <f>IFERROR(LN(Cotacao!AB110/Cotacao!AB109),N108)</f>
        <v>1.9240172073651401E-2</v>
      </c>
      <c r="O109" s="6">
        <f>IFERROR(LN(Cotacao!AD110/Cotacao!AD109),O108)</f>
        <v>-9.8619337381463182E-4</v>
      </c>
      <c r="P109" s="6">
        <f>IFERROR(LN(Cotacao!AF110/Cotacao!AF109),P108)</f>
        <v>3.0055123642769091E-3</v>
      </c>
      <c r="Q109" s="6">
        <f>IFERROR(LN(Cotacao!AH110/Cotacao!AH109),Q108)</f>
        <v>-4.1604814842599886E-3</v>
      </c>
      <c r="R109" s="6">
        <f>IFERROR(LN(Cotacao!AJ110/Cotacao!AJ109),R108)</f>
        <v>7.6377894481175403E-3</v>
      </c>
      <c r="S109" s="6">
        <f>IFERROR(LN(Cotacao!AL110/Cotacao!AL109),S108)</f>
        <v>5.1480165174012374E-3</v>
      </c>
      <c r="T109" s="6">
        <f>IFERROR(LN(Cotacao!AN110/Cotacao!AN109),T108)</f>
        <v>1.1383040500602814E-3</v>
      </c>
      <c r="U109" s="6">
        <f>IFERROR(LN(Cotacao!AP110/Cotacao!AP109),U108)</f>
        <v>1.4098924379501675E-2</v>
      </c>
      <c r="V109" s="6">
        <f>IFERROR(LN(Cotacao!AR110/Cotacao!AR109),V108)</f>
        <v>1.2489011570774767E-2</v>
      </c>
      <c r="W109" s="6">
        <f>IFERROR(LN(Cotacao!AT110/Cotacao!AT109),W108)</f>
        <v>1.4401862662508954E-3</v>
      </c>
      <c r="X109" s="6">
        <f>IFERROR(LN(Cotacao!AV110/Cotacao!AV109),X108)</f>
        <v>6.7121771457939643E-3</v>
      </c>
      <c r="Y109" s="6">
        <f>IFERROR(LN(Cotacao!AX110/Cotacao!AX109),Y108)</f>
        <v>1.5079966348335969E-3</v>
      </c>
      <c r="Z109" s="6">
        <f>IFERROR(LN(Cotacao!AZ110/Cotacao!AZ109),Z108)</f>
        <v>-1.9802627296179643E-2</v>
      </c>
      <c r="AA109" s="6">
        <f>IFERROR(LN(Cotacao!BB110/Cotacao!BB109),AA108)</f>
        <v>1.0061571745434841E-2</v>
      </c>
      <c r="AB109" s="6">
        <f>IFERROR(LN(Cotacao!BD110/Cotacao!BD109),AB108)</f>
        <v>1.8134454253460292E-2</v>
      </c>
      <c r="AC109" s="6">
        <f>IFERROR(LN(Cotacao!BF110/Cotacao!BF109),AC108)</f>
        <v>-1.254292384737613E-2</v>
      </c>
      <c r="AD109" s="6">
        <f>IFERROR(LN(Cotacao!BH110/Cotacao!BH109),AD108)</f>
        <v>-9.3500907391080735E-3</v>
      </c>
      <c r="AE109" s="6">
        <f>IFERROR(LN(Cotacao!BJ110/Cotacao!BJ109),AE108)</f>
        <v>1.3782139514596661E-2</v>
      </c>
      <c r="AF109" s="6">
        <f>IFERROR(LN(Cotacao!BL110/Cotacao!BL109),AF108)</f>
        <v>1.2996078947461194E-2</v>
      </c>
      <c r="AG109" s="6">
        <f>IFERROR(LN(Cotacao!BN110/Cotacao!BN109),AG108)</f>
        <v>1.4644613188197514E-2</v>
      </c>
      <c r="AH109" s="6">
        <f>IFERROR(LN(Cotacao!BP110/Cotacao!BP109),AH108)</f>
        <v>6.795812766471742E-3</v>
      </c>
      <c r="AI109" s="6">
        <f>IFERROR(LN(Cotacao!BR110/Cotacao!BR109),AI108)</f>
        <v>3.9402547866029043E-2</v>
      </c>
      <c r="AJ109" s="6">
        <f>IFERROR(LN(Profit!C109/Profit!C108),AJ108)</f>
        <v>-2.644338253090313E-3</v>
      </c>
      <c r="AK109" s="6">
        <f>IFERROR(LN(Cotacao!BV110/Cotacao!BV109),AK108)</f>
        <v>5.3921040224310206E-3</v>
      </c>
      <c r="AL109" s="6">
        <f>IFERROR(LN(Cotacao!BX110/Cotacao!BX109),AL108)</f>
        <v>9.4723306353624442E-3</v>
      </c>
      <c r="AN109" s="44" t="s">
        <v>9</v>
      </c>
      <c r="AO109" s="44">
        <v>5.0719596365740821E-4</v>
      </c>
      <c r="AP109" s="44">
        <v>3.7987062332068378E-4</v>
      </c>
      <c r="AQ109" s="44">
        <v>3.0994720482329719E-4</v>
      </c>
      <c r="AR109" s="44">
        <v>4.8680496329818636E-4</v>
      </c>
      <c r="AS109" s="44">
        <v>3.843784095701753E-4</v>
      </c>
      <c r="AT109" s="44">
        <v>5.6171479534870567E-4</v>
      </c>
      <c r="AU109" s="44">
        <f>VARP(Valorização!$H$2:$H$247)</f>
        <v>6.6300279281216378E-4</v>
      </c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</row>
    <row r="110" spans="1:75">
      <c r="A110" s="3" t="str">
        <f>Cotacao!C110</f>
        <v>11/28/2019 16:56:00</v>
      </c>
      <c r="B110" s="6">
        <f>IFERROR(LN(Cotacao!D111/Cotacao!D110),B109)</f>
        <v>1.092907053219023E-2</v>
      </c>
      <c r="C110" s="6">
        <f>IFERROR(LN(Cotacao!F111/Cotacao!F110),C109)</f>
        <v>-5.8038306910629508E-4</v>
      </c>
      <c r="D110" s="6">
        <f>IFERROR(LN(Cotacao!H111/Cotacao!H110),D109)</f>
        <v>8.804953266244064E-3</v>
      </c>
      <c r="E110" s="6">
        <f>IFERROR(LN(Cotacao!J111/Cotacao!J110),E109)</f>
        <v>-1.7254202309159156E-2</v>
      </c>
      <c r="F110" s="6">
        <f>IFERROR(LN(Cotacao!L111/Cotacao!L110),F109)</f>
        <v>1.6730428259209569E-2</v>
      </c>
      <c r="G110" s="6">
        <f>IFERROR(LN(Cotacao!N111/Cotacao!N110),G109)</f>
        <v>1.5082959118848814E-3</v>
      </c>
      <c r="H110" s="6">
        <f>IFERROR(LN(Cotacao!P111/Cotacao!P110),H109)</f>
        <v>3.343366537974366E-3</v>
      </c>
      <c r="I110" s="6">
        <f>IFERROR(LN(Cotacao!R111/Cotacao!R110),I109)</f>
        <v>3.6371024131676695E-3</v>
      </c>
      <c r="J110" s="6">
        <f>IFERROR(LN(Cotacao!T111/Cotacao!T110),J109)</f>
        <v>-7.3717373807775551E-3</v>
      </c>
      <c r="K110" s="6">
        <f>IFERROR(LN(Cotacao!V111/Cotacao!V110),K109)</f>
        <v>-3.2362487792084163E-3</v>
      </c>
      <c r="L110" s="6">
        <f>IFERROR(LN(Cotacao!X111/Cotacao!X110),L109)</f>
        <v>-1.9048194970694474E-2</v>
      </c>
      <c r="M110" s="6">
        <f>IFERROR(LN(Profit!B110/Profit!B109),M109)</f>
        <v>-3.7650646886635097E-3</v>
      </c>
      <c r="N110" s="6">
        <f>IFERROR(LN(Cotacao!AB111/Cotacao!AB110),N109)</f>
        <v>4.5269429957770502E-3</v>
      </c>
      <c r="O110" s="6">
        <f>IFERROR(LN(Cotacao!AD111/Cotacao!AD110),O109)</f>
        <v>-2.852332471996586E-2</v>
      </c>
      <c r="P110" s="6">
        <f>IFERROR(LN(Cotacao!AF111/Cotacao!AF110),P109)</f>
        <v>-1.6686137694353479E-3</v>
      </c>
      <c r="Q110" s="6">
        <f>IFERROR(LN(Cotacao!AH111/Cotacao!AH110),Q109)</f>
        <v>-7.7728343507528028E-3</v>
      </c>
      <c r="R110" s="6">
        <f>IFERROR(LN(Cotacao!AJ111/Cotacao!AJ110),R109)</f>
        <v>6.5005646030932424E-3</v>
      </c>
      <c r="S110" s="6">
        <f>IFERROR(LN(Cotacao!AL111/Cotacao!AL110),S109)</f>
        <v>0</v>
      </c>
      <c r="T110" s="6">
        <f>IFERROR(LN(Cotacao!AN111/Cotacao!AN110),T109)</f>
        <v>2.7455638548753922E-3</v>
      </c>
      <c r="U110" s="6">
        <f>IFERROR(LN(Cotacao!AP111/Cotacao!AP110),U109)</f>
        <v>-1.6942720730311913E-2</v>
      </c>
      <c r="V110" s="6">
        <f>IFERROR(LN(Cotacao!AR111/Cotacao!AR110),V109)</f>
        <v>1.6703685071366686E-2</v>
      </c>
      <c r="W110" s="6">
        <f>IFERROR(LN(Cotacao!AT111/Cotacao!AT110),W109)</f>
        <v>4.8203687353061721E-3</v>
      </c>
      <c r="X110" s="6">
        <f>IFERROR(LN(Cotacao!AV111/Cotacao!AV110),X109)</f>
        <v>1.8716637110464174E-2</v>
      </c>
      <c r="Y110" s="6">
        <f>IFERROR(LN(Cotacao!AX111/Cotacao!AX110),Y109)</f>
        <v>4.7472199288269403E-3</v>
      </c>
      <c r="Z110" s="6">
        <f>IFERROR(LN(Cotacao!AZ111/Cotacao!AZ110),Z109)</f>
        <v>1.5873349156290163E-2</v>
      </c>
      <c r="AA110" s="6">
        <f>IFERROR(LN(Cotacao!BB111/Cotacao!BB110),AA109)</f>
        <v>9.6859758228247939E-3</v>
      </c>
      <c r="AB110" s="6">
        <f>IFERROR(LN(Cotacao!BD111/Cotacao!BD110),AB109)</f>
        <v>6.9324367756448957E-3</v>
      </c>
      <c r="AC110" s="6">
        <f>IFERROR(LN(Cotacao!BF111/Cotacao!BF110),AC109)</f>
        <v>-3.4482792789159327E-3</v>
      </c>
      <c r="AD110" s="6">
        <f>IFERROR(LN(Cotacao!BH111/Cotacao!BH110),AD109)</f>
        <v>2.4213086890103454E-3</v>
      </c>
      <c r="AE110" s="6">
        <f>IFERROR(LN(Cotacao!BJ111/Cotacao!BJ110),AE109)</f>
        <v>5.8489759039652171E-3</v>
      </c>
      <c r="AF110" s="6">
        <f>IFERROR(LN(Cotacao!BL111/Cotacao!BL110),AF109)</f>
        <v>3.3085724585765482E-2</v>
      </c>
      <c r="AG110" s="6">
        <f>IFERROR(LN(Cotacao!BN111/Cotacao!BN110),AG109)</f>
        <v>-8.9705410144191693E-3</v>
      </c>
      <c r="AH110" s="6">
        <f>IFERROR(LN(Cotacao!BP111/Cotacao!BP110),AH109)</f>
        <v>-1.2951782959330005E-2</v>
      </c>
      <c r="AI110" s="6">
        <f>IFERROR(LN(Cotacao!BR111/Cotacao!BR110),AI109)</f>
        <v>5.5692693732202599E-2</v>
      </c>
      <c r="AJ110" s="6">
        <f>IFERROR(LN(Profit!C110/Profit!C109),AJ109)</f>
        <v>-7.0859463894858352E-3</v>
      </c>
      <c r="AK110" s="6">
        <f>IFERROR(LN(Cotacao!BV111/Cotacao!BV110),AK109)</f>
        <v>-5.2474706359493975E-4</v>
      </c>
      <c r="AL110" s="6">
        <f>IFERROR(LN(Cotacao!BX111/Cotacao!BX110),AL109)</f>
        <v>1.1382781087279987E-2</v>
      </c>
      <c r="AN110" s="44" t="s">
        <v>10</v>
      </c>
      <c r="AO110" s="44">
        <v>5.8778527084153167E-4</v>
      </c>
      <c r="AP110" s="44">
        <v>3.8233204613330566E-4</v>
      </c>
      <c r="AQ110" s="44">
        <v>3.744021321853688E-4</v>
      </c>
      <c r="AR110" s="44">
        <v>4.8179123381309245E-4</v>
      </c>
      <c r="AS110" s="44">
        <v>4.5080543867672323E-4</v>
      </c>
      <c r="AT110" s="44">
        <v>4.6490169063109505E-4</v>
      </c>
      <c r="AU110" s="44">
        <v>4.1081310393635523E-4</v>
      </c>
      <c r="AV110" s="44">
        <f>VARP(Valorização!$I$2:$I$247)</f>
        <v>8.2437597935752208E-4</v>
      </c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</row>
    <row r="111" spans="1:75">
      <c r="A111" s="3" t="str">
        <f>Cotacao!C111</f>
        <v>11/29/2019 16:56:00</v>
      </c>
      <c r="B111" s="6">
        <f>IFERROR(LN(Cotacao!D112/Cotacao!D111),B110)</f>
        <v>1.0863662122210114E-3</v>
      </c>
      <c r="C111" s="6">
        <f>IFERROR(LN(Cotacao!F112/Cotacao!F111),C110)</f>
        <v>2.0298687555597044E-3</v>
      </c>
      <c r="D111" s="6">
        <f>IFERROR(LN(Cotacao!H112/Cotacao!H111),D110)</f>
        <v>1.7090369466363916E-3</v>
      </c>
      <c r="E111" s="6">
        <f>IFERROR(LN(Cotacao!J112/Cotacao!J111),E110)</f>
        <v>1.2252405529016085E-2</v>
      </c>
      <c r="F111" s="6">
        <f>IFERROR(LN(Cotacao!L112/Cotacao!L111),F110)</f>
        <v>-5.5457666713147552E-3</v>
      </c>
      <c r="G111" s="6">
        <f>IFERROR(LN(Cotacao!N112/Cotacao!N111),G110)</f>
        <v>6.7593197643835822E-3</v>
      </c>
      <c r="H111" s="6">
        <f>IFERROR(LN(Cotacao!P112/Cotacao!P111),H110)</f>
        <v>1.1944402125152102E-2</v>
      </c>
      <c r="I111" s="6">
        <f>IFERROR(LN(Cotacao!R112/Cotacao!R111),I110)</f>
        <v>4.4274574235627301E-3</v>
      </c>
      <c r="J111" s="6">
        <f>IFERROR(LN(Cotacao!T112/Cotacao!T111),J110)</f>
        <v>-6.8532535505696638E-3</v>
      </c>
      <c r="K111" s="6">
        <f>IFERROR(LN(Cotacao!V112/Cotacao!V111),K110)</f>
        <v>-1.6220603718680551E-3</v>
      </c>
      <c r="L111" s="6">
        <f>IFERROR(LN(Cotacao!X112/Cotacao!X111),L110)</f>
        <v>-3.9220713153281267E-2</v>
      </c>
      <c r="M111" s="6">
        <f>IFERROR(LN(Profit!B111/Profit!B110),M110)</f>
        <v>-3.7792939918933292E-3</v>
      </c>
      <c r="N111" s="6">
        <f>IFERROR(LN(Cotacao!AB112/Cotacao!AB111),N110)</f>
        <v>-6.3434739221750382E-3</v>
      </c>
      <c r="O111" s="6">
        <f>IFERROR(LN(Cotacao!AD112/Cotacao!AD111),O110)</f>
        <v>-3.7232842562160966E-2</v>
      </c>
      <c r="P111" s="6">
        <f>IFERROR(LN(Cotacao!AF112/Cotacao!AF111),P110)</f>
        <v>8.3153647272651635E-3</v>
      </c>
      <c r="Q111" s="6">
        <f>IFERROR(LN(Cotacao!AH112/Cotacao!AH111),Q110)</f>
        <v>2.6847250036188056E-2</v>
      </c>
      <c r="R111" s="6">
        <f>IFERROR(LN(Cotacao!AJ112/Cotacao!AJ111),R110)</f>
        <v>-6.5005646030933161E-3</v>
      </c>
      <c r="S111" s="6">
        <f>IFERROR(LN(Cotacao!AL112/Cotacao!AL111),S110)</f>
        <v>1.2828738128891231E-3</v>
      </c>
      <c r="T111" s="6">
        <f>IFERROR(LN(Cotacao!AN112/Cotacao!AN111),T110)</f>
        <v>-2.7509282499957547E-2</v>
      </c>
      <c r="U111" s="6">
        <f>IFERROR(LN(Cotacao!AP112/Cotacao!AP111),U110)</f>
        <v>-5.1250470586075091E-2</v>
      </c>
      <c r="V111" s="6">
        <f>IFERROR(LN(Cotacao!AR112/Cotacao!AR111),V110)</f>
        <v>-8.7566233788347308E-3</v>
      </c>
      <c r="W111" s="6">
        <f>IFERROR(LN(Cotacao!AT112/Cotacao!AT111),W110)</f>
        <v>4.3997360868119456E-4</v>
      </c>
      <c r="X111" s="6">
        <f>IFERROR(LN(Cotacao!AV112/Cotacao!AV111),X110)</f>
        <v>-3.6081544681530395E-4</v>
      </c>
      <c r="Y111" s="6">
        <f>IFERROR(LN(Cotacao!AX112/Cotacao!AX111),Y110)</f>
        <v>-1.1112107356500462E-2</v>
      </c>
      <c r="Z111" s="6">
        <f>IFERROR(LN(Cotacao!AZ112/Cotacao!AZ111),Z110)</f>
        <v>7.8431774610258787E-3</v>
      </c>
      <c r="AA111" s="6">
        <f>IFERROR(LN(Cotacao!BB112/Cotacao!BB111),AA110)</f>
        <v>-8.5742469701345254E-3</v>
      </c>
      <c r="AB111" s="6">
        <f>IFERROR(LN(Cotacao!BD112/Cotacao!BD111),AB110)</f>
        <v>8.5985052552317708E-3</v>
      </c>
      <c r="AC111" s="6">
        <f>IFERROR(LN(Cotacao!BF112/Cotacao!BF111),AC110)</f>
        <v>5.7553958423221775E-4</v>
      </c>
      <c r="AD111" s="6">
        <f>IFERROR(LN(Cotacao!BH112/Cotacao!BH111),AD110)</f>
        <v>-1.369675955026118E-2</v>
      </c>
      <c r="AE111" s="6">
        <f>IFERROR(LN(Cotacao!BJ112/Cotacao!BJ111),AE110)</f>
        <v>-2.3469486144178197E-3</v>
      </c>
      <c r="AF111" s="6">
        <f>IFERROR(LN(Cotacao!BL112/Cotacao!BL111),AF110)</f>
        <v>-8.5837436913915547E-3</v>
      </c>
      <c r="AG111" s="6">
        <f>IFERROR(LN(Cotacao!BN112/Cotacao!BN111),AG110)</f>
        <v>-2.5178359923409941E-3</v>
      </c>
      <c r="AH111" s="6">
        <f>IFERROR(LN(Cotacao!BP112/Cotacao!BP111),AH110)</f>
        <v>-2.7481982257167884E-3</v>
      </c>
      <c r="AI111" s="6">
        <f>IFERROR(LN(Cotacao!BR112/Cotacao!BR111),AI110)</f>
        <v>-7.7687054506197254E-3</v>
      </c>
      <c r="AJ111" s="6">
        <f>IFERROR(LN(Profit!C111/Profit!C110),AJ110)</f>
        <v>2.6631174194836284E-3</v>
      </c>
      <c r="AK111" s="6">
        <f>IFERROR(LN(Cotacao!BV112/Cotacao!BV111),AK110)</f>
        <v>6.3966551676925658E-3</v>
      </c>
      <c r="AL111" s="6">
        <f>IFERROR(LN(Cotacao!BX112/Cotacao!BX111),AL110)</f>
        <v>1.9953448588961877E-3</v>
      </c>
      <c r="AN111" s="44" t="s">
        <v>11</v>
      </c>
      <c r="AO111" s="44">
        <v>8.089005834182384E-4</v>
      </c>
      <c r="AP111" s="44">
        <v>5.3238882479805891E-4</v>
      </c>
      <c r="AQ111" s="44">
        <v>4.5818302280007924E-4</v>
      </c>
      <c r="AR111" s="44">
        <v>9.6728460526300606E-4</v>
      </c>
      <c r="AS111" s="44">
        <v>6.2057029587539773E-4</v>
      </c>
      <c r="AT111" s="44">
        <v>6.1478680448536817E-4</v>
      </c>
      <c r="AU111" s="44">
        <v>6.0147192401503323E-4</v>
      </c>
      <c r="AV111" s="44">
        <v>6.4188808788637013E-4</v>
      </c>
      <c r="AW111" s="44">
        <f>VARP(Valorização!$J$2:$J$247)</f>
        <v>1.8366962527805082E-3</v>
      </c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</row>
    <row r="112" spans="1:75">
      <c r="A112" s="3" t="str">
        <f>Cotacao!C112</f>
        <v>12/2/2019 16:56:00</v>
      </c>
      <c r="B112" s="6">
        <f>IFERROR(LN(Cotacao!D113/Cotacao!D112),B111)</f>
        <v>-3.2626456348164939E-3</v>
      </c>
      <c r="C112" s="6">
        <f>IFERROR(LN(Cotacao!F113/Cotacao!F112),C111)</f>
        <v>3.8083601961759431E-2</v>
      </c>
      <c r="D112" s="6">
        <f>IFERROR(LN(Cotacao!H113/Cotacao!H112),D111)</f>
        <v>-1.874448934939581E-2</v>
      </c>
      <c r="E112" s="6">
        <f>IFERROR(LN(Cotacao!J113/Cotacao!J112),E111)</f>
        <v>-1.4430264829028896E-2</v>
      </c>
      <c r="F112" s="6">
        <f>IFERROR(LN(Cotacao!L113/Cotacao!L112),F111)</f>
        <v>1.2559823483160813E-2</v>
      </c>
      <c r="G112" s="6">
        <f>IFERROR(LN(Cotacao!N113/Cotacao!N112),G111)</f>
        <v>-2.2480339178823422E-3</v>
      </c>
      <c r="H112" s="6">
        <f>IFERROR(LN(Cotacao!P113/Cotacao!P112),H111)</f>
        <v>2.6350476380050318E-3</v>
      </c>
      <c r="I112" s="6">
        <f>IFERROR(LN(Cotacao!R113/Cotacao!R112),I111)</f>
        <v>-4.0241502997253797E-3</v>
      </c>
      <c r="J112" s="6">
        <f>IFERROR(LN(Cotacao!T113/Cotacao!T112),J111)</f>
        <v>6.9183875212104839E-2</v>
      </c>
      <c r="K112" s="6">
        <f>IFERROR(LN(Cotacao!V113/Cotacao!V112),K111)</f>
        <v>-3.2520353863773432E-3</v>
      </c>
      <c r="L112" s="6">
        <f>IFERROR(LN(Cotacao!X113/Cotacao!X112),L111)</f>
        <v>2.3716526617316065E-2</v>
      </c>
      <c r="M112" s="6">
        <f>IFERROR(LN(Profit!B112/Profit!B111),M111)</f>
        <v>3.7792939918934502E-3</v>
      </c>
      <c r="N112" s="6">
        <f>IFERROR(LN(Cotacao!AB113/Cotacao!AB112),N111)</f>
        <v>2.7235604670405207E-3</v>
      </c>
      <c r="O112" s="6">
        <f>IFERROR(LN(Cotacao!AD113/Cotacao!AD112),O111)</f>
        <v>2.3432470207566954E-2</v>
      </c>
      <c r="P112" s="6">
        <f>IFERROR(LN(Cotacao!AF113/Cotacao!AF112),P111)</f>
        <v>-1.2666836028767418E-2</v>
      </c>
      <c r="Q112" s="6">
        <f>IFERROR(LN(Cotacao!AH113/Cotacao!AH112),Q111)</f>
        <v>-1.8082253683220625E-2</v>
      </c>
      <c r="R112" s="6">
        <f>IFERROR(LN(Cotacao!AJ113/Cotacao!AJ112),R111)</f>
        <v>2.1293416625629325E-2</v>
      </c>
      <c r="S112" s="6">
        <f>IFERROR(LN(Cotacao!AL113/Cotacao!AL112),S111)</f>
        <v>-3.8535693159899662E-3</v>
      </c>
      <c r="T112" s="6">
        <f>IFERROR(LN(Cotacao!AN113/Cotacao!AN112),T111)</f>
        <v>7.7444723954777622E-3</v>
      </c>
      <c r="U112" s="6">
        <f>IFERROR(LN(Cotacao!AP113/Cotacao!AP112),U111)</f>
        <v>1.9002947125615264E-2</v>
      </c>
      <c r="V112" s="6">
        <f>IFERROR(LN(Cotacao!AR113/Cotacao!AR112),V111)</f>
        <v>1.0498784098219789E-2</v>
      </c>
      <c r="W112" s="6">
        <f>IFERROR(LN(Cotacao!AT113/Cotacao!AT112),W111)</f>
        <v>1.7166952796404816E-2</v>
      </c>
      <c r="X112" s="6">
        <f>IFERROR(LN(Cotacao!AV113/Cotacao!AV112),X111)</f>
        <v>6.1162270174360536E-3</v>
      </c>
      <c r="Y112" s="6">
        <f>IFERROR(LN(Cotacao!AX113/Cotacao!AX112),Y111)</f>
        <v>1.1965063446363765E-3</v>
      </c>
      <c r="Z112" s="6">
        <f>IFERROR(LN(Cotacao!AZ113/Cotacao!AZ112),Z111)</f>
        <v>0</v>
      </c>
      <c r="AA112" s="6">
        <f>IFERROR(LN(Cotacao!BB113/Cotacao!BB112),AA111)</f>
        <v>2.5522956761443462E-3</v>
      </c>
      <c r="AB112" s="6">
        <f>IFERROR(LN(Cotacao!BD113/Cotacao!BD112),AB111)</f>
        <v>6.8259650703998906E-3</v>
      </c>
      <c r="AC112" s="6">
        <f>IFERROR(LN(Cotacao!BF113/Cotacao!BF112),AC111)</f>
        <v>2.5562312037803056E-2</v>
      </c>
      <c r="AD112" s="6">
        <f>IFERROR(LN(Cotacao!BH113/Cotacao!BH112),AD111)</f>
        <v>2.0024940981704254E-2</v>
      </c>
      <c r="AE112" s="6">
        <f>IFERROR(LN(Cotacao!BJ113/Cotacao!BJ112),AE111)</f>
        <v>1.4889477037810094E-3</v>
      </c>
      <c r="AF112" s="6">
        <f>IFERROR(LN(Cotacao!BL113/Cotacao!BL112),AF111)</f>
        <v>1.8071791312975604E-2</v>
      </c>
      <c r="AG112" s="6">
        <f>IFERROR(LN(Cotacao!BN113/Cotacao!BN112),AG111)</f>
        <v>1.0657294473987979E-2</v>
      </c>
      <c r="AH112" s="6">
        <f>IFERROR(LN(Cotacao!BP113/Cotacao!BP112),AH111)</f>
        <v>-3.1007776782482708E-3</v>
      </c>
      <c r="AI112" s="6">
        <f>IFERROR(LN(Cotacao!BR113/Cotacao!BR112),AI111)</f>
        <v>1.7182553319996963E-2</v>
      </c>
      <c r="AJ112" s="6">
        <f>IFERROR(LN(Profit!C112/Profit!C111),AJ111)</f>
        <v>-1.0695289116747919E-2</v>
      </c>
      <c r="AK112" s="6">
        <f>IFERROR(LN(Cotacao!BV113/Cotacao!BV112),AK111)</f>
        <v>2.5876172242494293E-4</v>
      </c>
      <c r="AL112" s="6">
        <f>IFERROR(LN(Cotacao!BX113/Cotacao!BX112),AL111)</f>
        <v>-1.995344858896107E-3</v>
      </c>
      <c r="AN112" s="44" t="s">
        <v>12</v>
      </c>
      <c r="AO112" s="44">
        <v>6.3149046287651193E-4</v>
      </c>
      <c r="AP112" s="44">
        <v>3.3182821364580032E-4</v>
      </c>
      <c r="AQ112" s="44">
        <v>4.5028097204298696E-4</v>
      </c>
      <c r="AR112" s="44">
        <v>6.2969327145790343E-4</v>
      </c>
      <c r="AS112" s="44">
        <v>5.4417393112975632E-4</v>
      </c>
      <c r="AT112" s="44">
        <v>4.8243242133720409E-4</v>
      </c>
      <c r="AU112" s="44">
        <v>4.7474347863126718E-4</v>
      </c>
      <c r="AV112" s="44">
        <v>5.7101314056324202E-4</v>
      </c>
      <c r="AW112" s="44">
        <v>8.0612380813982335E-4</v>
      </c>
      <c r="AX112" s="44">
        <f>VARP(Valorização!$K$2:$K$247)</f>
        <v>1.1015682868845131E-3</v>
      </c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</row>
    <row r="113" spans="1:75">
      <c r="A113" s="3" t="str">
        <f>Cotacao!C113</f>
        <v>12/3/2019 16:56:00</v>
      </c>
      <c r="B113" s="6">
        <f>IFERROR(LN(Cotacao!D114/Cotacao!D113),B112)</f>
        <v>9.7561749453646558E-3</v>
      </c>
      <c r="C113" s="6">
        <f>IFERROR(LN(Cotacao!F114/Cotacao!F113),C112)</f>
        <v>6.9473671123795209E-3</v>
      </c>
      <c r="D113" s="6">
        <f>IFERROR(LN(Cotacao!H114/Cotacao!H113),D112)</f>
        <v>2.0450610471290841E-2</v>
      </c>
      <c r="E113" s="6">
        <f>IFERROR(LN(Cotacao!J114/Cotacao!J113),E112)</f>
        <v>6.5194001281499705E-3</v>
      </c>
      <c r="F113" s="6">
        <f>IFERROR(LN(Cotacao!L114/Cotacao!L113),F112)</f>
        <v>3.4886653873031784E-3</v>
      </c>
      <c r="G113" s="6">
        <f>IFERROR(LN(Cotacao!N114/Cotacao!N113),G112)</f>
        <v>2.3722387440351472E-2</v>
      </c>
      <c r="H113" s="6">
        <f>IFERROR(LN(Cotacao!P114/Cotacao!P113),H112)</f>
        <v>2.7576767770234618E-2</v>
      </c>
      <c r="I113" s="6">
        <f>IFERROR(LN(Cotacao!R114/Cotacao!R113),I112)</f>
        <v>4.0241502997253268E-3</v>
      </c>
      <c r="J113" s="6">
        <f>IFERROR(LN(Cotacao!T114/Cotacao!T113),J112)</f>
        <v>0</v>
      </c>
      <c r="K113" s="6">
        <f>IFERROR(LN(Cotacao!V114/Cotacao!V113),K112)</f>
        <v>9.7245498919947809E-3</v>
      </c>
      <c r="L113" s="6">
        <f>IFERROR(LN(Cotacao!X114/Cotacao!X113),L112)</f>
        <v>1.1221524743964269E-2</v>
      </c>
      <c r="M113" s="6">
        <f>IFERROR(LN(Profit!B113/Profit!B112),M112)</f>
        <v>0</v>
      </c>
      <c r="N113" s="6">
        <f>IFERROR(LN(Cotacao!AB114/Cotacao!AB113),N112)</f>
        <v>-2.7235604670404925E-3</v>
      </c>
      <c r="O113" s="6">
        <f>IFERROR(LN(Cotacao!AD114/Cotacao!AD113),O112)</f>
        <v>1.1259074925921457E-2</v>
      </c>
      <c r="P113" s="6">
        <f>IFERROR(LN(Cotacao!AF114/Cotacao!AF113),P112)</f>
        <v>-3.3551417862129508E-4</v>
      </c>
      <c r="Q113" s="6">
        <f>IFERROR(LN(Cotacao!AH114/Cotacao!AH113),Q112)</f>
        <v>9.8678519294319311E-3</v>
      </c>
      <c r="R113" s="6">
        <f>IFERROR(LN(Cotacao!AJ114/Cotacao!AJ113),R112)</f>
        <v>1.0794897925871233E-2</v>
      </c>
      <c r="S113" s="6">
        <f>IFERROR(LN(Cotacao!AL114/Cotacao!AL113),S112)</f>
        <v>2.541432842256762E-2</v>
      </c>
      <c r="T113" s="6">
        <f>IFERROR(LN(Cotacao!AN114/Cotacao!AN113),T112)</f>
        <v>8.6414363953408006E-3</v>
      </c>
      <c r="U113" s="6">
        <f>IFERROR(LN(Cotacao!AP114/Cotacao!AP113),U112)</f>
        <v>7.951496174174167E-3</v>
      </c>
      <c r="V113" s="6">
        <f>IFERROR(LN(Cotacao!AR114/Cotacao!AR113),V112)</f>
        <v>3.4752424203032145E-3</v>
      </c>
      <c r="W113" s="6">
        <f>IFERROR(LN(Cotacao!AT114/Cotacao!AT113),W112)</f>
        <v>6.269613013595395E-3</v>
      </c>
      <c r="X113" s="6">
        <f>IFERROR(LN(Cotacao!AV114/Cotacao!AV113),X112)</f>
        <v>5.2230648557027356E-3</v>
      </c>
      <c r="Y113" s="6">
        <f>IFERROR(LN(Cotacao!AX114/Cotacao!AX113),Y112)</f>
        <v>-2.3918676613938911E-4</v>
      </c>
      <c r="Z113" s="6">
        <f>IFERROR(LN(Cotacao!AZ114/Cotacao!AZ113),Z112)</f>
        <v>-7.8431774610258926E-3</v>
      </c>
      <c r="AA113" s="6">
        <f>IFERROR(LN(Cotacao!BB114/Cotacao!BB113),AA112)</f>
        <v>2.3981439435710985E-2</v>
      </c>
      <c r="AB113" s="6">
        <f>IFERROR(LN(Cotacao!BD114/Cotacao!BD113),AB112)</f>
        <v>-1.3698844358162028E-2</v>
      </c>
      <c r="AC113" s="6">
        <f>IFERROR(LN(Cotacao!BF114/Cotacao!BF113),AC112)</f>
        <v>2.0539162207700579E-2</v>
      </c>
      <c r="AD113" s="6">
        <f>IFERROR(LN(Cotacao!BH114/Cotacao!BH113),AD112)</f>
        <v>2.699866646755623E-3</v>
      </c>
      <c r="AE113" s="6">
        <f>IFERROR(LN(Cotacao!BJ114/Cotacao!BJ113),AE112)</f>
        <v>4.9092460738436343E-3</v>
      </c>
      <c r="AF113" s="6">
        <f>IFERROR(LN(Cotacao!BL114/Cotacao!BL113),AF112)</f>
        <v>3.5506688456909817E-2</v>
      </c>
      <c r="AG113" s="6">
        <f>IFERROR(LN(Cotacao!BN114/Cotacao!BN113),AG112)</f>
        <v>2.6055428205671239E-2</v>
      </c>
      <c r="AH113" s="6">
        <f>IFERROR(LN(Cotacao!BP114/Cotacao!BP113),AH112)</f>
        <v>2.3193399817249664E-2</v>
      </c>
      <c r="AI113" s="6">
        <f>IFERROR(LN(Cotacao!BR114/Cotacao!BR113),AI112)</f>
        <v>8.2137223428128306E-2</v>
      </c>
      <c r="AJ113" s="6">
        <f>IFERROR(LN(Profit!C113/Profit!C112),AJ112)</f>
        <v>-1.1717123687753805E-2</v>
      </c>
      <c r="AK113" s="6">
        <f>IFERROR(LN(Cotacao!BV114/Cotacao!BV113),AK112)</f>
        <v>1.2268043206092047E-2</v>
      </c>
      <c r="AL113" s="6">
        <f>IFERROR(LN(Cotacao!BX114/Cotacao!BX113),AL112)</f>
        <v>-1.475546556591921E-2</v>
      </c>
      <c r="AN113" s="44" t="s">
        <v>13</v>
      </c>
      <c r="AO113" s="44">
        <v>3.6878278312884092E-4</v>
      </c>
      <c r="AP113" s="44">
        <v>1.3126351636502854E-4</v>
      </c>
      <c r="AQ113" s="44">
        <v>1.6704573115879263E-4</v>
      </c>
      <c r="AR113" s="44">
        <v>5.042259340514246E-4</v>
      </c>
      <c r="AS113" s="44">
        <v>2.5300247624118592E-4</v>
      </c>
      <c r="AT113" s="44">
        <v>2.102589029275792E-4</v>
      </c>
      <c r="AU113" s="44">
        <v>2.3111443550701439E-4</v>
      </c>
      <c r="AV113" s="44">
        <v>2.4798959948183912E-4</v>
      </c>
      <c r="AW113" s="44">
        <v>5.6965520674026127E-4</v>
      </c>
      <c r="AX113" s="44">
        <v>4.0022144624556543E-4</v>
      </c>
      <c r="AY113" s="44">
        <f>VARP(Valorização!$L$2:$L$247)</f>
        <v>7.0529787354931309E-4</v>
      </c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</row>
    <row r="114" spans="1:75">
      <c r="A114" s="3" t="str">
        <f>Cotacao!C114</f>
        <v>12/4/2019 16:56:00</v>
      </c>
      <c r="B114" s="6">
        <f>IFERROR(LN(Cotacao!D115/Cotacao!D114),B113)</f>
        <v>6.9873974159221971E-3</v>
      </c>
      <c r="C114" s="6">
        <f>IFERROR(LN(Cotacao!F115/Cotacao!F114),C113)</f>
        <v>1.6206919771158373E-2</v>
      </c>
      <c r="D114" s="6">
        <f>IFERROR(LN(Cotacao!H115/Cotacao!H114),D113)</f>
        <v>1.501561468077311E-2</v>
      </c>
      <c r="E114" s="6">
        <f>IFERROR(LN(Cotacao!J115/Cotacao!J114),E113)</f>
        <v>-1.6011986924906151E-2</v>
      </c>
      <c r="F114" s="6">
        <f>IFERROR(LN(Cotacao!L115/Cotacao!L114),F113)</f>
        <v>7.4349784875179905E-3</v>
      </c>
      <c r="G114" s="6">
        <f>IFERROR(LN(Cotacao!N115/Cotacao!N114),G113)</f>
        <v>-4.4052934679163795E-3</v>
      </c>
      <c r="H114" s="6">
        <f>IFERROR(LN(Cotacao!P115/Cotacao!P114),H113)</f>
        <v>2.2374949401918671E-3</v>
      </c>
      <c r="I114" s="6">
        <f>IFERROR(LN(Cotacao!R115/Cotacao!R114),I113)</f>
        <v>2.807300821019822E-3</v>
      </c>
      <c r="J114" s="6">
        <f>IFERROR(LN(Cotacao!T115/Cotacao!T114),J113)</f>
        <v>-1.6716485244311127E-2</v>
      </c>
      <c r="K114" s="6">
        <f>IFERROR(LN(Cotacao!V115/Cotacao!V114),K113)</f>
        <v>3.2206147000421572E-3</v>
      </c>
      <c r="L114" s="6">
        <f>IFERROR(LN(Cotacao!X115/Cotacao!X114),L113)</f>
        <v>2.57179738837139E-3</v>
      </c>
      <c r="M114" s="6">
        <f>IFERROR(LN(Profit!B114/Profit!B113),M113)</f>
        <v>2.090408332527555E-2</v>
      </c>
      <c r="N114" s="6">
        <f>IFERROR(LN(Cotacao!AB115/Cotacao!AB114),N113)</f>
        <v>-9.0950438284049986E-4</v>
      </c>
      <c r="O114" s="6">
        <f>IFERROR(LN(Cotacao!AD115/Cotacao!AD114),O113)</f>
        <v>-7.6628727455690252E-3</v>
      </c>
      <c r="P114" s="6">
        <f>IFERROR(LN(Cotacao!AF115/Cotacao!AF114),P113)</f>
        <v>-3.3613477027048832E-3</v>
      </c>
      <c r="Q114" s="6">
        <f>IFERROR(LN(Cotacao!AH115/Cotacao!AH114),Q113)</f>
        <v>5.8898597952801327E-4</v>
      </c>
      <c r="R114" s="6">
        <f>IFERROR(LN(Cotacao!AJ115/Cotacao!AJ114),R113)</f>
        <v>-1.8914600655945954E-2</v>
      </c>
      <c r="S114" s="6">
        <f>IFERROR(LN(Cotacao!AL115/Cotacao!AL114),S113)</f>
        <v>1.7413375325197912E-2</v>
      </c>
      <c r="T114" s="6">
        <f>IFERROR(LN(Cotacao!AN115/Cotacao!AN114),T113)</f>
        <v>0</v>
      </c>
      <c r="U114" s="6">
        <f>IFERROR(LN(Cotacao!AP115/Cotacao!AP114),U113)</f>
        <v>-3.7586179141382622E-3</v>
      </c>
      <c r="V114" s="6">
        <f>IFERROR(LN(Cotacao!AR115/Cotacao!AR114),V113)</f>
        <v>6.9144614288324116E-3</v>
      </c>
      <c r="W114" s="6">
        <f>IFERROR(LN(Cotacao!AT115/Cotacao!AT114),W113)</f>
        <v>2.3410077019736667E-3</v>
      </c>
      <c r="X114" s="6">
        <f>IFERROR(LN(Cotacao!AV115/Cotacao!AV114),X113)</f>
        <v>6.189327196042039E-3</v>
      </c>
      <c r="Y114" s="6">
        <f>IFERROR(LN(Cotacao!AX115/Cotacao!AX114),Y113)</f>
        <v>-3.1900470802464739E-4</v>
      </c>
      <c r="Z114" s="6">
        <f>IFERROR(LN(Cotacao!AZ115/Cotacao!AZ114),Z113)</f>
        <v>7.8431774610258787E-3</v>
      </c>
      <c r="AA114" s="6">
        <f>IFERROR(LN(Cotacao!BB115/Cotacao!BB114),AA113)</f>
        <v>-2.1642679448175526E-4</v>
      </c>
      <c r="AB114" s="6">
        <f>IFERROR(LN(Cotacao!BD115/Cotacao!BD114),AB113)</f>
        <v>2.833050662622599E-2</v>
      </c>
      <c r="AC114" s="6">
        <f>IFERROR(LN(Cotacao!BF115/Cotacao!BF114),AC113)</f>
        <v>-5.4960155271866797E-4</v>
      </c>
      <c r="AD114" s="6">
        <f>IFERROR(LN(Cotacao!BH115/Cotacao!BH114),AD113)</f>
        <v>2.397628541752082E-2</v>
      </c>
      <c r="AE114" s="6">
        <f>IFERROR(LN(Cotacao!BJ115/Cotacao!BJ114),AE113)</f>
        <v>1.7051000273029669E-2</v>
      </c>
      <c r="AF114" s="6">
        <f>IFERROR(LN(Cotacao!BL115/Cotacao!BL114),AF113)</f>
        <v>2.9418439801082458E-2</v>
      </c>
      <c r="AG114" s="6">
        <f>IFERROR(LN(Cotacao!BN115/Cotacao!BN114),AG113)</f>
        <v>-2.6361162989355742E-3</v>
      </c>
      <c r="AH114" s="6">
        <f>IFERROR(LN(Cotacao!BP115/Cotacao!BP114),AH113)</f>
        <v>1.3063324271430546E-2</v>
      </c>
      <c r="AI114" s="6">
        <f>IFERROR(LN(Cotacao!BR115/Cotacao!BR114),AI113)</f>
        <v>-2.1412396190496362E-2</v>
      </c>
      <c r="AJ114" s="6">
        <f>IFERROR(LN(Profit!C114/Profit!C113),AJ113)</f>
        <v>1.6187403818657489E-2</v>
      </c>
      <c r="AK114" s="6">
        <f>IFERROR(LN(Cotacao!BV115/Cotacao!BV114),AK113)</f>
        <v>2.9090672832571647E-3</v>
      </c>
      <c r="AL114" s="6">
        <f>IFERROR(LN(Cotacao!BX115/Cotacao!BX114),AL113)</f>
        <v>-5.0804512324190637E-3</v>
      </c>
      <c r="AN114" s="44" t="s">
        <v>14</v>
      </c>
      <c r="AO114" s="44">
        <v>2.6259284137850134E-4</v>
      </c>
      <c r="AP114" s="44">
        <v>1.9484130098077111E-4</v>
      </c>
      <c r="AQ114" s="44">
        <v>2.4191597457703769E-4</v>
      </c>
      <c r="AR114" s="44">
        <v>2.641787211696875E-4</v>
      </c>
      <c r="AS114" s="44">
        <v>2.7173552440238453E-4</v>
      </c>
      <c r="AT114" s="44">
        <v>2.4156550084366795E-4</v>
      </c>
      <c r="AU114" s="44">
        <v>1.9645904171853643E-4</v>
      </c>
      <c r="AV114" s="44">
        <v>2.3506410172636068E-4</v>
      </c>
      <c r="AW114" s="44">
        <v>3.9002172181929411E-4</v>
      </c>
      <c r="AX114" s="44">
        <v>3.0469539482659314E-4</v>
      </c>
      <c r="AY114" s="44">
        <v>1.5366350321409678E-4</v>
      </c>
      <c r="AZ114" s="44">
        <f>VARP(Valorização!$M$2:$M$247)</f>
        <v>2.4482430004432216E-4</v>
      </c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</row>
    <row r="115" spans="1:75">
      <c r="A115" s="3" t="str">
        <f>Cotacao!C115</f>
        <v>12/5/2019 16:56:00</v>
      </c>
      <c r="B115" s="6">
        <f>IFERROR(LN(Cotacao!D116/Cotacao!D115),B114)</f>
        <v>-1.2938185871899401E-2</v>
      </c>
      <c r="C115" s="6">
        <f>IFERROR(LN(Cotacao!F116/Cotacao!F115),C114)</f>
        <v>5.4481069176502413E-4</v>
      </c>
      <c r="D115" s="6">
        <f>IFERROR(LN(Cotacao!H116/Cotacao!H115),D114)</f>
        <v>2.0988561311175165E-4</v>
      </c>
      <c r="E115" s="6">
        <f>IFERROR(LN(Cotacao!J116/Cotacao!J115),E114)</f>
        <v>-3.6751235778911943E-3</v>
      </c>
      <c r="F115" s="6">
        <f>IFERROR(LN(Cotacao!L116/Cotacao!L115),F114)</f>
        <v>-1.1423019665473644E-2</v>
      </c>
      <c r="G115" s="6">
        <f>IFERROR(LN(Cotacao!N116/Cotacao!N115),G114)</f>
        <v>-9.6119039464705718E-3</v>
      </c>
      <c r="H115" s="6">
        <f>IFERROR(LN(Cotacao!P116/Cotacao!P115),H114)</f>
        <v>-1.1237877137490984E-2</v>
      </c>
      <c r="I115" s="6">
        <f>IFERROR(LN(Cotacao!R116/Cotacao!R115),I114)</f>
        <v>3.1987232391919992E-3</v>
      </c>
      <c r="J115" s="6">
        <f>IFERROR(LN(Cotacao!T116/Cotacao!T115),J114)</f>
        <v>4.6223367753749724E-2</v>
      </c>
      <c r="K115" s="6">
        <f>IFERROR(LN(Cotacao!V116/Cotacao!V115),K114)</f>
        <v>0</v>
      </c>
      <c r="L115" s="6">
        <f>IFERROR(LN(Cotacao!X116/Cotacao!X115),L114)</f>
        <v>3.4188067487856823E-3</v>
      </c>
      <c r="M115" s="6">
        <f>IFERROR(LN(Profit!B115/Profit!B114),M114)</f>
        <v>1.0290425241780378E-2</v>
      </c>
      <c r="N115" s="6">
        <f>IFERROR(LN(Cotacao!AB116/Cotacao!AB115),N114)</f>
        <v>3.6330648498811386E-3</v>
      </c>
      <c r="O115" s="6">
        <f>IFERROR(LN(Cotacao!AD116/Cotacao!AD115),O114)</f>
        <v>-3.5962021803524311E-3</v>
      </c>
      <c r="P115" s="6">
        <f>IFERROR(LN(Cotacao!AF116/Cotacao!AF115),P114)</f>
        <v>-8.4531357110582388E-3</v>
      </c>
      <c r="Q115" s="6">
        <f>IFERROR(LN(Cotacao!AH116/Cotacao!AH115),Q114)</f>
        <v>7.8201767058333864E-3</v>
      </c>
      <c r="R115" s="6">
        <f>IFERROR(LN(Cotacao!AJ116/Cotacao!AJ115),R114)</f>
        <v>8.332491325408968E-3</v>
      </c>
      <c r="S115" s="6">
        <f>IFERROR(LN(Cotacao!AL116/Cotacao!AL115),S114)</f>
        <v>2.4361740740035377E-2</v>
      </c>
      <c r="T115" s="6">
        <f>IFERROR(LN(Cotacao!AN116/Cotacao!AN115),T114)</f>
        <v>-2.0085650134952143E-2</v>
      </c>
      <c r="U115" s="6">
        <f>IFERROR(LN(Cotacao!AP116/Cotacao!AP115),U114)</f>
        <v>0</v>
      </c>
      <c r="V115" s="6">
        <f>IFERROR(LN(Cotacao!AR116/Cotacao!AR115),V114)</f>
        <v>1.0282866955584056E-2</v>
      </c>
      <c r="W115" s="6">
        <f>IFERROR(LN(Cotacao!AT116/Cotacao!AT115),W114)</f>
        <v>-1.0199933318497053E-2</v>
      </c>
      <c r="X115" s="6">
        <f>IFERROR(LN(Cotacao!AV116/Cotacao!AV115),X114)</f>
        <v>1.4084739881739023E-2</v>
      </c>
      <c r="Y115" s="6">
        <f>IFERROR(LN(Cotacao!AX116/Cotacao!AX115),Y114)</f>
        <v>1.5951507451265776E-4</v>
      </c>
      <c r="Z115" s="6">
        <f>IFERROR(LN(Cotacao!AZ116/Cotacao!AZ115),Z114)</f>
        <v>-3.9138993211364406E-3</v>
      </c>
      <c r="AA115" s="6">
        <f>IFERROR(LN(Cotacao!BB116/Cotacao!BB115),AA114)</f>
        <v>5.0198469916664726E-3</v>
      </c>
      <c r="AB115" s="6">
        <f>IFERROR(LN(Cotacao!BD116/Cotacao!BD115),AB114)</f>
        <v>1.4420660326437964E-2</v>
      </c>
      <c r="AC115" s="6">
        <f>IFERROR(LN(Cotacao!BF116/Cotacao!BF115),AC114)</f>
        <v>1.4192377956505168E-2</v>
      </c>
      <c r="AD115" s="6">
        <f>IFERROR(LN(Cotacao!BH116/Cotacao!BH115),AD114)</f>
        <v>5.8479533830351556E-4</v>
      </c>
      <c r="AE115" s="6">
        <f>IFERROR(LN(Cotacao!BJ116/Cotacao!BJ115),AE114)</f>
        <v>7.6402234294172958E-3</v>
      </c>
      <c r="AF115" s="6">
        <f>IFERROR(LN(Cotacao!BL116/Cotacao!BL115),AF114)</f>
        <v>-9.1589076773436918E-4</v>
      </c>
      <c r="AG115" s="6">
        <f>IFERROR(LN(Cotacao!BN116/Cotacao!BN115),AG114)</f>
        <v>-3.05033281762298E-3</v>
      </c>
      <c r="AH115" s="6">
        <f>IFERROR(LN(Cotacao!BP116/Cotacao!BP115),AH114)</f>
        <v>9.9338565242906747E-3</v>
      </c>
      <c r="AI115" s="6">
        <f>IFERROR(LN(Cotacao!BR116/Cotacao!BR115),AI114)</f>
        <v>6.3285231087571517E-2</v>
      </c>
      <c r="AJ115" s="6">
        <f>IFERROR(LN(Profit!C115/Profit!C114),AJ114)</f>
        <v>-8.9245878301983349E-4</v>
      </c>
      <c r="AK115" s="6">
        <f>IFERROR(LN(Cotacao!BV116/Cotacao!BV115),AK114)</f>
        <v>4.5410179101626584E-3</v>
      </c>
      <c r="AL115" s="6">
        <f>IFERROR(LN(Cotacao!BX116/Cotacao!BX115),AL114)</f>
        <v>1.3490929741015508E-2</v>
      </c>
      <c r="AN115" s="44" t="s">
        <v>15</v>
      </c>
      <c r="AO115" s="44">
        <v>-2.9339046518115248E-5</v>
      </c>
      <c r="AP115" s="44">
        <v>-4.9419038812265883E-5</v>
      </c>
      <c r="AQ115" s="44">
        <v>-3.8438916044341381E-5</v>
      </c>
      <c r="AR115" s="44">
        <v>-3.3173516465606557E-6</v>
      </c>
      <c r="AS115" s="44">
        <v>-4.2892828059181718E-5</v>
      </c>
      <c r="AT115" s="44">
        <v>-4.4565562956760368E-5</v>
      </c>
      <c r="AU115" s="44">
        <v>-5.902916000881572E-5</v>
      </c>
      <c r="AV115" s="44">
        <v>-3.8262644932757143E-5</v>
      </c>
      <c r="AW115" s="44">
        <v>-3.1303907964561069E-5</v>
      </c>
      <c r="AX115" s="44">
        <v>-2.0373779281968395E-5</v>
      </c>
      <c r="AY115" s="44">
        <v>-2.3988307762264043E-5</v>
      </c>
      <c r="AZ115" s="44">
        <v>-1.1429996680870356E-6</v>
      </c>
      <c r="BA115" s="44">
        <f>VARP(Valorização!$N$2:$N$247)</f>
        <v>3.6816421200732146E-4</v>
      </c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</row>
    <row r="116" spans="1:75">
      <c r="A116" s="3" t="str">
        <f>Cotacao!C116</f>
        <v>12/6/2019 16:56:00</v>
      </c>
      <c r="B116" s="6">
        <f>IFERROR(LN(Cotacao!D117/Cotacao!D116),B115)</f>
        <v>1.2402423737465845E-2</v>
      </c>
      <c r="C116" s="6">
        <f>IFERROR(LN(Cotacao!F117/Cotacao!F116),C115)</f>
        <v>-2.7270265059251265E-3</v>
      </c>
      <c r="D116" s="6">
        <f>IFERROR(LN(Cotacao!H117/Cotacao!H116),D115)</f>
        <v>-3.1529190596155305E-3</v>
      </c>
      <c r="E116" s="6">
        <f>IFERROR(LN(Cotacao!J117/Cotacao!J116),E115)</f>
        <v>-5.9084366861662831E-3</v>
      </c>
      <c r="F116" s="6">
        <f>IFERROR(LN(Cotacao!L117/Cotacao!L116),F115)</f>
        <v>1.634913800152963E-2</v>
      </c>
      <c r="G116" s="6">
        <f>IFERROR(LN(Cotacao!N117/Cotacao!N116),G115)</f>
        <v>1.6212587977822601E-2</v>
      </c>
      <c r="H116" s="6">
        <f>IFERROR(LN(Cotacao!P117/Cotacao!P116),H115)</f>
        <v>1.0279563695679412E-2</v>
      </c>
      <c r="I116" s="6">
        <f>IFERROR(LN(Cotacao!R117/Cotacao!R116),I115)</f>
        <v>1.9940186068644495E-3</v>
      </c>
      <c r="J116" s="6">
        <f>IFERROR(LN(Cotacao!T117/Cotacao!T116),J115)</f>
        <v>1.0330670387879361E-2</v>
      </c>
      <c r="K116" s="6">
        <f>IFERROR(LN(Cotacao!V117/Cotacao!V116),K115)</f>
        <v>1.594930140767804E-2</v>
      </c>
      <c r="L116" s="6">
        <f>IFERROR(LN(Cotacao!X117/Cotacao!X116),L115)</f>
        <v>1.5241615968617041E-2</v>
      </c>
      <c r="M116" s="6">
        <f>IFERROR(LN(Profit!B116/Profit!B115),M115)</f>
        <v>-7.7078744612671746E-3</v>
      </c>
      <c r="N116" s="6">
        <f>IFERROR(LN(Cotacao!AB117/Cotacao!AB116),N115)</f>
        <v>1.2165052026710078E-2</v>
      </c>
      <c r="O116" s="6">
        <f>IFERROR(LN(Cotacao!AD117/Cotacao!AD116),O115)</f>
        <v>2.5700348250403378E-3</v>
      </c>
      <c r="P116" s="6">
        <f>IFERROR(LN(Cotacao!AF117/Cotacao!AF116),P115)</f>
        <v>3.0513670056381251E-3</v>
      </c>
      <c r="Q116" s="6">
        <f>IFERROR(LN(Cotacao!AH117/Cotacao!AH116),Q115)</f>
        <v>1.7511435547966007E-3</v>
      </c>
      <c r="R116" s="6">
        <f>IFERROR(LN(Cotacao!AJ117/Cotacao!AJ116),R115)</f>
        <v>9.950330853168092E-3</v>
      </c>
      <c r="S116" s="6">
        <f>IFERROR(LN(Cotacao!AL117/Cotacao!AL116),S115)</f>
        <v>-9.6735941783784429E-3</v>
      </c>
      <c r="T116" s="6">
        <f>IFERROR(LN(Cotacao!AN117/Cotacao!AN116),T115)</f>
        <v>-4.0001353317827129E-2</v>
      </c>
      <c r="U116" s="6">
        <f>IFERROR(LN(Cotacao!AP117/Cotacao!AP116),U115)</f>
        <v>0</v>
      </c>
      <c r="V116" s="6">
        <f>IFERROR(LN(Cotacao!AR117/Cotacao!AR116),V115)</f>
        <v>2.5542798050967007E-3</v>
      </c>
      <c r="W116" s="6">
        <f>IFERROR(LN(Cotacao!AT117/Cotacao!AT116),W115)</f>
        <v>-8.9017387900622649E-4</v>
      </c>
      <c r="X116" s="6">
        <f>IFERROR(LN(Cotacao!AV117/Cotacao!AV116),X115)</f>
        <v>1.3889112160667093E-2</v>
      </c>
      <c r="Y116" s="6">
        <f>IFERROR(LN(Cotacao!AX117/Cotacao!AX116),Y115)</f>
        <v>7.9747996373973447E-5</v>
      </c>
      <c r="Z116" s="6">
        <f>IFERROR(LN(Cotacao!AZ117/Cotacao!AZ116),Z115)</f>
        <v>-1.5810606026642315E-2</v>
      </c>
      <c r="AA116" s="6">
        <f>IFERROR(LN(Cotacao!BB117/Cotacao!BB116),AA115)</f>
        <v>6.1191817349135523E-3</v>
      </c>
      <c r="AB116" s="6">
        <f>IFERROR(LN(Cotacao!BD117/Cotacao!BD116),AB115)</f>
        <v>4.0998190450584976E-2</v>
      </c>
      <c r="AC116" s="6">
        <f>IFERROR(LN(Cotacao!BF117/Cotacao!BF116),AC115)</f>
        <v>2.7063615977430673E-3</v>
      </c>
      <c r="AD116" s="6">
        <f>IFERROR(LN(Cotacao!BH117/Cotacao!BH116),AD115)</f>
        <v>9.0208672257140569E-3</v>
      </c>
      <c r="AE116" s="6">
        <f>IFERROR(LN(Cotacao!BJ117/Cotacao!BJ116),AE115)</f>
        <v>2.7739268827252244E-3</v>
      </c>
      <c r="AF116" s="6">
        <f>IFERROR(LN(Cotacao!BL117/Cotacao!BL116),AF115)</f>
        <v>-2.5678131652836732E-2</v>
      </c>
      <c r="AG116" s="6">
        <f>IFERROR(LN(Cotacao!BN117/Cotacao!BN116),AG115)</f>
        <v>-2.9976404700263859E-2</v>
      </c>
      <c r="AH116" s="6">
        <f>IFERROR(LN(Cotacao!BP117/Cotacao!BP116),AH115)</f>
        <v>-4.6235221069266608E-3</v>
      </c>
      <c r="AI116" s="6">
        <f>IFERROR(LN(Cotacao!BR117/Cotacao!BR116),AI115)</f>
        <v>8.6158989627686394E-3</v>
      </c>
      <c r="AJ116" s="6">
        <f>IFERROR(LN(Profit!C116/Profit!C115),AJ115)</f>
        <v>7.1174677688639549E-3</v>
      </c>
      <c r="AK116" s="6">
        <f>IFERROR(LN(Cotacao!BV117/Cotacao!BV116),AK115)</f>
        <v>-1.3373978335393334E-3</v>
      </c>
      <c r="AL116" s="6">
        <f>IFERROR(LN(Cotacao!BX117/Cotacao!BX116),AL115)</f>
        <v>-1.0055305020187607E-3</v>
      </c>
      <c r="AN116" s="44" t="s">
        <v>16</v>
      </c>
      <c r="AO116" s="44">
        <v>5.2427005513340725E-4</v>
      </c>
      <c r="AP116" s="44">
        <v>2.460600576185815E-4</v>
      </c>
      <c r="AQ116" s="44">
        <v>2.8605242835469792E-4</v>
      </c>
      <c r="AR116" s="44">
        <v>6.9999768109807437E-4</v>
      </c>
      <c r="AS116" s="44">
        <v>4.2914989168664036E-4</v>
      </c>
      <c r="AT116" s="44">
        <v>3.7689505609893558E-4</v>
      </c>
      <c r="AU116" s="44">
        <v>3.6100818966785673E-4</v>
      </c>
      <c r="AV116" s="44">
        <v>5.3906363618792916E-4</v>
      </c>
      <c r="AW116" s="44">
        <v>5.1822489310206438E-4</v>
      </c>
      <c r="AX116" s="44">
        <v>4.4686534268661694E-4</v>
      </c>
      <c r="AY116" s="44">
        <v>2.8541388159082252E-4</v>
      </c>
      <c r="AZ116" s="44">
        <v>1.7092783055564588E-4</v>
      </c>
      <c r="BA116" s="44">
        <v>-2.1488254549838363E-6</v>
      </c>
      <c r="BB116" s="44">
        <f>VARP(Valorização!$O$2:$O$247)</f>
        <v>1.05762325175604E-3</v>
      </c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</row>
    <row r="117" spans="1:75">
      <c r="A117" s="3" t="str">
        <f>Cotacao!C117</f>
        <v>12/9/2019 16:56:00</v>
      </c>
      <c r="B117" s="6">
        <f>IFERROR(LN(Cotacao!D118/Cotacao!D117),B116)</f>
        <v>1.3308687251168265E-2</v>
      </c>
      <c r="C117" s="6">
        <f>IFERROR(LN(Cotacao!F118/Cotacao!F117),C116)</f>
        <v>-1.1811701670713522E-2</v>
      </c>
      <c r="D117" s="6">
        <f>IFERROR(LN(Cotacao!H118/Cotacao!H117),D116)</f>
        <v>-4.8538662354505073E-3</v>
      </c>
      <c r="E117" s="6">
        <f>IFERROR(LN(Cotacao!J118/Cotacao!J117),E116)</f>
        <v>3.2789822822990755E-2</v>
      </c>
      <c r="F117" s="6">
        <f>IFERROR(LN(Cotacao!L118/Cotacao!L117),F116)</f>
        <v>4.9127979371779186E-4</v>
      </c>
      <c r="G117" s="6">
        <f>IFERROR(LN(Cotacao!N118/Cotacao!N117),G116)</f>
        <v>-1.4630580517603286E-3</v>
      </c>
      <c r="H117" s="6">
        <f>IFERROR(LN(Cotacao!P118/Cotacao!P117),H116)</f>
        <v>-6.4123336101283117E-3</v>
      </c>
      <c r="I117" s="6">
        <f>IFERROR(LN(Cotacao!R118/Cotacao!R117),I116)</f>
        <v>-5.1927418460564357E-3</v>
      </c>
      <c r="J117" s="6">
        <f>IFERROR(LN(Cotacao!T118/Cotacao!T117),J116)</f>
        <v>4.1025698567776839E-3</v>
      </c>
      <c r="K117" s="6">
        <f>IFERROR(LN(Cotacao!V118/Cotacao!V117),K116)</f>
        <v>1.5810279973187732E-3</v>
      </c>
      <c r="L117" s="6">
        <f>IFERROR(LN(Cotacao!X118/Cotacao!X117),L116)</f>
        <v>1.5012792389185134E-2</v>
      </c>
      <c r="M117" s="6">
        <f>IFERROR(LN(Profit!B117/Profit!B116),M116)</f>
        <v>1.1721745933101916E-2</v>
      </c>
      <c r="N117" s="6">
        <f>IFERROR(LN(Cotacao!AB118/Cotacao!AB117),N116)</f>
        <v>-3.1397200046676412E-3</v>
      </c>
      <c r="O117" s="6">
        <f>IFERROR(LN(Cotacao!AD118/Cotacao!AD117),O116)</f>
        <v>-5.1466917517689172E-3</v>
      </c>
      <c r="P117" s="6">
        <f>IFERROR(LN(Cotacao!AF118/Cotacao!AF117),P116)</f>
        <v>-6.7727737096201827E-4</v>
      </c>
      <c r="Q117" s="6">
        <f>IFERROR(LN(Cotacao!AH118/Cotacao!AH117),Q116)</f>
        <v>-4.6765478839017934E-3</v>
      </c>
      <c r="R117" s="6">
        <f>IFERROR(LN(Cotacao!AJ118/Cotacao!AJ117),R116)</f>
        <v>-5.0686486552009224E-3</v>
      </c>
      <c r="S117" s="6">
        <f>IFERROR(LN(Cotacao!AL118/Cotacao!AL117),S116)</f>
        <v>2.4271856576111375E-3</v>
      </c>
      <c r="T117" s="6">
        <f>IFERROR(LN(Cotacao!AN118/Cotacao!AN117),T116)</f>
        <v>9.5984571219381136E-3</v>
      </c>
      <c r="U117" s="6">
        <f>IFERROR(LN(Cotacao!AP118/Cotacao!AP117),U116)</f>
        <v>7.5031615031553147E-3</v>
      </c>
      <c r="V117" s="6">
        <f>IFERROR(LN(Cotacao!AR118/Cotacao!AR117),V116)</f>
        <v>-9.3977624587712732E-3</v>
      </c>
      <c r="W117" s="6">
        <f>IFERROR(LN(Cotacao!AT118/Cotacao!AT117),W116)</f>
        <v>-8.5878201577473303E-3</v>
      </c>
      <c r="X117" s="6">
        <f>IFERROR(LN(Cotacao!AV118/Cotacao!AV117),X116)</f>
        <v>6.0506235199051465E-3</v>
      </c>
      <c r="Y117" s="6">
        <f>IFERROR(LN(Cotacao!AX118/Cotacao!AX117),Y116)</f>
        <v>-7.9747996373947996E-5</v>
      </c>
      <c r="Z117" s="6">
        <f>IFERROR(LN(Cotacao!AZ118/Cotacao!AZ117),Z116)</f>
        <v>-3.9920212695373379E-3</v>
      </c>
      <c r="AA117" s="6">
        <f>IFERROR(LN(Cotacao!BB118/Cotacao!BB117),AA116)</f>
        <v>5.9223862579915439E-3</v>
      </c>
      <c r="AB117" s="6">
        <f>IFERROR(LN(Cotacao!BD118/Cotacao!BD117),AB116)</f>
        <v>-2.6462042432734562E-3</v>
      </c>
      <c r="AC117" s="6">
        <f>IFERROR(LN(Cotacao!BF118/Cotacao!BF117),AC116)</f>
        <v>0</v>
      </c>
      <c r="AD117" s="6">
        <f>IFERROR(LN(Cotacao!BH118/Cotacao!BH117),AD116)</f>
        <v>-3.5080973895579078E-2</v>
      </c>
      <c r="AE117" s="6">
        <f>IFERROR(LN(Cotacao!BJ118/Cotacao!BJ117),AE116)</f>
        <v>8.220962739379882E-3</v>
      </c>
      <c r="AF117" s="6">
        <f>IFERROR(LN(Cotacao!BL118/Cotacao!BL117),AF116)</f>
        <v>1.8785227815979943E-3</v>
      </c>
      <c r="AG117" s="6">
        <f>IFERROR(LN(Cotacao!BN118/Cotacao!BN117),AG116)</f>
        <v>-1.8213125222086141E-2</v>
      </c>
      <c r="AH117" s="6">
        <f>IFERROR(LN(Cotacao!BP118/Cotacao!BP117),AH116)</f>
        <v>7.5845375949044102E-3</v>
      </c>
      <c r="AI117" s="6">
        <f>IFERROR(LN(Cotacao!BR118/Cotacao!BR117),AI116)</f>
        <v>6.6914747820453922E-3</v>
      </c>
      <c r="AJ117" s="6">
        <f>IFERROR(LN(Profit!C117/Profit!C116),AJ116)</f>
        <v>7.0671672230923528E-3</v>
      </c>
      <c r="AK117" s="6">
        <f>IFERROR(LN(Cotacao!BV118/Cotacao!BV117),AK116)</f>
        <v>-2.7540829187932729E-3</v>
      </c>
      <c r="AL117" s="6">
        <f>IFERROR(LN(Cotacao!BX118/Cotacao!BX117),AL116)</f>
        <v>-6.7091582523352313E-4</v>
      </c>
      <c r="AN117" s="44" t="s">
        <v>17</v>
      </c>
      <c r="AO117" s="44">
        <v>7.9272261754467061E-4</v>
      </c>
      <c r="AP117" s="44">
        <v>4.8020981598216725E-4</v>
      </c>
      <c r="AQ117" s="44">
        <v>4.7376633122424348E-4</v>
      </c>
      <c r="AR117" s="44">
        <v>8.9754554155807521E-4</v>
      </c>
      <c r="AS117" s="44">
        <v>5.7124366705063503E-4</v>
      </c>
      <c r="AT117" s="44">
        <v>5.5821144249680891E-4</v>
      </c>
      <c r="AU117" s="44">
        <v>5.3275656048129832E-4</v>
      </c>
      <c r="AV117" s="44">
        <v>6.3098560823925164E-4</v>
      </c>
      <c r="AW117" s="44">
        <v>9.4327334439748374E-4</v>
      </c>
      <c r="AX117" s="44">
        <v>7.9514104508207324E-4</v>
      </c>
      <c r="AY117" s="44">
        <v>4.6567275175923319E-4</v>
      </c>
      <c r="AZ117" s="44">
        <v>3.7174731803752141E-4</v>
      </c>
      <c r="BA117" s="44">
        <v>-3.775045896950955E-5</v>
      </c>
      <c r="BB117" s="44">
        <v>6.3738358386330996E-4</v>
      </c>
      <c r="BC117" s="44">
        <f>VARP(Valorização!$P$2:$P$247)</f>
        <v>1.806116893219481E-3</v>
      </c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</row>
    <row r="118" spans="1:75">
      <c r="A118" s="3" t="str">
        <f>Cotacao!C118</f>
        <v>12/10/2019 16:56:00</v>
      </c>
      <c r="B118" s="6">
        <f>IFERROR(LN(Cotacao!D119/Cotacao!D118),B117)</f>
        <v>3.1679012765566568E-3</v>
      </c>
      <c r="C118" s="6">
        <f>IFERROR(LN(Cotacao!F119/Cotacao!F118),C117)</f>
        <v>4.4113664038774661E-3</v>
      </c>
      <c r="D118" s="6">
        <f>IFERROR(LN(Cotacao!H119/Cotacao!H118),D117)</f>
        <v>1.0103222121594105E-2</v>
      </c>
      <c r="E118" s="6">
        <f>IFERROR(LN(Cotacao!J119/Cotacao!J118),E117)</f>
        <v>-1.9544596072970169E-2</v>
      </c>
      <c r="F118" s="6">
        <f>IFERROR(LN(Cotacao!L119/Cotacao!L118),F117)</f>
        <v>6.8526944620405277E-3</v>
      </c>
      <c r="G118" s="6">
        <f>IFERROR(LN(Cotacao!N119/Cotacao!N118),G117)</f>
        <v>-2.9325534212777528E-3</v>
      </c>
      <c r="H118" s="6">
        <f>IFERROR(LN(Cotacao!P119/Cotacao!P118),H117)</f>
        <v>-6.7774989140870906E-3</v>
      </c>
      <c r="I118" s="6">
        <f>IFERROR(LN(Cotacao!R119/Cotacao!R118),I117)</f>
        <v>-1.6032067562152478E-3</v>
      </c>
      <c r="J118" s="6">
        <f>IFERROR(LN(Cotacao!T119/Cotacao!T118),J117)</f>
        <v>5.6136917006336315E-3</v>
      </c>
      <c r="K118" s="6">
        <f>IFERROR(LN(Cotacao!V119/Cotacao!V118),K117)</f>
        <v>2.8039220064392908E-2</v>
      </c>
      <c r="L118" s="6">
        <f>IFERROR(LN(Cotacao!X119/Cotacao!X118),L117)</f>
        <v>1.2409515553216527E-3</v>
      </c>
      <c r="M118" s="6">
        <f>IFERROR(LN(Profit!B118/Profit!B117),M117)</f>
        <v>-4.3795690440214998E-3</v>
      </c>
      <c r="N118" s="6">
        <f>IFERROR(LN(Cotacao!AB119/Cotacao!AB118),N117)</f>
        <v>1.0723963362975642E-2</v>
      </c>
      <c r="O118" s="6">
        <f>IFERROR(LN(Cotacao!AD119/Cotacao!AD118),O117)</f>
        <v>1.3835731852650008E-2</v>
      </c>
      <c r="P118" s="6">
        <f>IFERROR(LN(Cotacao!AF119/Cotacao!AF118),P117)</f>
        <v>1.4461324829186537E-2</v>
      </c>
      <c r="Q118" s="6">
        <f>IFERROR(LN(Cotacao!AH119/Cotacao!AH118),Q117)</f>
        <v>1.2229600156152994E-2</v>
      </c>
      <c r="R118" s="6">
        <f>IFERROR(LN(Cotacao!AJ119/Cotacao!AJ118),R117)</f>
        <v>5.4898786530049332E-3</v>
      </c>
      <c r="S118" s="6">
        <f>IFERROR(LN(Cotacao!AL119/Cotacao!AL118),S117)</f>
        <v>6.0423144559626617E-3</v>
      </c>
      <c r="T118" s="6">
        <f>IFERROR(LN(Cotacao!AN119/Cotacao!AN118),T117)</f>
        <v>-1.5094342488544033E-3</v>
      </c>
      <c r="U118" s="6">
        <f>IFERROR(LN(Cotacao!AP119/Cotacao!AP118),U117)</f>
        <v>4.9710127220204021E-3</v>
      </c>
      <c r="V118" s="6">
        <f>IFERROR(LN(Cotacao!AR119/Cotacao!AR118),V117)</f>
        <v>4.2826617920007281E-3</v>
      </c>
      <c r="W118" s="6">
        <f>IFERROR(LN(Cotacao!AT119/Cotacao!AT118),W117)</f>
        <v>8.3119417789506659E-3</v>
      </c>
      <c r="X118" s="6">
        <f>IFERROR(LN(Cotacao!AV119/Cotacao!AV118),X117)</f>
        <v>6.8315609317008592E-3</v>
      </c>
      <c r="Y118" s="6">
        <f>IFERROR(LN(Cotacao!AX119/Cotacao!AX118),Y117)</f>
        <v>8.7687836939206272E-4</v>
      </c>
      <c r="Z118" s="6">
        <f>IFERROR(LN(Cotacao!AZ119/Cotacao!AZ118),Z117)</f>
        <v>-8.0321716972642666E-3</v>
      </c>
      <c r="AA118" s="6">
        <f>IFERROR(LN(Cotacao!BB119/Cotacao!BB118),AA117)</f>
        <v>9.1083027488131248E-3</v>
      </c>
      <c r="AB118" s="6">
        <f>IFERROR(LN(Cotacao!BD119/Cotacao!BD118),AB117)</f>
        <v>-1.1727213290634437E-2</v>
      </c>
      <c r="AC118" s="6">
        <f>IFERROR(LN(Cotacao!BF119/Cotacao!BF118),AC117)</f>
        <v>5.0076337980176085E-2</v>
      </c>
      <c r="AD118" s="6">
        <f>IFERROR(LN(Cotacao!BH119/Cotacao!BH118),AD117)</f>
        <v>1.6071774510031916E-2</v>
      </c>
      <c r="AE118" s="6">
        <f>IFERROR(LN(Cotacao!BJ119/Cotacao!BJ118),AE117)</f>
        <v>1.3155570610177901E-2</v>
      </c>
      <c r="AF118" s="6">
        <f>IFERROR(LN(Cotacao!BL119/Cotacao!BL118),AF117)</f>
        <v>3.3828563921951466E-2</v>
      </c>
      <c r="AG118" s="6">
        <f>IFERROR(LN(Cotacao!BN119/Cotacao!BN118),AG117)</f>
        <v>-1.2689706790431682E-2</v>
      </c>
      <c r="AH118" s="6">
        <f>IFERROR(LN(Cotacao!BP119/Cotacao!BP118),AH117)</f>
        <v>-1.31492458130914E-3</v>
      </c>
      <c r="AI118" s="6">
        <f>IFERROR(LN(Cotacao!BR119/Cotacao!BR118),AI117)</f>
        <v>1.5076586364111235E-2</v>
      </c>
      <c r="AJ118" s="6">
        <f>IFERROR(LN(Profit!C118/Profit!C117),AJ117)</f>
        <v>1.7590154051796245E-3</v>
      </c>
      <c r="AK118" s="6">
        <f>IFERROR(LN(Cotacao!BV119/Cotacao!BV118),AK117)</f>
        <v>2.6336906163657663E-3</v>
      </c>
      <c r="AL118" s="6">
        <f>IFERROR(LN(Cotacao!BX119/Cotacao!BX118),AL117)</f>
        <v>6.6889881507964889E-3</v>
      </c>
      <c r="AN118" s="44" t="s">
        <v>18</v>
      </c>
      <c r="AO118" s="44">
        <v>6.0854305942998038E-4</v>
      </c>
      <c r="AP118" s="44">
        <v>4.4196601904863606E-4</v>
      </c>
      <c r="AQ118" s="44">
        <v>4.175397320881242E-4</v>
      </c>
      <c r="AR118" s="44">
        <v>7.2769903407943854E-4</v>
      </c>
      <c r="AS118" s="44">
        <v>4.6073740600666922E-4</v>
      </c>
      <c r="AT118" s="44">
        <v>5.4784870260699827E-4</v>
      </c>
      <c r="AU118" s="44">
        <v>4.8160261008985253E-4</v>
      </c>
      <c r="AV118" s="44">
        <v>5.7746995662680484E-4</v>
      </c>
      <c r="AW118" s="44">
        <v>7.3884668690257988E-4</v>
      </c>
      <c r="AX118" s="44">
        <v>5.476486626514814E-4</v>
      </c>
      <c r="AY118" s="44">
        <v>2.6023099507250743E-4</v>
      </c>
      <c r="AZ118" s="44">
        <v>2.7817410253282008E-4</v>
      </c>
      <c r="BA118" s="44">
        <v>-5.6022966766148466E-5</v>
      </c>
      <c r="BB118" s="44">
        <v>5.7803776172132392E-4</v>
      </c>
      <c r="BC118" s="44">
        <v>8.0262599095249449E-4</v>
      </c>
      <c r="BD118" s="44">
        <f>VARP(Valorização!$Q$2:$Q$247)</f>
        <v>1.1476240603225309E-3</v>
      </c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</row>
    <row r="119" spans="1:75">
      <c r="A119" s="3" t="str">
        <f>Cotacao!C119</f>
        <v>12/11/2019 16:56:00</v>
      </c>
      <c r="B119" s="6">
        <f>IFERROR(LN(Cotacao!D120/Cotacao!D119),B118)</f>
        <v>2.6529514267466189E-2</v>
      </c>
      <c r="C119" s="6">
        <f>IFERROR(LN(Cotacao!F120/Cotacao!F119),C118)</f>
        <v>4.1180566089173264E-3</v>
      </c>
      <c r="D119" s="6">
        <f>IFERROR(LN(Cotacao!H120/Cotacao!H119),D118)</f>
        <v>1.6739907654661293E-3</v>
      </c>
      <c r="E119" s="6">
        <f>IFERROR(LN(Cotacao!J120/Cotacao!J119),E118)</f>
        <v>6.5574005461590396E-3</v>
      </c>
      <c r="F119" s="6">
        <f>IFERROR(LN(Cotacao!L120/Cotacao!L119),F118)</f>
        <v>1.9493183560496789E-3</v>
      </c>
      <c r="G119" s="6">
        <f>IFERROR(LN(Cotacao!N120/Cotacao!N119),G118)</f>
        <v>-1.4695079793599947E-3</v>
      </c>
      <c r="H119" s="6">
        <f>IFERROR(LN(Cotacao!P120/Cotacao!P119),H118)</f>
        <v>2.2642739740296952E-3</v>
      </c>
      <c r="I119" s="6">
        <f>IFERROR(LN(Cotacao!R120/Cotacao!R119),I118)</f>
        <v>-4.0120361621400272E-4</v>
      </c>
      <c r="J119" s="6">
        <f>IFERROR(LN(Cotacao!T120/Cotacao!T119),J118)</f>
        <v>5.9756111257356193E-2</v>
      </c>
      <c r="K119" s="6">
        <f>IFERROR(LN(Cotacao!V120/Cotacao!V119),K118)</f>
        <v>-1.5480185287899172E-2</v>
      </c>
      <c r="L119" s="6">
        <f>IFERROR(LN(Cotacao!X120/Cotacao!X119),L118)</f>
        <v>-1.2409515553217362E-3</v>
      </c>
      <c r="M119" s="6">
        <f>IFERROR(LN(Profit!B119/Profit!B118),M118)</f>
        <v>-4.398834072483513E-3</v>
      </c>
      <c r="N119" s="6">
        <f>IFERROR(LN(Cotacao!AB120/Cotacao!AB119),N118)</f>
        <v>1.3324452337786948E-3</v>
      </c>
      <c r="O119" s="6">
        <f>IFERROR(LN(Cotacao!AD120/Cotacao!AD119),O118)</f>
        <v>1.0126668817929268E-2</v>
      </c>
      <c r="P119" s="6">
        <f>IFERROR(LN(Cotacao!AF120/Cotacao!AF119),P118)</f>
        <v>8.9746322831351644E-3</v>
      </c>
      <c r="Q119" s="6">
        <f>IFERROR(LN(Cotacao!AH120/Cotacao!AH119),Q118)</f>
        <v>2.1378939845800384E-2</v>
      </c>
      <c r="R119" s="6">
        <f>IFERROR(LN(Cotacao!AJ120/Cotacao!AJ119),R118)</f>
        <v>-1.6989153578184871E-2</v>
      </c>
      <c r="S119" s="6">
        <f>IFERROR(LN(Cotacao!AL120/Cotacao!AL119),S118)</f>
        <v>8.3983696988316411E-3</v>
      </c>
      <c r="T119" s="6">
        <f>IFERROR(LN(Cotacao!AN120/Cotacao!AN119),T118)</f>
        <v>3.3177530056379902E-3</v>
      </c>
      <c r="U119" s="6">
        <f>IFERROR(LN(Cotacao!AP120/Cotacao!AP119),U118)</f>
        <v>2.4762703532632841E-3</v>
      </c>
      <c r="V119" s="6">
        <f>IFERROR(LN(Cotacao!AR120/Cotacao!AR119),V118)</f>
        <v>5.1151006667704089E-3</v>
      </c>
      <c r="W119" s="6">
        <f>IFERROR(LN(Cotacao!AT120/Cotacao!AT119),W118)</f>
        <v>8.2356039006529404E-3</v>
      </c>
      <c r="X119" s="6">
        <f>IFERROR(LN(Cotacao!AV120/Cotacao!AV119),X118)</f>
        <v>-1.2882184451605922E-2</v>
      </c>
      <c r="Y119" s="6">
        <f>IFERROR(LN(Cotacao!AX120/Cotacao!AX119),Y118)</f>
        <v>3.9761483796394168E-3</v>
      </c>
      <c r="Z119" s="6">
        <f>IFERROR(LN(Cotacao!AZ120/Cotacao!AZ119),Z118)</f>
        <v>-1.6260520871780291E-2</v>
      </c>
      <c r="AA119" s="6">
        <f>IFERROR(LN(Cotacao!BB120/Cotacao!BB119),AA118)</f>
        <v>3.26707822895487E-2</v>
      </c>
      <c r="AB119" s="6">
        <f>IFERROR(LN(Cotacao!BD120/Cotacao!BD119),AB118)</f>
        <v>3.8911323164736042E-2</v>
      </c>
      <c r="AC119" s="6">
        <f>IFERROR(LN(Cotacao!BF120/Cotacao!BF119),AC118)</f>
        <v>4.7197514521908623E-2</v>
      </c>
      <c r="AD119" s="6">
        <f>IFERROR(LN(Cotacao!BH120/Cotacao!BH119),AD118)</f>
        <v>2.3345092867251775E-2</v>
      </c>
      <c r="AE119" s="6">
        <f>IFERROR(LN(Cotacao!BJ120/Cotacao!BJ119),AE118)</f>
        <v>-1.3566682314191223E-3</v>
      </c>
      <c r="AF119" s="6">
        <f>IFERROR(LN(Cotacao!BL120/Cotacao!BL119),AF118)</f>
        <v>2.1834275495271664E-2</v>
      </c>
      <c r="AG119" s="6">
        <f>IFERROR(LN(Cotacao!BN120/Cotacao!BN119),AG118)</f>
        <v>1.0550210895152392E-2</v>
      </c>
      <c r="AH119" s="6">
        <f>IFERROR(LN(Cotacao!BP120/Cotacao!BP119),AH118)</f>
        <v>1.8576385572935457E-2</v>
      </c>
      <c r="AI119" s="6">
        <f>IFERROR(LN(Cotacao!BR120/Cotacao!BR119),AI118)</f>
        <v>2.1661496781179467E-2</v>
      </c>
      <c r="AJ119" s="6">
        <f>IFERROR(LN(Profit!C119/Profit!C118),AJ118)</f>
        <v>1.8285228653475403E-2</v>
      </c>
      <c r="AK119" s="6">
        <f>IFERROR(LN(Cotacao!BV120/Cotacao!BV119),AK118)</f>
        <v>1.107602296367661E-2</v>
      </c>
      <c r="AL119" s="6">
        <f>IFERROR(LN(Cotacao!BX120/Cotacao!BX119),AL118)</f>
        <v>-1.6807118316381289E-2</v>
      </c>
      <c r="AN119" s="44" t="s">
        <v>19</v>
      </c>
      <c r="AO119" s="44">
        <v>3.3099254944101873E-4</v>
      </c>
      <c r="AP119" s="44">
        <v>2.3792297281424347E-4</v>
      </c>
      <c r="AQ119" s="44">
        <v>3.0986029701909347E-4</v>
      </c>
      <c r="AR119" s="44">
        <v>3.3870122592804196E-4</v>
      </c>
      <c r="AS119" s="44">
        <v>3.3802265340539251E-4</v>
      </c>
      <c r="AT119" s="44">
        <v>3.2911996574225782E-4</v>
      </c>
      <c r="AU119" s="44">
        <v>2.7491430956353357E-4</v>
      </c>
      <c r="AV119" s="44">
        <v>3.0445611485595492E-4</v>
      </c>
      <c r="AW119" s="44">
        <v>3.5880945545461627E-4</v>
      </c>
      <c r="AX119" s="44">
        <v>4.4244883818282655E-4</v>
      </c>
      <c r="AY119" s="44">
        <v>9.4123811537132952E-5</v>
      </c>
      <c r="AZ119" s="44">
        <v>1.9444422857313576E-4</v>
      </c>
      <c r="BA119" s="44">
        <v>-1.0251878071060255E-4</v>
      </c>
      <c r="BB119" s="44">
        <v>2.5499002871451972E-4</v>
      </c>
      <c r="BC119" s="44">
        <v>4.197714570223343E-4</v>
      </c>
      <c r="BD119" s="44">
        <v>3.8600821964723689E-4</v>
      </c>
      <c r="BE119" s="44">
        <f>VARP(Valorização!$R$2:$R$247)</f>
        <v>6.8971379068653198E-4</v>
      </c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</row>
    <row r="120" spans="1:75">
      <c r="A120" s="3" t="str">
        <f>Cotacao!C120</f>
        <v>12/12/2019 16:56:00</v>
      </c>
      <c r="B120" s="6">
        <f>IFERROR(LN(Cotacao!D121/Cotacao!D120),B119)</f>
        <v>-6.1792163659581201E-3</v>
      </c>
      <c r="C120" s="6">
        <f>IFERROR(LN(Cotacao!F121/Cotacao!F120),C119)</f>
        <v>2.3020650990380455E-2</v>
      </c>
      <c r="D120" s="6">
        <f>IFERROR(LN(Cotacao!H121/Cotacao!H120),D119)</f>
        <v>3.3395981779486034E-3</v>
      </c>
      <c r="E120" s="6">
        <f>IFERROR(LN(Cotacao!J121/Cotacao!J120),E119)</f>
        <v>2.17627942259567E-3</v>
      </c>
      <c r="F120" s="6">
        <f>IFERROR(LN(Cotacao!L121/Cotacao!L120),F119)</f>
        <v>6.7928451398163482E-3</v>
      </c>
      <c r="G120" s="6">
        <f>IFERROR(LN(Cotacao!N121/Cotacao!N120),G119)</f>
        <v>7.3260400920728812E-3</v>
      </c>
      <c r="H120" s="6">
        <f>IFERROR(LN(Cotacao!P121/Cotacao!P120),H119)</f>
        <v>2.0467615683388691E-2</v>
      </c>
      <c r="I120" s="6">
        <f>IFERROR(LN(Cotacao!R121/Cotacao!R120),I119)</f>
        <v>1.6038495819743989E-3</v>
      </c>
      <c r="J120" s="6">
        <f>IFERROR(LN(Cotacao!T121/Cotacao!T120),J119)</f>
        <v>6.0455412306456721E-2</v>
      </c>
      <c r="K120" s="6">
        <f>IFERROR(LN(Cotacao!V121/Cotacao!V120),K119)</f>
        <v>1.3942905969012667E-2</v>
      </c>
      <c r="L120" s="6">
        <f>IFERROR(LN(Cotacao!X121/Cotacao!X120),L119)</f>
        <v>1.3236269305083458E-3</v>
      </c>
      <c r="M120" s="6">
        <f>IFERROR(LN(Profit!B120/Profit!B119),M119)</f>
        <v>4.0330027166566957E-3</v>
      </c>
      <c r="N120" s="6">
        <f>IFERROR(LN(Cotacao!AB121/Cotacao!AB120),N119)</f>
        <v>9.7173909528062916E-3</v>
      </c>
      <c r="O120" s="6">
        <f>IFERROR(LN(Cotacao!AD121/Cotacao!AD120),O119)</f>
        <v>-1.9329187749091238E-2</v>
      </c>
      <c r="P120" s="6">
        <f>IFERROR(LN(Cotacao!AF121/Cotacao!AF120),P119)</f>
        <v>5.566822397895025E-2</v>
      </c>
      <c r="Q120" s="6">
        <f>IFERROR(LN(Cotacao!AH121/Cotacao!AH120),Q119)</f>
        <v>1.5181624167478489E-2</v>
      </c>
      <c r="R120" s="6">
        <f>IFERROR(LN(Cotacao!AJ121/Cotacao!AJ120),R119)</f>
        <v>1.7199702057749996E-2</v>
      </c>
      <c r="S120" s="6">
        <f>IFERROR(LN(Cotacao!AL121/Cotacao!AL120),S119)</f>
        <v>1.4235115821872129E-2</v>
      </c>
      <c r="T120" s="6">
        <f>IFERROR(LN(Cotacao!AN121/Cotacao!AN120),T119)</f>
        <v>8.6944034423656578E-3</v>
      </c>
      <c r="U120" s="6">
        <f>IFERROR(LN(Cotacao!AP121/Cotacao!AP120),U119)</f>
        <v>5.7542287832520987E-3</v>
      </c>
      <c r="V120" s="6">
        <f>IFERROR(LN(Cotacao!AR121/Cotacao!AR120),V119)</f>
        <v>2.0202707317519469E-2</v>
      </c>
      <c r="W120" s="6">
        <f>IFERROR(LN(Cotacao!AT121/Cotacao!AT120),W119)</f>
        <v>1.1659764115724973E-2</v>
      </c>
      <c r="X120" s="6">
        <f>IFERROR(LN(Cotacao!AV121/Cotacao!AV120),X119)</f>
        <v>1.3698844358161927E-2</v>
      </c>
      <c r="Y120" s="6">
        <f>IFERROR(LN(Cotacao!AX121/Cotacao!AX120),Y119)</f>
        <v>5.1454694962062121E-3</v>
      </c>
      <c r="Z120" s="6">
        <f>IFERROR(LN(Cotacao!AZ121/Cotacao!AZ120),Z119)</f>
        <v>4.0899852515252876E-3</v>
      </c>
      <c r="AA120" s="6">
        <f>IFERROR(LN(Cotacao!BB121/Cotacao!BB120),AA119)</f>
        <v>-1.5372658196400681E-2</v>
      </c>
      <c r="AB120" s="6">
        <f>IFERROR(LN(Cotacao!BD121/Cotacao!BD120),AB119)</f>
        <v>3.6956875976977985E-2</v>
      </c>
      <c r="AC120" s="6">
        <f>IFERROR(LN(Cotacao!BF121/Cotacao!BF120),AC119)</f>
        <v>7.0071250102312604E-2</v>
      </c>
      <c r="AD120" s="6">
        <f>IFERROR(LN(Cotacao!BH121/Cotacao!BH120),AD119)</f>
        <v>1.8857701674121673E-2</v>
      </c>
      <c r="AE120" s="6">
        <f>IFERROR(LN(Cotacao!BJ121/Cotacao!BJ120),AE119)</f>
        <v>0</v>
      </c>
      <c r="AF120" s="6">
        <f>IFERROR(LN(Cotacao!BL121/Cotacao!BL120),AF119)</f>
        <v>7.3692301065483683E-3</v>
      </c>
      <c r="AG120" s="6">
        <f>IFERROR(LN(Cotacao!BN121/Cotacao!BN120),AG119)</f>
        <v>-6.2305497506360864E-3</v>
      </c>
      <c r="AH120" s="6">
        <f>IFERROR(LN(Cotacao!BP121/Cotacao!BP120),AH119)</f>
        <v>-3.2488501310659695E-2</v>
      </c>
      <c r="AI120" s="6">
        <f>IFERROR(LN(Cotacao!BR121/Cotacao!BR120),AI119)</f>
        <v>4.6406372814155626E-2</v>
      </c>
      <c r="AJ120" s="6">
        <f>IFERROR(LN(Profit!C120/Profit!C119),AJ119)</f>
        <v>1.2859157048290179E-2</v>
      </c>
      <c r="AK120" s="6">
        <f>IFERROR(LN(Cotacao!BV121/Cotacao!BV120),AK119)</f>
        <v>3.2489130509580429E-3</v>
      </c>
      <c r="AL120" s="6">
        <f>IFERROR(LN(Cotacao!BX121/Cotacao!BX120),AL119)</f>
        <v>1.5806617982797564E-2</v>
      </c>
      <c r="AN120" s="44" t="s">
        <v>20</v>
      </c>
      <c r="AO120" s="44">
        <v>6.9818935323781508E-4</v>
      </c>
      <c r="AP120" s="44">
        <v>4.1089233078187785E-4</v>
      </c>
      <c r="AQ120" s="44">
        <v>3.7359410915674532E-4</v>
      </c>
      <c r="AR120" s="44">
        <v>7.0592763460899336E-4</v>
      </c>
      <c r="AS120" s="44">
        <v>5.1607533990722732E-4</v>
      </c>
      <c r="AT120" s="44">
        <v>5.3675164162766173E-4</v>
      </c>
      <c r="AU120" s="44">
        <v>5.138571717546018E-4</v>
      </c>
      <c r="AV120" s="44">
        <v>5.6246000857467101E-4</v>
      </c>
      <c r="AW120" s="44">
        <v>8.5208878800882169E-4</v>
      </c>
      <c r="AX120" s="44">
        <v>7.6722365235144384E-4</v>
      </c>
      <c r="AY120" s="44">
        <v>2.8470382410452581E-4</v>
      </c>
      <c r="AZ120" s="44">
        <v>2.852530724174129E-4</v>
      </c>
      <c r="BA120" s="44">
        <v>-2.4804186730538616E-5</v>
      </c>
      <c r="BB120" s="44">
        <v>5.5258357019648946E-4</v>
      </c>
      <c r="BC120" s="44">
        <v>8.636795694379187E-4</v>
      </c>
      <c r="BD120" s="44">
        <v>6.0631283641643385E-4</v>
      </c>
      <c r="BE120" s="44">
        <v>4.484066822038489E-4</v>
      </c>
      <c r="BF120" s="44">
        <f>VARP(Valorização!$S$2:$S$247)</f>
        <v>1.3112656150256168E-3</v>
      </c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</row>
    <row r="121" spans="1:75">
      <c r="A121" s="3" t="str">
        <f>Cotacao!C121</f>
        <v>12/13/2019 16:56:00</v>
      </c>
      <c r="B121" s="6">
        <f>IFERROR(LN(Cotacao!D122/Cotacao!D121),B120)</f>
        <v>0</v>
      </c>
      <c r="C121" s="6">
        <f>IFERROR(LN(Cotacao!F122/Cotacao!F121),C120)</f>
        <v>-1.4291735773894559E-2</v>
      </c>
      <c r="D121" s="6">
        <f>IFERROR(LN(Cotacao!H122/Cotacao!H121),D120)</f>
        <v>-1.0052440671324242E-2</v>
      </c>
      <c r="E121" s="6">
        <f>IFERROR(LN(Cotacao!J122/Cotacao!J121),E120)</f>
        <v>-1.0929070532190317E-2</v>
      </c>
      <c r="F121" s="6">
        <f>IFERROR(LN(Cotacao!L122/Cotacao!L121),F120)</f>
        <v>-3.3906547378607108E-3</v>
      </c>
      <c r="G121" s="6">
        <f>IFERROR(LN(Cotacao!N122/Cotacao!N121),G120)</f>
        <v>-9.5343589873013446E-3</v>
      </c>
      <c r="H121" s="6">
        <f>IFERROR(LN(Cotacao!P122/Cotacao!P121),H120)</f>
        <v>-1.7563919498975882E-2</v>
      </c>
      <c r="I121" s="6">
        <f>IFERROR(LN(Cotacao!R122/Cotacao!R121),I120)</f>
        <v>2.5317807984290001E-2</v>
      </c>
      <c r="J121" s="6">
        <f>IFERROR(LN(Cotacao!T122/Cotacao!T121),J120)</f>
        <v>8.5374591804948993E-3</v>
      </c>
      <c r="K121" s="6">
        <f>IFERROR(LN(Cotacao!V122/Cotacao!V121),K120)</f>
        <v>2.7315810646962924E-2</v>
      </c>
      <c r="L121" s="6">
        <f>IFERROR(LN(Cotacao!X122/Cotacao!X121),L120)</f>
        <v>-4.2251833703424255E-3</v>
      </c>
      <c r="M121" s="6">
        <f>IFERROR(LN(Profit!B121/Profit!B120),M120)</f>
        <v>-2.2946972818107036E-2</v>
      </c>
      <c r="N121" s="6">
        <f>IFERROR(LN(Cotacao!AB122/Cotacao!AB121),N120)</f>
        <v>-1.7291497110060994E-2</v>
      </c>
      <c r="O121" s="6">
        <f>IFERROR(LN(Cotacao!AD122/Cotacao!AD121),O120)</f>
        <v>1.3265500650415677E-2</v>
      </c>
      <c r="P121" s="6">
        <f>IFERROR(LN(Cotacao!AF122/Cotacao!AF121),P120)</f>
        <v>4.468307554512118E-2</v>
      </c>
      <c r="Q121" s="6">
        <f>IFERROR(LN(Cotacao!AH122/Cotacao!AH121),Q120)</f>
        <v>-7.8431774610257816E-3</v>
      </c>
      <c r="R121" s="6">
        <f>IFERROR(LN(Cotacao!AJ122/Cotacao!AJ121),R120)</f>
        <v>-3.585367122438982E-3</v>
      </c>
      <c r="S121" s="6">
        <f>IFERROR(LN(Cotacao!AL122/Cotacao!AL121),S120)</f>
        <v>2.4434025337282041E-2</v>
      </c>
      <c r="T121" s="6">
        <f>IFERROR(LN(Cotacao!AN122/Cotacao!AN121),T120)</f>
        <v>-7.9920505313378042E-3</v>
      </c>
      <c r="U121" s="6">
        <f>IFERROR(LN(Cotacao!AP122/Cotacao!AP121),U120)</f>
        <v>-1.2786315672376139E-2</v>
      </c>
      <c r="V121" s="6">
        <f>IFERROR(LN(Cotacao!AR122/Cotacao!AR121),V120)</f>
        <v>9.950330853168092E-3</v>
      </c>
      <c r="W121" s="6">
        <f>IFERROR(LN(Cotacao!AT122/Cotacao!AT121),W120)</f>
        <v>3.8642696148851251E-3</v>
      </c>
      <c r="X121" s="6">
        <f>IFERROR(LN(Cotacao!AV122/Cotacao!AV121),X120)</f>
        <v>6.7796869853787691E-3</v>
      </c>
      <c r="Y121" s="6">
        <f>IFERROR(LN(Cotacao!AX122/Cotacao!AX121),Y120)</f>
        <v>-3.5594263405714136E-3</v>
      </c>
      <c r="Z121" s="6">
        <f>IFERROR(LN(Cotacao!AZ122/Cotacao!AZ121),Z120)</f>
        <v>0</v>
      </c>
      <c r="AA121" s="6">
        <f>IFERROR(LN(Cotacao!BB122/Cotacao!BB121),AA120)</f>
        <v>9.0260302803834916E-3</v>
      </c>
      <c r="AB121" s="6">
        <f>IFERROR(LN(Cotacao!BD122/Cotacao!BD121),AB120)</f>
        <v>-1.0994613501091832E-2</v>
      </c>
      <c r="AC121" s="6">
        <f>IFERROR(LN(Cotacao!BF122/Cotacao!BF121),AC120)</f>
        <v>2.5729245965819159E-2</v>
      </c>
      <c r="AD121" s="6">
        <f>IFERROR(LN(Cotacao!BH122/Cotacao!BH121),AD120)</f>
        <v>-3.4023282040925962E-3</v>
      </c>
      <c r="AE121" s="6">
        <f>IFERROR(LN(Cotacao!BJ122/Cotacao!BJ121),AE120)</f>
        <v>4.6051821872504428E-3</v>
      </c>
      <c r="AF121" s="6">
        <f>IFERROR(LN(Cotacao!BL122/Cotacao!BL121),AF120)</f>
        <v>-1.6583145789408012E-2</v>
      </c>
      <c r="AG121" s="6">
        <f>IFERROR(LN(Cotacao!BN122/Cotacao!BN121),AG120)</f>
        <v>-3.8868543859749065E-3</v>
      </c>
      <c r="AH121" s="6">
        <f>IFERROR(LN(Cotacao!BP122/Cotacao!BP121),AH120)</f>
        <v>-1.9195740108548028E-2</v>
      </c>
      <c r="AI121" s="6">
        <f>IFERROR(LN(Cotacao!BR122/Cotacao!BR121),AI120)</f>
        <v>3.4036792560216823E-3</v>
      </c>
      <c r="AJ121" s="6">
        <f>IFERROR(LN(Profit!C121/Profit!C120),AJ120)</f>
        <v>-1.2859157048290114E-2</v>
      </c>
      <c r="AK121" s="6">
        <f>IFERROR(LN(Cotacao!BV122/Cotacao!BV121),AK120)</f>
        <v>-5.9593628945795009E-3</v>
      </c>
      <c r="AL121" s="6">
        <f>IFERROR(LN(Cotacao!BX122/Cotacao!BX121),AL120)</f>
        <v>-5.0175719919794805E-3</v>
      </c>
      <c r="AN121" s="44" t="s">
        <v>21</v>
      </c>
      <c r="AO121" s="44">
        <v>3.6063298245413481E-4</v>
      </c>
      <c r="AP121" s="44">
        <v>1.6711488686648002E-4</v>
      </c>
      <c r="AQ121" s="44">
        <v>1.9911130090181502E-4</v>
      </c>
      <c r="AR121" s="44">
        <v>5.2416261245690344E-4</v>
      </c>
      <c r="AS121" s="44">
        <v>2.6351142941462779E-4</v>
      </c>
      <c r="AT121" s="44">
        <v>2.4753491027070803E-4</v>
      </c>
      <c r="AU121" s="44">
        <v>2.4726564684555535E-4</v>
      </c>
      <c r="AV121" s="44">
        <v>2.5751887734547186E-4</v>
      </c>
      <c r="AW121" s="44">
        <v>5.3000850014422887E-4</v>
      </c>
      <c r="AX121" s="44">
        <v>3.7986672087265608E-4</v>
      </c>
      <c r="AY121" s="44">
        <v>4.1215349668227274E-4</v>
      </c>
      <c r="AZ121" s="44">
        <v>1.4245662793190998E-4</v>
      </c>
      <c r="BA121" s="44">
        <v>-3.1973087911247435E-5</v>
      </c>
      <c r="BB121" s="44">
        <v>2.8058532047391604E-4</v>
      </c>
      <c r="BC121" s="44">
        <v>4.2671985943652151E-4</v>
      </c>
      <c r="BD121" s="44">
        <v>3.1128753002744559E-4</v>
      </c>
      <c r="BE121" s="44">
        <v>1.1934274621410183E-4</v>
      </c>
      <c r="BF121" s="44">
        <v>3.0962058312444021E-4</v>
      </c>
      <c r="BG121" s="44">
        <f>VARP(Valorização!$T$2:$T$247)</f>
        <v>4.9990309731700146E-4</v>
      </c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</row>
    <row r="122" spans="1:75">
      <c r="A122" s="3" t="str">
        <f>Cotacao!C122</f>
        <v>12/16/2019 16:56:00</v>
      </c>
      <c r="B122" s="6">
        <f>IFERROR(LN(Cotacao!D123/Cotacao!D122),B121)</f>
        <v>1.1299555253933247E-2</v>
      </c>
      <c r="C122" s="6">
        <f>IFERROR(LN(Cotacao!F123/Cotacao!F122),C121)</f>
        <v>1.9632202405211879E-2</v>
      </c>
      <c r="D122" s="6">
        <f>IFERROR(LN(Cotacao!H123/Cotacao!H122),D121)</f>
        <v>-4.429919700942692E-3</v>
      </c>
      <c r="E122" s="6">
        <f>IFERROR(LN(Cotacao!J123/Cotacao!J122),E121)</f>
        <v>5.3488684950986222E-2</v>
      </c>
      <c r="F122" s="6">
        <f>IFERROR(LN(Cotacao!L123/Cotacao!L122),F121)</f>
        <v>-5.3515087580051314E-3</v>
      </c>
      <c r="G122" s="6">
        <f>IFERROR(LN(Cotacao!N123/Cotacao!N122),G121)</f>
        <v>1.8978671829888973E-2</v>
      </c>
      <c r="H122" s="6">
        <f>IFERROR(LN(Cotacao!P123/Cotacao!P122),H121)</f>
        <v>1.3122287831431594E-2</v>
      </c>
      <c r="I122" s="6">
        <f>IFERROR(LN(Cotacao!R123/Cotacao!R122),I121)</f>
        <v>3.6813973122716184E-2</v>
      </c>
      <c r="J122" s="6">
        <f>IFERROR(LN(Cotacao!T123/Cotacao!T122),J121)</f>
        <v>-2.1710486370901425E-2</v>
      </c>
      <c r="K122" s="6">
        <f>IFERROR(LN(Cotacao!V123/Cotacao!V122),K121)</f>
        <v>-2.2711044260214534E-2</v>
      </c>
      <c r="L122" s="6">
        <f>IFERROR(LN(Cotacao!X123/Cotacao!X122),L121)</f>
        <v>1.0735032901818771E-2</v>
      </c>
      <c r="M122" s="6">
        <f>IFERROR(LN(Profit!B122/Profit!B121),M121)</f>
        <v>-2.624181449681154E-3</v>
      </c>
      <c r="N122" s="6">
        <f>IFERROR(LN(Cotacao!AB123/Cotacao!AB122),N121)</f>
        <v>5.7971176843259146E-3</v>
      </c>
      <c r="O122" s="6">
        <f>IFERROR(LN(Cotacao!AD123/Cotacao!AD122),O121)</f>
        <v>5.3293320371019068E-2</v>
      </c>
      <c r="P122" s="6">
        <f>IFERROR(LN(Cotacao!AF123/Cotacao!AF122),P121)</f>
        <v>2.0442127920806085E-2</v>
      </c>
      <c r="Q122" s="6">
        <f>IFERROR(LN(Cotacao!AH123/Cotacao!AH122),Q121)</f>
        <v>1.4986889279464803E-3</v>
      </c>
      <c r="R122" s="6">
        <f>IFERROR(LN(Cotacao!AJ123/Cotacao!AJ122),R121)</f>
        <v>1.266892061340282E-3</v>
      </c>
      <c r="S122" s="6">
        <f>IFERROR(LN(Cotacao!AL123/Cotacao!AL122),S121)</f>
        <v>-4.6083030861941068E-3</v>
      </c>
      <c r="T122" s="6">
        <f>IFERROR(LN(Cotacao!AN123/Cotacao!AN122),T121)</f>
        <v>-1.8070479769233998E-3</v>
      </c>
      <c r="U122" s="6">
        <f>IFERROR(LN(Cotacao!AP123/Cotacao!AP122),U121)</f>
        <v>2.1030923819813242E-2</v>
      </c>
      <c r="V122" s="6">
        <f>IFERROR(LN(Cotacao!AR123/Cotacao!AR122),V121)</f>
        <v>2.6863642269548252E-2</v>
      </c>
      <c r="W122" s="6">
        <f>IFERROR(LN(Cotacao!AT123/Cotacao!AT122),W121)</f>
        <v>-8.5041100063006428E-3</v>
      </c>
      <c r="X122" s="6">
        <f>IFERROR(LN(Cotacao!AV123/Cotacao!AV122),X121)</f>
        <v>6.801144023253671E-3</v>
      </c>
      <c r="Y122" s="6">
        <f>IFERROR(LN(Cotacao!AX123/Cotacao!AX122),Y121)</f>
        <v>-3.9627502004601907E-4</v>
      </c>
      <c r="Z122" s="6">
        <f>IFERROR(LN(Cotacao!AZ123/Cotacao!AZ122),Z121)</f>
        <v>8.1301260832503091E-3</v>
      </c>
      <c r="AA122" s="6">
        <f>IFERROR(LN(Cotacao!BB123/Cotacao!BB122),AA121)</f>
        <v>1.2315272492467364E-3</v>
      </c>
      <c r="AB122" s="6">
        <f>IFERROR(LN(Cotacao!BD123/Cotacao!BD122),AB121)</f>
        <v>-7.0600394107248072E-3</v>
      </c>
      <c r="AC122" s="6">
        <f>IFERROR(LN(Cotacao!BF123/Cotacao!BF122),AC121)</f>
        <v>2.6702285558788921E-3</v>
      </c>
      <c r="AD122" s="6">
        <f>IFERROR(LN(Cotacao!BH123/Cotacao!BH122),AD121)</f>
        <v>1.4940376564320918E-2</v>
      </c>
      <c r="AE122" s="6">
        <f>IFERROR(LN(Cotacao!BJ123/Cotacao!BJ122),AE121)</f>
        <v>1.3956211493799558E-2</v>
      </c>
      <c r="AF122" s="6">
        <f>IFERROR(LN(Cotacao!BL123/Cotacao!BL122),AF121)</f>
        <v>1.3936474637033344E-2</v>
      </c>
      <c r="AG122" s="6">
        <f>IFERROR(LN(Cotacao!BN123/Cotacao!BN122),AG121)</f>
        <v>3.3403807743832198E-2</v>
      </c>
      <c r="AH122" s="6">
        <f>IFERROR(LN(Cotacao!BP123/Cotacao!BP122),AH121)</f>
        <v>1.485008727270753E-2</v>
      </c>
      <c r="AI122" s="6">
        <f>IFERROR(LN(Cotacao!BR123/Cotacao!BR122),AI121)</f>
        <v>1.5843918151259202E-2</v>
      </c>
      <c r="AJ122" s="6">
        <f>IFERROR(LN(Profit!C122/Profit!C121),AJ121)</f>
        <v>1.5411263920524946E-2</v>
      </c>
      <c r="AK122" s="6">
        <f>IFERROR(LN(Cotacao!BV123/Cotacao!BV122),AK121)</f>
        <v>6.4105564601847154E-3</v>
      </c>
      <c r="AL122" s="6">
        <f>IFERROR(LN(Cotacao!BX123/Cotacao!BX122),AL121)</f>
        <v>-4.0322635279384511E-3</v>
      </c>
      <c r="AN122" s="44" t="s">
        <v>22</v>
      </c>
      <c r="AO122" s="44">
        <v>1.9743952575880514E-4</v>
      </c>
      <c r="AP122" s="44">
        <v>1.2895870488377405E-4</v>
      </c>
      <c r="AQ122" s="44">
        <v>1.2245643115641806E-4</v>
      </c>
      <c r="AR122" s="44">
        <v>2.7689163577566831E-4</v>
      </c>
      <c r="AS122" s="44">
        <v>1.5744278275253411E-4</v>
      </c>
      <c r="AT122" s="44">
        <v>1.4404813400024913E-4</v>
      </c>
      <c r="AU122" s="44">
        <v>1.4387491479612044E-4</v>
      </c>
      <c r="AV122" s="44">
        <v>1.4579231588194417E-4</v>
      </c>
      <c r="AW122" s="44">
        <v>3.1460804947546829E-4</v>
      </c>
      <c r="AX122" s="44">
        <v>2.2354778269310712E-4</v>
      </c>
      <c r="AY122" s="44">
        <v>2.2969858323889159E-4</v>
      </c>
      <c r="AZ122" s="44">
        <v>9.444522551723143E-5</v>
      </c>
      <c r="BA122" s="44">
        <v>-2.6588606455583591E-5</v>
      </c>
      <c r="BB122" s="44">
        <v>1.7511138615445716E-4</v>
      </c>
      <c r="BC122" s="44">
        <v>2.784631720967487E-4</v>
      </c>
      <c r="BD122" s="44">
        <v>1.9879342454310651E-4</v>
      </c>
      <c r="BE122" s="44">
        <v>6.9772869486058994E-5</v>
      </c>
      <c r="BF122" s="44">
        <v>1.9073436048481625E-4</v>
      </c>
      <c r="BG122" s="44">
        <v>1.8197732307930698E-4</v>
      </c>
      <c r="BH122" s="44">
        <f>VARP(Valorização!$U$2:$U$247)</f>
        <v>2.2154054744187473E-4</v>
      </c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</row>
    <row r="123" spans="1:75">
      <c r="A123" s="3" t="str">
        <f>Cotacao!C123</f>
        <v>12/17/2019 16:56:00</v>
      </c>
      <c r="B123" s="6">
        <f>IFERROR(LN(Cotacao!D124/Cotacao!D123),B122)</f>
        <v>-1.0219724956930802E-3</v>
      </c>
      <c r="C123" s="6">
        <f>IFERROR(LN(Cotacao!F124/Cotacao!F123),C122)</f>
        <v>1.2701943730024579E-2</v>
      </c>
      <c r="D123" s="6">
        <f>IFERROR(LN(Cotacao!H124/Cotacao!H123),D122)</f>
        <v>4.9092142127336119E-2</v>
      </c>
      <c r="E123" s="6">
        <f>IFERROR(LN(Cotacao!J124/Cotacao!J123),E122)</f>
        <v>6.2583486301767716E-2</v>
      </c>
      <c r="F123" s="6">
        <f>IFERROR(LN(Cotacao!L124/Cotacao!L123),F122)</f>
        <v>1.0674531246919824E-2</v>
      </c>
      <c r="G123" s="6">
        <f>IFERROR(LN(Cotacao!N124/Cotacao!N123),G122)</f>
        <v>1.0072027592203723E-2</v>
      </c>
      <c r="H123" s="6">
        <f>IFERROR(LN(Cotacao!P124/Cotacao!P123),H122)</f>
        <v>3.4915128312239915E-3</v>
      </c>
      <c r="I123" s="6">
        <f>IFERROR(LN(Cotacao!R124/Cotacao!R123),I122)</f>
        <v>1.6430541396095955E-2</v>
      </c>
      <c r="J123" s="6">
        <f>IFERROR(LN(Cotacao!T124/Cotacao!T123),J122)</f>
        <v>-1.5204162960434047E-2</v>
      </c>
      <c r="K123" s="6">
        <f>IFERROR(LN(Cotacao!V124/Cotacao!V123),K122)</f>
        <v>6.1068892081794805E-3</v>
      </c>
      <c r="L123" s="6">
        <f>IFERROR(LN(Cotacao!X124/Cotacao!X123),L122)</f>
        <v>2.0512827705573612E-3</v>
      </c>
      <c r="M123" s="6">
        <f>IFERROR(LN(Profit!B123/Profit!B122),M122)</f>
        <v>1.0084119066626008E-2</v>
      </c>
      <c r="N123" s="6">
        <f>IFERROR(LN(Cotacao!AB124/Cotacao!AB123),N122)</f>
        <v>-1.7801517829609459E-3</v>
      </c>
      <c r="O123" s="6">
        <f>IFERROR(LN(Cotacao!AD124/Cotacao!AD123),O122)</f>
        <v>2.4211958892100777E-2</v>
      </c>
      <c r="P123" s="6">
        <f>IFERROR(LN(Cotacao!AF124/Cotacao!AF123),P122)</f>
        <v>3.0611688527505072E-2</v>
      </c>
      <c r="Q123" s="6">
        <f>IFERROR(LN(Cotacao!AH124/Cotacao!AH123),Q122)</f>
        <v>9.3554127882525078E-4</v>
      </c>
      <c r="R123" s="6">
        <f>IFERROR(LN(Cotacao!AJ124/Cotacao!AJ123),R122)</f>
        <v>7.1488950383082868E-3</v>
      </c>
      <c r="S123" s="6">
        <f>IFERROR(LN(Cotacao!AL124/Cotacao!AL123),S122)</f>
        <v>6.9045153465444858E-3</v>
      </c>
      <c r="T123" s="6">
        <f>IFERROR(LN(Cotacao!AN124/Cotacao!AN123),T122)</f>
        <v>-4.0201005566536469E-4</v>
      </c>
      <c r="U123" s="6">
        <f>IFERROR(LN(Cotacao!AP124/Cotacao!AP123),U122)</f>
        <v>1.3645199805297135E-2</v>
      </c>
      <c r="V123" s="6">
        <f>IFERROR(LN(Cotacao!AR124/Cotacao!AR123),V122)</f>
        <v>3.1623188430512143E-2</v>
      </c>
      <c r="W123" s="6">
        <f>IFERROR(LN(Cotacao!AT124/Cotacao!AT123),W122)</f>
        <v>9.273636785329253E-3</v>
      </c>
      <c r="X123" s="6">
        <f>IFERROR(LN(Cotacao!AV124/Cotacao!AV123),X122)</f>
        <v>9.8167672054060642E-3</v>
      </c>
      <c r="Y123" s="6">
        <f>IFERROR(LN(Cotacao!AX124/Cotacao!AX123),Y122)</f>
        <v>2.7706330805081199E-3</v>
      </c>
      <c r="Z123" s="6">
        <f>IFERROR(LN(Cotacao!AZ124/Cotacao!AZ123),Z122)</f>
        <v>1.007057856359609E-2</v>
      </c>
      <c r="AA123" s="6">
        <f>IFERROR(LN(Cotacao!BB124/Cotacao!BB123),AA122)</f>
        <v>-9.428928345545028E-3</v>
      </c>
      <c r="AB123" s="6">
        <f>IFERROR(LN(Cotacao!BD124/Cotacao!BD123),AB122)</f>
        <v>5.608946665104337E-2</v>
      </c>
      <c r="AC123" s="6">
        <f>IFERROR(LN(Cotacao!BF124/Cotacao!BF123),AC122)</f>
        <v>7.9681696491768813E-3</v>
      </c>
      <c r="AD123" s="6">
        <f>IFERROR(LN(Cotacao!BH124/Cotacao!BH123),AD122)</f>
        <v>2.9227335443603144E-2</v>
      </c>
      <c r="AE123" s="6">
        <f>IFERROR(LN(Cotacao!BJ124/Cotacao!BJ123),AE122)</f>
        <v>2.129926257824849E-3</v>
      </c>
      <c r="AF123" s="6">
        <f>IFERROR(LN(Cotacao!BL124/Cotacao!BL123),AF122)</f>
        <v>-1.7683470567420034E-3</v>
      </c>
      <c r="AG123" s="6">
        <f>IFERROR(LN(Cotacao!BN124/Cotacao!BN123),AG122)</f>
        <v>1.5983734161176068E-2</v>
      </c>
      <c r="AH123" s="6">
        <f>IFERROR(LN(Cotacao!BP124/Cotacao!BP123),AH122)</f>
        <v>2.2852459951875227E-2</v>
      </c>
      <c r="AI123" s="6">
        <f>IFERROR(LN(Cotacao!BR124/Cotacao!BR123),AI122)</f>
        <v>-9.4086715569879908E-3</v>
      </c>
      <c r="AJ123" s="6">
        <f>IFERROR(LN(Profit!C123/Profit!C122),AJ122)</f>
        <v>-5.9650794684749054E-3</v>
      </c>
      <c r="AK123" s="6">
        <f>IFERROR(LN(Cotacao!BV124/Cotacao!BV123),AK122)</f>
        <v>1.4973951654146358E-2</v>
      </c>
      <c r="AL123" s="6">
        <f>IFERROR(LN(Cotacao!BX124/Cotacao!BX123),AL122)</f>
        <v>1.0050335853501506E-2</v>
      </c>
      <c r="AN123" s="44" t="s">
        <v>23</v>
      </c>
      <c r="AO123" s="44">
        <v>2.2454664319205588E-4</v>
      </c>
      <c r="AP123" s="44">
        <v>1.630343747664369E-4</v>
      </c>
      <c r="AQ123" s="44">
        <v>1.4888551697530547E-4</v>
      </c>
      <c r="AR123" s="44">
        <v>2.2578023919811018E-4</v>
      </c>
      <c r="AS123" s="44">
        <v>1.9985307870753401E-4</v>
      </c>
      <c r="AT123" s="44">
        <v>1.9511982839447324E-4</v>
      </c>
      <c r="AU123" s="44">
        <v>1.8095251633445226E-4</v>
      </c>
      <c r="AV123" s="44">
        <v>2.227345224941653E-4</v>
      </c>
      <c r="AW123" s="44">
        <v>2.9688070784491258E-4</v>
      </c>
      <c r="AX123" s="44">
        <v>2.5840353471357554E-4</v>
      </c>
      <c r="AY123" s="44">
        <v>2.405102207261318E-4</v>
      </c>
      <c r="AZ123" s="44">
        <v>9.7446857399503367E-5</v>
      </c>
      <c r="BA123" s="44">
        <v>-2.8439898258176093E-5</v>
      </c>
      <c r="BB123" s="44">
        <v>2.1253062441284974E-4</v>
      </c>
      <c r="BC123" s="44">
        <v>2.8799804737136722E-4</v>
      </c>
      <c r="BD123" s="44">
        <v>2.3879343864545939E-4</v>
      </c>
      <c r="BE123" s="44">
        <v>1.0374503592811151E-4</v>
      </c>
      <c r="BF123" s="44">
        <v>1.9939650454419105E-4</v>
      </c>
      <c r="BG123" s="44">
        <v>1.7377212607343103E-4</v>
      </c>
      <c r="BH123" s="44">
        <v>1.3892457187960892E-4</v>
      </c>
      <c r="BI123" s="44">
        <f>VARP(Valorização!$V$2:$V$247)</f>
        <v>2.5762084286455426E-4</v>
      </c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</row>
    <row r="124" spans="1:75">
      <c r="A124" s="3" t="str">
        <f>Cotacao!C124</f>
        <v>12/18/2019 16:56:00</v>
      </c>
      <c r="B124" s="6">
        <f>IFERROR(LN(Cotacao!D125/Cotacao!D124),B123)</f>
        <v>1.5724391957054298E-2</v>
      </c>
      <c r="C124" s="6">
        <f>IFERROR(LN(Cotacao!F125/Cotacao!F124),C123)</f>
        <v>7.0745742464319097E-3</v>
      </c>
      <c r="D124" s="6">
        <f>IFERROR(LN(Cotacao!H125/Cotacao!H124),D123)</f>
        <v>-1.8897240181367115E-2</v>
      </c>
      <c r="E124" s="6">
        <f>IFERROR(LN(Cotacao!J125/Cotacao!J124),E123)</f>
        <v>-5.8881426252224865E-3</v>
      </c>
      <c r="F124" s="6">
        <f>IFERROR(LN(Cotacao!L125/Cotacao!L124),F123)</f>
        <v>2.101318959881639E-2</v>
      </c>
      <c r="G124" s="6">
        <f>IFERROR(LN(Cotacao!N125/Cotacao!N124),G123)</f>
        <v>7.155635367936872E-4</v>
      </c>
      <c r="H124" s="6">
        <f>IFERROR(LN(Cotacao!P125/Cotacao!P124),H123)</f>
        <v>2.8476526125116972E-3</v>
      </c>
      <c r="I124" s="6">
        <f>IFERROR(LN(Cotacao!R125/Cotacao!R124),I123)</f>
        <v>-3.710579396535713E-3</v>
      </c>
      <c r="J124" s="6">
        <f>IFERROR(LN(Cotacao!T125/Cotacao!T124),J123)</f>
        <v>8.7821225400959262E-3</v>
      </c>
      <c r="K124" s="6">
        <f>IFERROR(LN(Cotacao!V125/Cotacao!V124),K123)</f>
        <v>-3.0487828493587043E-3</v>
      </c>
      <c r="L124" s="6">
        <f>IFERROR(LN(Cotacao!X125/Cotacao!X124),L123)</f>
        <v>2.4292692569044483E-2</v>
      </c>
      <c r="M124" s="6">
        <f>IFERROR(LN(Profit!B124/Profit!B123),M123)</f>
        <v>-4.0960772220034565E-3</v>
      </c>
      <c r="N124" s="6">
        <f>IFERROR(LN(Cotacao!AB125/Cotacao!AB124),N123)</f>
        <v>-6.2556057438222226E-3</v>
      </c>
      <c r="O124" s="6">
        <f>IFERROR(LN(Cotacao!AD125/Cotacao!AD124),O123)</f>
        <v>-5.1728307210526904E-3</v>
      </c>
      <c r="P124" s="6">
        <f>IFERROR(LN(Cotacao!AF125/Cotacao!AF124),P123)</f>
        <v>-8.5690327251012905E-3</v>
      </c>
      <c r="Q124" s="6">
        <f>IFERROR(LN(Cotacao!AH125/Cotacao!AH124),Q123)</f>
        <v>9.863297603634252E-3</v>
      </c>
      <c r="R124" s="6">
        <f>IFERROR(LN(Cotacao!AJ125/Cotacao!AJ124),R123)</f>
        <v>2.5109868811580885E-3</v>
      </c>
      <c r="S124" s="6">
        <f>IFERROR(LN(Cotacao!AL125/Cotacao!AL124),S123)</f>
        <v>1.1402632097811552E-2</v>
      </c>
      <c r="T124" s="6">
        <f>IFERROR(LN(Cotacao!AN125/Cotacao!AN124),T123)</f>
        <v>-2.2139487759091268E-3</v>
      </c>
      <c r="U124" s="6">
        <f>IFERROR(LN(Cotacao!AP125/Cotacao!AP124),U123)</f>
        <v>4.4807244112760845E-3</v>
      </c>
      <c r="V124" s="6">
        <f>IFERROR(LN(Cotacao!AR125/Cotacao!AR124),V123)</f>
        <v>1.7740534687823776E-2</v>
      </c>
      <c r="W124" s="6">
        <f>IFERROR(LN(Cotacao!AT125/Cotacao!AT124),W123)</f>
        <v>3.0721990369700588E-3</v>
      </c>
      <c r="X124" s="6">
        <f>IFERROR(LN(Cotacao!AV125/Cotacao!AV124),X123)</f>
        <v>-3.2615597855067263E-3</v>
      </c>
      <c r="Y124" s="6">
        <f>IFERROR(LN(Cotacao!AX125/Cotacao!AX124),Y123)</f>
        <v>-3.8810392859730675E-3</v>
      </c>
      <c r="Z124" s="6">
        <f>IFERROR(LN(Cotacao!AZ125/Cotacao!AZ124),Z123)</f>
        <v>-1.6161967956998102E-2</v>
      </c>
      <c r="AA124" s="6">
        <f>IFERROR(LN(Cotacao!BB125/Cotacao!BB124),AA123)</f>
        <v>-3.4744764903628122E-3</v>
      </c>
      <c r="AB124" s="6">
        <f>IFERROR(LN(Cotacao!BD125/Cotacao!BD124),AB123)</f>
        <v>3.0626657578991471E-2</v>
      </c>
      <c r="AC124" s="6">
        <f>IFERROR(LN(Cotacao!BF125/Cotacao!BF124),AC123)</f>
        <v>9.6534317006425601E-3</v>
      </c>
      <c r="AD124" s="6">
        <f>IFERROR(LN(Cotacao!BH125/Cotacao!BH124),AD123)</f>
        <v>-8.155498617044483E-4</v>
      </c>
      <c r="AE124" s="6">
        <f>IFERROR(LN(Cotacao!BJ125/Cotacao!BJ124),AE123)</f>
        <v>9.7923238478621194E-3</v>
      </c>
      <c r="AF124" s="6">
        <f>IFERROR(LN(Cotacao!BL125/Cotacao!BL124),AF123)</f>
        <v>-8.8889474172459283E-3</v>
      </c>
      <c r="AG124" s="6">
        <f>IFERROR(LN(Cotacao!BN125/Cotacao!BN124),AG123)</f>
        <v>0</v>
      </c>
      <c r="AH124" s="6">
        <f>IFERROR(LN(Cotacao!BP125/Cotacao!BP124),AH123)</f>
        <v>2.2894531668348449E-3</v>
      </c>
      <c r="AI124" s="6">
        <f>IFERROR(LN(Cotacao!BR125/Cotacao!BR124),AI123)</f>
        <v>1.2747572822502684E-2</v>
      </c>
      <c r="AJ124" s="6">
        <f>IFERROR(LN(Profit!C124/Profit!C123),AJ123)</f>
        <v>3.4129725962399426E-3</v>
      </c>
      <c r="AK124" s="6">
        <f>IFERROR(LN(Cotacao!BV125/Cotacao!BV124),AK123)</f>
        <v>7.1180478523223869E-3</v>
      </c>
      <c r="AL124" s="6">
        <f>IFERROR(LN(Cotacao!BX125/Cotacao!BX124),AL123)</f>
        <v>5.6506715088143911E-3</v>
      </c>
      <c r="AN124" s="44" t="s">
        <v>24</v>
      </c>
      <c r="AO124" s="44">
        <v>2.4114961702899343E-4</v>
      </c>
      <c r="AP124" s="44">
        <v>1.7042509216392375E-4</v>
      </c>
      <c r="AQ124" s="44">
        <v>1.371725435009031E-4</v>
      </c>
      <c r="AR124" s="44">
        <v>2.9203227228794128E-4</v>
      </c>
      <c r="AS124" s="44">
        <v>1.9263028382551377E-4</v>
      </c>
      <c r="AT124" s="44">
        <v>1.816655953872054E-4</v>
      </c>
      <c r="AU124" s="44">
        <v>1.6923194522680974E-4</v>
      </c>
      <c r="AV124" s="44">
        <v>2.0956898036388343E-4</v>
      </c>
      <c r="AW124" s="44">
        <v>3.9792118179848206E-4</v>
      </c>
      <c r="AX124" s="44">
        <v>2.4530036221928847E-4</v>
      </c>
      <c r="AY124" s="44">
        <v>2.9045697213632183E-4</v>
      </c>
      <c r="AZ124" s="44">
        <v>1.1046810714334267E-4</v>
      </c>
      <c r="BA124" s="44">
        <v>-3.7630483974681021E-5</v>
      </c>
      <c r="BB124" s="44">
        <v>1.6296925889360819E-4</v>
      </c>
      <c r="BC124" s="44">
        <v>3.3076179274356421E-4</v>
      </c>
      <c r="BD124" s="44">
        <v>2.388928799216859E-4</v>
      </c>
      <c r="BE124" s="44">
        <v>9.4038968204173895E-5</v>
      </c>
      <c r="BF124" s="44">
        <v>2.1578502743735897E-4</v>
      </c>
      <c r="BG124" s="44">
        <v>2.2169010288942035E-4</v>
      </c>
      <c r="BH124" s="44">
        <v>1.5149243906665121E-4</v>
      </c>
      <c r="BI124" s="44">
        <v>1.6505402404124898E-4</v>
      </c>
      <c r="BJ124" s="44">
        <f>VARP(Valorização!$W$2:$W$247)</f>
        <v>3.1455528726640294E-4</v>
      </c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</row>
    <row r="125" spans="1:75">
      <c r="A125" s="3" t="str">
        <f>Cotacao!C125</f>
        <v>12/19/2019 16:56:00</v>
      </c>
      <c r="B125" s="6">
        <f>IFERROR(LN(Cotacao!D126/Cotacao!D125),B124)</f>
        <v>6.5212169902655517E-3</v>
      </c>
      <c r="C125" s="6">
        <f>IFERROR(LN(Cotacao!F126/Cotacao!F125),C124)</f>
        <v>-1.4729356246196064E-2</v>
      </c>
      <c r="D125" s="6">
        <f>IFERROR(LN(Cotacao!H126/Cotacao!H125),D124)</f>
        <v>-4.7291133680066998E-3</v>
      </c>
      <c r="E125" s="6">
        <f>IFERROR(LN(Cotacao!J126/Cotacao!J125),E124)</f>
        <v>-2.6281224062695806E-3</v>
      </c>
      <c r="F125" s="6">
        <f>IFERROR(LN(Cotacao!L126/Cotacao!L125),F124)</f>
        <v>9.8754623409577687E-3</v>
      </c>
      <c r="G125" s="6">
        <f>IFERROR(LN(Cotacao!N126/Cotacao!N125),G124)</f>
        <v>-9.3425041723167318E-3</v>
      </c>
      <c r="H125" s="6">
        <f>IFERROR(LN(Cotacao!P126/Cotacao!P125),H124)</f>
        <v>-8.2487777363229077E-3</v>
      </c>
      <c r="I125" s="6">
        <f>IFERROR(LN(Cotacao!R126/Cotacao!R125),I124)</f>
        <v>3.5065681743866289E-2</v>
      </c>
      <c r="J125" s="6">
        <f>IFERROR(LN(Cotacao!T126/Cotacao!T125),J124)</f>
        <v>-3.6555147900191591E-2</v>
      </c>
      <c r="K125" s="6">
        <f>IFERROR(LN(Cotacao!V126/Cotacao!V125),K124)</f>
        <v>-1.2288941134351352E-2</v>
      </c>
      <c r="L125" s="6">
        <f>IFERROR(LN(Cotacao!X126/Cotacao!X125),L124)</f>
        <v>5.4488185284069776E-2</v>
      </c>
      <c r="M125" s="6">
        <f>IFERROR(LN(Profit!B125/Profit!B124),M124)</f>
        <v>-1.0879867215876837E-2</v>
      </c>
      <c r="N125" s="6">
        <f>IFERROR(LN(Cotacao!AB126/Cotacao!AB125),N124)</f>
        <v>1.7329916042915918E-2</v>
      </c>
      <c r="O125" s="6">
        <f>IFERROR(LN(Cotacao!AD126/Cotacao!AD125),O124)</f>
        <v>0.11940569036087381</v>
      </c>
      <c r="P125" s="6">
        <f>IFERROR(LN(Cotacao!AF126/Cotacao!AF125),P124)</f>
        <v>-2.3510007496353524E-2</v>
      </c>
      <c r="Q125" s="6">
        <f>IFERROR(LN(Cotacao!AH126/Cotacao!AH125),Q124)</f>
        <v>1.4523648986049895E-2</v>
      </c>
      <c r="R125" s="6">
        <f>IFERROR(LN(Cotacao!AJ126/Cotacao!AJ125),R124)</f>
        <v>2.0683260589828511E-2</v>
      </c>
      <c r="S125" s="6">
        <f>IFERROR(LN(Cotacao!AL126/Cotacao!AL125),S124)</f>
        <v>1.2394524869707576E-2</v>
      </c>
      <c r="T125" s="6">
        <f>IFERROR(LN(Cotacao!AN126/Cotacao!AN125),T124)</f>
        <v>9.7248748774801125E-3</v>
      </c>
      <c r="U125" s="6">
        <f>IFERROR(LN(Cotacao!AP126/Cotacao!AP125),U124)</f>
        <v>2.0857131487530194E-2</v>
      </c>
      <c r="V125" s="6">
        <f>IFERROR(LN(Cotacao!AR126/Cotacao!AR125),V124)</f>
        <v>4.0454954692313534E-2</v>
      </c>
      <c r="W125" s="6">
        <f>IFERROR(LN(Cotacao!AT126/Cotacao!AT125),W124)</f>
        <v>7.6657727019546242E-4</v>
      </c>
      <c r="X125" s="6">
        <f>IFERROR(LN(Cotacao!AV126/Cotacao!AV125),X124)</f>
        <v>6.7112116076561397E-3</v>
      </c>
      <c r="Y125" s="6">
        <f>IFERROR(LN(Cotacao!AX126/Cotacao!AX125),Y124)</f>
        <v>1.1104062054650269E-3</v>
      </c>
      <c r="Z125" s="6">
        <f>IFERROR(LN(Cotacao!AZ126/Cotacao!AZ125),Z124)</f>
        <v>6.0913893934019126E-3</v>
      </c>
      <c r="AA125" s="6">
        <f>IFERROR(LN(Cotacao!BB126/Cotacao!BB125),AA124)</f>
        <v>2.1583571667174391E-2</v>
      </c>
      <c r="AB125" s="6">
        <f>IFERROR(LN(Cotacao!BD126/Cotacao!BD125),AB124)</f>
        <v>-1.6374634871790066E-2</v>
      </c>
      <c r="AC125" s="6">
        <f>IFERROR(LN(Cotacao!BF126/Cotacao!BF125),AC124)</f>
        <v>-1.0977058631150907E-2</v>
      </c>
      <c r="AD125" s="6">
        <f>IFERROR(LN(Cotacao!BH126/Cotacao!BH125),AD124)</f>
        <v>3.0004929717328818E-2</v>
      </c>
      <c r="AE125" s="6">
        <f>IFERROR(LN(Cotacao!BJ126/Cotacao!BJ125),AE124)</f>
        <v>7.897854826748532E-4</v>
      </c>
      <c r="AF125" s="6">
        <f>IFERROR(LN(Cotacao!BL126/Cotacao!BL125),AF124)</f>
        <v>8.5939186498014981E-3</v>
      </c>
      <c r="AG125" s="6">
        <f>IFERROR(LN(Cotacao!BN126/Cotacao!BN125),AG124)</f>
        <v>1.1058888049232159E-2</v>
      </c>
      <c r="AH125" s="6">
        <f>IFERROR(LN(Cotacao!BP126/Cotacao!BP125),AH124)</f>
        <v>-1.1500044597111155E-2</v>
      </c>
      <c r="AI125" s="6">
        <f>IFERROR(LN(Cotacao!BR126/Cotacao!BR125),AI124)</f>
        <v>2.9882374481869554E-2</v>
      </c>
      <c r="AJ125" s="6">
        <f>IFERROR(LN(Profit!C125/Profit!C124),AJ124)</f>
        <v>9.326053181189644E-3</v>
      </c>
      <c r="AK125" s="6">
        <f>IFERROR(LN(Cotacao!BV126/Cotacao!BV125),AK124)</f>
        <v>-8.8337868343010294E-5</v>
      </c>
      <c r="AL125" s="6">
        <f>IFERROR(LN(Cotacao!BX126/Cotacao!BX125),AL124)</f>
        <v>-5.6506715088144067E-3</v>
      </c>
      <c r="AN125" s="44" t="s">
        <v>25</v>
      </c>
      <c r="AO125" s="44">
        <v>2.6795211238343097E-4</v>
      </c>
      <c r="AP125" s="44">
        <v>1.2899233725088629E-4</v>
      </c>
      <c r="AQ125" s="44">
        <v>1.4454041781495201E-4</v>
      </c>
      <c r="AR125" s="44">
        <v>3.816780067740783E-4</v>
      </c>
      <c r="AS125" s="44">
        <v>2.2263839620230425E-4</v>
      </c>
      <c r="AT125" s="44">
        <v>1.8958673505757213E-4</v>
      </c>
      <c r="AU125" s="44">
        <v>1.8308849760845382E-4</v>
      </c>
      <c r="AV125" s="44">
        <v>1.8922448979460374E-4</v>
      </c>
      <c r="AW125" s="44">
        <v>3.8182132627924127E-4</v>
      </c>
      <c r="AX125" s="44">
        <v>2.8471330334944964E-4</v>
      </c>
      <c r="AY125" s="44">
        <v>3.1789123876133546E-4</v>
      </c>
      <c r="AZ125" s="44">
        <v>1.2073143162296349E-4</v>
      </c>
      <c r="BA125" s="44">
        <v>-1.1410934123405922E-5</v>
      </c>
      <c r="BB125" s="44">
        <v>2.1711642570903625E-4</v>
      </c>
      <c r="BC125" s="44">
        <v>3.9211341853672224E-4</v>
      </c>
      <c r="BD125" s="44">
        <v>2.4740161891937524E-4</v>
      </c>
      <c r="BE125" s="44">
        <v>5.8185944168081757E-5</v>
      </c>
      <c r="BF125" s="44">
        <v>2.2992976687707524E-4</v>
      </c>
      <c r="BG125" s="44">
        <v>2.4997391259592788E-4</v>
      </c>
      <c r="BH125" s="44">
        <v>1.5526681544711387E-4</v>
      </c>
      <c r="BI125" s="44">
        <v>1.5059582718876099E-4</v>
      </c>
      <c r="BJ125" s="44">
        <v>1.8497245795214402E-4</v>
      </c>
      <c r="BK125" s="44">
        <f>VARP(Valorização!$X$2:$X$247)</f>
        <v>3.1678860817496468E-4</v>
      </c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</row>
    <row r="126" spans="1:75">
      <c r="A126" s="3" t="str">
        <f>Cotacao!C126</f>
        <v>12/20/2019 16:56:00</v>
      </c>
      <c r="B126" s="6">
        <f>IFERROR(LN(Cotacao!D127/Cotacao!D126),B125)</f>
        <v>5.9820716775474689E-3</v>
      </c>
      <c r="C126" s="6">
        <f>IFERROR(LN(Cotacao!F127/Cotacao!F126),C125)</f>
        <v>5.5489639012347323E-3</v>
      </c>
      <c r="D126" s="6">
        <f>IFERROR(LN(Cotacao!H127/Cotacao!H126),D125)</f>
        <v>2.7042412331997948E-2</v>
      </c>
      <c r="E126" s="6">
        <f>IFERROR(LN(Cotacao!J127/Cotacao!J126),E125)</f>
        <v>4.4394552696393912E-2</v>
      </c>
      <c r="F126" s="6">
        <f>IFERROR(LN(Cotacao!L127/Cotacao!L126),F125)</f>
        <v>6.5298739485825383E-3</v>
      </c>
      <c r="G126" s="6">
        <f>IFERROR(LN(Cotacao!N127/Cotacao!N126),G125)</f>
        <v>7.1942756340270106E-3</v>
      </c>
      <c r="H126" s="6">
        <f>IFERROR(LN(Cotacao!P127/Cotacao!P126),H125)</f>
        <v>1.2976918932268875E-2</v>
      </c>
      <c r="I126" s="6">
        <f>IFERROR(LN(Cotacao!R127/Cotacao!R126),I125)</f>
        <v>1.4347204756603724E-3</v>
      </c>
      <c r="J126" s="6">
        <f>IFERROR(LN(Cotacao!T127/Cotacao!T126),J125)</f>
        <v>1.4309566000043419E-3</v>
      </c>
      <c r="K126" s="6">
        <f>IFERROR(LN(Cotacao!V127/Cotacao!V126),K125)</f>
        <v>3.0443751414723164E-2</v>
      </c>
      <c r="L126" s="6">
        <f>IFERROR(LN(Cotacao!X127/Cotacao!X126),L125)</f>
        <v>3.7179003241754029E-2</v>
      </c>
      <c r="M126" s="6">
        <f>IFERROR(LN(Profit!B126/Profit!B125),M125)</f>
        <v>9.0124530410813104E-3</v>
      </c>
      <c r="N126" s="6">
        <f>IFERROR(LN(Cotacao!AB127/Cotacao!AB126),N125)</f>
        <v>1.1388646964008811E-2</v>
      </c>
      <c r="O126" s="6">
        <f>IFERROR(LN(Cotacao!AD127/Cotacao!AD126),O125)</f>
        <v>1.8242628621916199E-2</v>
      </c>
      <c r="P126" s="6">
        <f>IFERROR(LN(Cotacao!AF127/Cotacao!AF126),P125)</f>
        <v>4.0857236190009104E-2</v>
      </c>
      <c r="Q126" s="6">
        <f>IFERROR(LN(Cotacao!AH127/Cotacao!AH126),Q125)</f>
        <v>-3.8401802701319488E-3</v>
      </c>
      <c r="R126" s="6">
        <f>IFERROR(LN(Cotacao!AJ127/Cotacao!AJ126),R125)</f>
        <v>3.065919621834761E-3</v>
      </c>
      <c r="S126" s="6">
        <f>IFERROR(LN(Cotacao!AL127/Cotacao!AL126),S125)</f>
        <v>2.9787089166586813E-2</v>
      </c>
      <c r="T126" s="6">
        <f>IFERROR(LN(Cotacao!AN127/Cotacao!AN126),T125)</f>
        <v>3.6923354104597676E-2</v>
      </c>
      <c r="U126" s="6">
        <f>IFERROR(LN(Cotacao!AP127/Cotacao!AP126),U125)</f>
        <v>0</v>
      </c>
      <c r="V126" s="6">
        <f>IFERROR(LN(Cotacao!AR127/Cotacao!AR126),V125)</f>
        <v>3.1794585661152563E-2</v>
      </c>
      <c r="W126" s="6">
        <f>IFERROR(LN(Cotacao!AT127/Cotacao!AT126),W125)</f>
        <v>1.5216965804860464E-2</v>
      </c>
      <c r="X126" s="6">
        <f>IFERROR(LN(Cotacao!AV127/Cotacao!AV126),X125)</f>
        <v>-6.6445427186686131E-3</v>
      </c>
      <c r="Y126" s="6">
        <f>IFERROR(LN(Cotacao!AX127/Cotacao!AX126),Y125)</f>
        <v>6.6366681138752721E-3</v>
      </c>
      <c r="Z126" s="6">
        <f>IFERROR(LN(Cotacao!AZ127/Cotacao!AZ126),Z125)</f>
        <v>-2.0263431452325841E-3</v>
      </c>
      <c r="AA126" s="6">
        <f>IFERROR(LN(Cotacao!BB127/Cotacao!BB126),AA125)</f>
        <v>-4.84139052410088E-3</v>
      </c>
      <c r="AB126" s="6">
        <f>IFERROR(LN(Cotacao!BD127/Cotacao!BD126),AB125)</f>
        <v>2.7908788117076658E-2</v>
      </c>
      <c r="AC126" s="6">
        <f>IFERROR(LN(Cotacao!BF127/Cotacao!BF126),AC125)</f>
        <v>3.0437132185863445E-2</v>
      </c>
      <c r="AD126" s="6">
        <f>IFERROR(LN(Cotacao!BH127/Cotacao!BH126),AD125)</f>
        <v>-1.4354313451683054E-2</v>
      </c>
      <c r="AE126" s="6">
        <f>IFERROR(LN(Cotacao!BJ127/Cotacao!BJ126),AE125)</f>
        <v>-5.2632964037455299E-5</v>
      </c>
      <c r="AF126" s="6">
        <f>IFERROR(LN(Cotacao!BL127/Cotacao!BL126),AF125)</f>
        <v>-2.955084892761424E-3</v>
      </c>
      <c r="AG126" s="6">
        <f>IFERROR(LN(Cotacao!BN127/Cotacao!BN126),AG125)</f>
        <v>-4.6481222865860254E-2</v>
      </c>
      <c r="AH126" s="6">
        <f>IFERROR(LN(Cotacao!BP127/Cotacao!BP126),AH125)</f>
        <v>7.8999752531559303E-3</v>
      </c>
      <c r="AI126" s="6">
        <f>IFERROR(LN(Cotacao!BR127/Cotacao!BR126),AI125)</f>
        <v>7.4477640842373127E-2</v>
      </c>
      <c r="AJ126" s="6">
        <f>IFERROR(LN(Profit!C126/Profit!C125),AJ125)</f>
        <v>8.4034107963793792E-3</v>
      </c>
      <c r="AK126" s="6">
        <f>IFERROR(LN(Cotacao!BV127/Cotacao!BV126),AK125)</f>
        <v>6.4265175556732865E-3</v>
      </c>
      <c r="AL126" s="6">
        <f>IFERROR(LN(Cotacao!BX127/Cotacao!BX126),AL125)</f>
        <v>2.1108963210235265E-2</v>
      </c>
      <c r="AN126" s="44" t="s">
        <v>26</v>
      </c>
      <c r="AO126" s="44">
        <v>2.468760865135481E-4</v>
      </c>
      <c r="AP126" s="44">
        <v>1.6535993817544617E-4</v>
      </c>
      <c r="AQ126" s="44">
        <v>1.4328245071213588E-4</v>
      </c>
      <c r="AR126" s="44">
        <v>2.4978065085289584E-4</v>
      </c>
      <c r="AS126" s="44">
        <v>1.8547582630878628E-4</v>
      </c>
      <c r="AT126" s="44">
        <v>1.8112631241604506E-4</v>
      </c>
      <c r="AU126" s="44">
        <v>1.5474865506430449E-4</v>
      </c>
      <c r="AV126" s="44">
        <v>2.0561333311680069E-4</v>
      </c>
      <c r="AW126" s="44">
        <v>3.4025090110825117E-4</v>
      </c>
      <c r="AX126" s="44">
        <v>2.3656211255940939E-4</v>
      </c>
      <c r="AY126" s="44">
        <v>2.7689380617764169E-4</v>
      </c>
      <c r="AZ126" s="44">
        <v>1.1488952466212426E-4</v>
      </c>
      <c r="BA126" s="44">
        <v>-1.8973766240387179E-5</v>
      </c>
      <c r="BB126" s="44">
        <v>1.691733422881233E-4</v>
      </c>
      <c r="BC126" s="44">
        <v>2.8815187532880006E-4</v>
      </c>
      <c r="BD126" s="44">
        <v>2.3147574354687211E-4</v>
      </c>
      <c r="BE126" s="44">
        <v>4.7650213153209377E-5</v>
      </c>
      <c r="BF126" s="44">
        <v>1.9077478494868122E-4</v>
      </c>
      <c r="BG126" s="44">
        <v>2.1424128054427165E-4</v>
      </c>
      <c r="BH126" s="44">
        <v>1.5070927794341601E-4</v>
      </c>
      <c r="BI126" s="44">
        <v>1.525443838454534E-4</v>
      </c>
      <c r="BJ126" s="44">
        <v>1.700443647229512E-4</v>
      </c>
      <c r="BK126" s="44">
        <v>1.9323051063078748E-4</v>
      </c>
      <c r="BL126" s="44">
        <f>VARP(Valorização!$Y$2:$Y$247)</f>
        <v>2.5710188948087782E-4</v>
      </c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</row>
    <row r="127" spans="1:75">
      <c r="A127" s="3" t="str">
        <f>Cotacao!C127</f>
        <v>12/23/2019 16:56:00</v>
      </c>
      <c r="B127" s="6">
        <f>IFERROR(LN(Cotacao!D128/Cotacao!D127),B126)</f>
        <v>2.482006734581951E-3</v>
      </c>
      <c r="C127" s="6">
        <f>IFERROR(LN(Cotacao!F128/Cotacao!F127),C126)</f>
        <v>-5.0191625643391134E-3</v>
      </c>
      <c r="D127" s="6">
        <f>IFERROR(LN(Cotacao!H128/Cotacao!H127),D126)</f>
        <v>2.5157313661431972E-2</v>
      </c>
      <c r="E127" s="6">
        <f>IFERROR(LN(Cotacao!J128/Cotacao!J127),E126)</f>
        <v>1.4990911588492715E-2</v>
      </c>
      <c r="F127" s="6">
        <f>IFERROR(LN(Cotacao!L128/Cotacao!L127),F126)</f>
        <v>1.2474174225175818E-2</v>
      </c>
      <c r="G127" s="6">
        <f>IFERROR(LN(Cotacao!N128/Cotacao!N127),G126)</f>
        <v>1.705798290457677E-2</v>
      </c>
      <c r="H127" s="6">
        <f>IFERROR(LN(Cotacao!P128/Cotacao!P127),H126)</f>
        <v>1.4981553615616894E-2</v>
      </c>
      <c r="I127" s="6">
        <f>IFERROR(LN(Cotacao!R128/Cotacao!R127),I126)</f>
        <v>1.4588410296488392E-2</v>
      </c>
      <c r="J127" s="6">
        <f>IFERROR(LN(Cotacao!T128/Cotacao!T127),J126)</f>
        <v>2.5877708408120492E-2</v>
      </c>
      <c r="K127" s="6">
        <f>IFERROR(LN(Cotacao!V128/Cotacao!V127),K126)</f>
        <v>3.0998792017720041E-2</v>
      </c>
      <c r="L127" s="6">
        <f>IFERROR(LN(Cotacao!X128/Cotacao!X127),L126)</f>
        <v>4.0763598654665757E-2</v>
      </c>
      <c r="M127" s="6">
        <f>IFERROR(LN(Profit!B127/Profit!B126),M126)</f>
        <v>-1.8709079358117313E-3</v>
      </c>
      <c r="N127" s="6">
        <f>IFERROR(LN(Cotacao!AB128/Cotacao!AB127),N126)</f>
        <v>-6.9930354909706373E-3</v>
      </c>
      <c r="O127" s="6">
        <f>IFERROR(LN(Cotacao!AD128/Cotacao!AD127),O126)</f>
        <v>1.468215607455029E-2</v>
      </c>
      <c r="P127" s="6">
        <f>IFERROR(LN(Cotacao!AF128/Cotacao!AF127),P126)</f>
        <v>1.9819211181618633E-2</v>
      </c>
      <c r="Q127" s="6">
        <f>IFERROR(LN(Cotacao!AH128/Cotacao!AH127),Q126)</f>
        <v>3.8401802701319666E-3</v>
      </c>
      <c r="R127" s="6">
        <f>IFERROR(LN(Cotacao!AJ128/Cotacao!AJ127),R126)</f>
        <v>1.8000283762319495E-2</v>
      </c>
      <c r="S127" s="6">
        <f>IFERROR(LN(Cotacao!AL128/Cotacao!AL127),S126)</f>
        <v>-4.3573053689555897E-3</v>
      </c>
      <c r="T127" s="6">
        <f>IFERROR(LN(Cotacao!AN128/Cotacao!AN127),T126)</f>
        <v>1.7065097857310623E-2</v>
      </c>
      <c r="U127" s="6">
        <f>IFERROR(LN(Cotacao!AP128/Cotacao!AP127),U126)</f>
        <v>2.3948614616354547E-2</v>
      </c>
      <c r="V127" s="6">
        <f>IFERROR(LN(Cotacao!AR128/Cotacao!AR127),V126)</f>
        <v>3.2193123014131159E-2</v>
      </c>
      <c r="W127" s="6">
        <f>IFERROR(LN(Cotacao!AT128/Cotacao!AT127),W126)</f>
        <v>3.3390733260516406E-2</v>
      </c>
      <c r="X127" s="6">
        <f>IFERROR(LN(Cotacao!AV128/Cotacao!AV127),X126)</f>
        <v>2.397124599721673E-3</v>
      </c>
      <c r="Y127" s="6">
        <f>IFERROR(LN(Cotacao!AX128/Cotacao!AX127),Y126)</f>
        <v>1.1431380354950563E-2</v>
      </c>
      <c r="Z127" s="6">
        <f>IFERROR(LN(Cotacao!AZ128/Cotacao!AZ127),Z126)</f>
        <v>2.0263431452324674E-3</v>
      </c>
      <c r="AA127" s="6">
        <f>IFERROR(LN(Cotacao!BB128/Cotacao!BB127),AA126)</f>
        <v>1.6466489853579978E-2</v>
      </c>
      <c r="AB127" s="6">
        <f>IFERROR(LN(Cotacao!BD128/Cotacao!BD127),AB126)</f>
        <v>1.6378892084039681E-2</v>
      </c>
      <c r="AC127" s="6">
        <f>IFERROR(LN(Cotacao!BF128/Cotacao!BF127),AC126)</f>
        <v>6.3869132264594369E-2</v>
      </c>
      <c r="AD127" s="6">
        <f>IFERROR(LN(Cotacao!BH128/Cotacao!BH127),AD126)</f>
        <v>3.7413191689944347E-3</v>
      </c>
      <c r="AE127" s="6">
        <f>IFERROR(LN(Cotacao!BJ128/Cotacao!BJ127),AE126)</f>
        <v>1.0523932831332929E-2</v>
      </c>
      <c r="AF127" s="6">
        <f>IFERROR(LN(Cotacao!BL128/Cotacao!BL127),AF126)</f>
        <v>3.0888236480334407E-2</v>
      </c>
      <c r="AG127" s="6">
        <f>IFERROR(LN(Cotacao!BN128/Cotacao!BN127),AG126)</f>
        <v>-4.7048846412619189E-3</v>
      </c>
      <c r="AH127" s="6">
        <f>IFERROR(LN(Cotacao!BP128/Cotacao!BP127),AH126)</f>
        <v>1.3353072530659101E-2</v>
      </c>
      <c r="AI127" s="6">
        <f>IFERROR(LN(Cotacao!BR128/Cotacao!BR127),AI126)</f>
        <v>3.0753458482931595E-2</v>
      </c>
      <c r="AJ127" s="6">
        <f>IFERROR(LN(Profit!C127/Profit!C126),AJ126)</f>
        <v>2.5073143097837673E-3</v>
      </c>
      <c r="AK127" s="6">
        <f>IFERROR(LN(Cotacao!BV128/Cotacao!BV127),AK126)</f>
        <v>1.1498218918717199E-2</v>
      </c>
      <c r="AL127" s="6">
        <f>IFERROR(LN(Cotacao!BX128/Cotacao!BX127),AL126)</f>
        <v>2.4501548041816982E-2</v>
      </c>
      <c r="AN127" s="44" t="s">
        <v>27</v>
      </c>
      <c r="AO127" s="44">
        <v>3.6740016886215265E-4</v>
      </c>
      <c r="AP127" s="44">
        <v>1.9580890941442577E-4</v>
      </c>
      <c r="AQ127" s="44">
        <v>2.0875226014994858E-4</v>
      </c>
      <c r="AR127" s="44">
        <v>5.2544040041328799E-4</v>
      </c>
      <c r="AS127" s="44">
        <v>3.2602824324719725E-4</v>
      </c>
      <c r="AT127" s="44">
        <v>2.9922705974060705E-4</v>
      </c>
      <c r="AU127" s="44">
        <v>2.9133897622846963E-4</v>
      </c>
      <c r="AV127" s="44">
        <v>3.194515349473953E-4</v>
      </c>
      <c r="AW127" s="44">
        <v>5.5154150561794889E-4</v>
      </c>
      <c r="AX127" s="44">
        <v>3.7461020205613814E-4</v>
      </c>
      <c r="AY127" s="44">
        <v>3.0843146197776037E-4</v>
      </c>
      <c r="AZ127" s="44">
        <v>1.7012877895089914E-4</v>
      </c>
      <c r="BA127" s="44">
        <v>-7.2754848974341919E-5</v>
      </c>
      <c r="BB127" s="44">
        <v>3.1845059820529245E-4</v>
      </c>
      <c r="BC127" s="44">
        <v>4.3799708379113194E-4</v>
      </c>
      <c r="BD127" s="44">
        <v>4.3413349937294714E-4</v>
      </c>
      <c r="BE127" s="44">
        <v>1.7584722927962458E-4</v>
      </c>
      <c r="BF127" s="44">
        <v>3.7208866460072663E-4</v>
      </c>
      <c r="BG127" s="44">
        <v>2.9239890091295858E-4</v>
      </c>
      <c r="BH127" s="44">
        <v>1.7740402889034041E-4</v>
      </c>
      <c r="BI127" s="44">
        <v>1.7257441566362653E-4</v>
      </c>
      <c r="BJ127" s="44">
        <v>2.426448400128471E-4</v>
      </c>
      <c r="BK127" s="44">
        <v>2.552477426453132E-4</v>
      </c>
      <c r="BL127" s="44">
        <v>1.8484274556093463E-4</v>
      </c>
      <c r="BM127" s="44">
        <f>VARP(Valorização!$Z$2:$Z$247)</f>
        <v>8.5216669548766758E-4</v>
      </c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</row>
    <row r="128" spans="1:75">
      <c r="A128" s="3" t="str">
        <f>Cotacao!C128</f>
        <v>12/26/2019 16:56:00</v>
      </c>
      <c r="B128" s="6">
        <f>IFERROR(LN(Cotacao!D129/Cotacao!D128),B127)</f>
        <v>-4.4720571425921158E-3</v>
      </c>
      <c r="C128" s="6">
        <f>IFERROR(LN(Cotacao!F129/Cotacao!F128),C127)</f>
        <v>2.1164029063776937E-3</v>
      </c>
      <c r="D128" s="6">
        <f>IFERROR(LN(Cotacao!H129/Cotacao!H128),D127)</f>
        <v>-6.0826244636387871E-3</v>
      </c>
      <c r="E128" s="6">
        <f>IFERROR(LN(Cotacao!J129/Cotacao!J128),E127)</f>
        <v>-1.5620436318127713E-2</v>
      </c>
      <c r="F128" s="6">
        <f>IFERROR(LN(Cotacao!L129/Cotacao!L128),F127)</f>
        <v>-2.2983232364761469E-3</v>
      </c>
      <c r="G128" s="6">
        <f>IFERROR(LN(Cotacao!N129/Cotacao!N128),G127)</f>
        <v>-4.237294475515155E-3</v>
      </c>
      <c r="H128" s="6">
        <f>IFERROR(LN(Cotacao!P129/Cotacao!P128),H127)</f>
        <v>-3.7243990909825511E-3</v>
      </c>
      <c r="I128" s="6">
        <f>IFERROR(LN(Cotacao!R129/Cotacao!R128),I127)</f>
        <v>1.5422668119551158E-2</v>
      </c>
      <c r="J128" s="6">
        <f>IFERROR(LN(Cotacao!T129/Cotacao!T128),J127)</f>
        <v>1.8864143470812542E-2</v>
      </c>
      <c r="K128" s="6">
        <f>IFERROR(LN(Cotacao!V129/Cotacao!V128),K127)</f>
        <v>1.2996572827180137E-2</v>
      </c>
      <c r="L128" s="6">
        <f>IFERROR(LN(Cotacao!X129/Cotacao!X128),L127)</f>
        <v>1.791839037019247E-2</v>
      </c>
      <c r="M128" s="6">
        <f>IFERROR(LN(Profit!B128/Profit!B127),M127)</f>
        <v>5.2297466972771227E-3</v>
      </c>
      <c r="N128" s="6">
        <f>IFERROR(LN(Cotacao!AB129/Cotacao!AB128),N127)</f>
        <v>-9.6959772388792703E-3</v>
      </c>
      <c r="O128" s="6">
        <f>IFERROR(LN(Cotacao!AD129/Cotacao!AD128),O127)</f>
        <v>5.249355886143745E-3</v>
      </c>
      <c r="P128" s="6">
        <f>IFERROR(LN(Cotacao!AF129/Cotacao!AF128),P127)</f>
        <v>1.1814947164995654E-2</v>
      </c>
      <c r="Q128" s="6">
        <f>IFERROR(LN(Cotacao!AH129/Cotacao!AH128),Q127)</f>
        <v>-2.1958627473567961E-2</v>
      </c>
      <c r="R128" s="6">
        <f>IFERROR(LN(Cotacao!AJ129/Cotacao!AJ128),R127)</f>
        <v>-1.1288166627299173E-2</v>
      </c>
      <c r="S128" s="6">
        <f>IFERROR(LN(Cotacao!AL129/Cotacao!AL128),S127)</f>
        <v>0</v>
      </c>
      <c r="T128" s="6">
        <f>IFERROR(LN(Cotacao!AN129/Cotacao!AN128),T127)</f>
        <v>1.8450535103425241E-2</v>
      </c>
      <c r="U128" s="6">
        <f>IFERROR(LN(Cotacao!AP129/Cotacao!AP128),U127)</f>
        <v>2.2642476749759752E-2</v>
      </c>
      <c r="V128" s="6">
        <f>IFERROR(LN(Cotacao!AR129/Cotacao!AR128),V127)</f>
        <v>-4.5798775069909786E-2</v>
      </c>
      <c r="W128" s="6">
        <f>IFERROR(LN(Cotacao!AT129/Cotacao!AT128),W127)</f>
        <v>1.7359398871420441E-2</v>
      </c>
      <c r="X128" s="6">
        <f>IFERROR(LN(Cotacao!AV129/Cotacao!AV128),X127)</f>
        <v>-3.0640135874252881E-3</v>
      </c>
      <c r="Y128" s="6">
        <f>IFERROR(LN(Cotacao!AX129/Cotacao!AX128),Y127)</f>
        <v>1.1225200120661451E-2</v>
      </c>
      <c r="Z128" s="6">
        <f>IFERROR(LN(Cotacao!AZ129/Cotacao!AZ128),Z127)</f>
        <v>0</v>
      </c>
      <c r="AA128" s="6">
        <f>IFERROR(LN(Cotacao!BB129/Cotacao!BB128),AA127)</f>
        <v>1.6941112688818091E-2</v>
      </c>
      <c r="AB128" s="6">
        <f>IFERROR(LN(Cotacao!BD129/Cotacao!BD128),AB127)</f>
        <v>1.5226447331291384E-2</v>
      </c>
      <c r="AC128" s="6">
        <f>IFERROR(LN(Cotacao!BF129/Cotacao!BF128),AC127)</f>
        <v>4.4097084887000917E-3</v>
      </c>
      <c r="AD128" s="6">
        <f>IFERROR(LN(Cotacao!BH129/Cotacao!BH128),AD127)</f>
        <v>1.5991474623228631E-3</v>
      </c>
      <c r="AE128" s="6">
        <f>IFERROR(LN(Cotacao!BJ129/Cotacao!BJ128),AE127)</f>
        <v>-8.3368074857745312E-4</v>
      </c>
      <c r="AF128" s="6">
        <f>IFERROR(LN(Cotacao!BL129/Cotacao!BL128),AF127)</f>
        <v>1.3962329685017538E-2</v>
      </c>
      <c r="AG128" s="6">
        <f>IFERROR(LN(Cotacao!BN129/Cotacao!BN128),AG127)</f>
        <v>-5.3721919455200925E-2</v>
      </c>
      <c r="AH128" s="6">
        <f>IFERROR(LN(Cotacao!BP129/Cotacao!BP128),AH127)</f>
        <v>-1.2697549727768745E-2</v>
      </c>
      <c r="AI128" s="6">
        <f>IFERROR(LN(Cotacao!BR129/Cotacao!BR128),AI127)</f>
        <v>-1.2895841082924995E-2</v>
      </c>
      <c r="AJ128" s="6">
        <f>IFERROR(LN(Profit!C128/Profit!C127),AJ127)</f>
        <v>1.4090577099254117E-2</v>
      </c>
      <c r="AK128" s="6">
        <f>IFERROR(LN(Cotacao!BV129/Cotacao!BV128),AK127)</f>
        <v>-5.7262762274790865E-3</v>
      </c>
      <c r="AL128" s="6">
        <f>IFERROR(LN(Cotacao!BX129/Cotacao!BX128),AL127)</f>
        <v>1.1399743464727288E-2</v>
      </c>
      <c r="AN128" s="44" t="s">
        <v>28</v>
      </c>
      <c r="AO128" s="44">
        <v>3.9209846213782027E-4</v>
      </c>
      <c r="AP128" s="44">
        <v>1.0887629896752071E-4</v>
      </c>
      <c r="AQ128" s="44">
        <v>1.5231484521321942E-4</v>
      </c>
      <c r="AR128" s="44">
        <v>5.5797850267515659E-4</v>
      </c>
      <c r="AS128" s="44">
        <v>2.2277697014837108E-4</v>
      </c>
      <c r="AT128" s="44">
        <v>2.0511063366336296E-4</v>
      </c>
      <c r="AU128" s="44">
        <v>2.5079990662810718E-4</v>
      </c>
      <c r="AV128" s="44">
        <v>2.1092619815563603E-4</v>
      </c>
      <c r="AW128" s="44">
        <v>5.2332389204829387E-4</v>
      </c>
      <c r="AX128" s="44">
        <v>3.3405882973713846E-4</v>
      </c>
      <c r="AY128" s="44">
        <v>4.0702690179585338E-4</v>
      </c>
      <c r="AZ128" s="44">
        <v>1.1358620743585691E-4</v>
      </c>
      <c r="BA128" s="44">
        <v>-3.8073861832502851E-5</v>
      </c>
      <c r="BB128" s="44">
        <v>2.8165661199961063E-4</v>
      </c>
      <c r="BC128" s="44">
        <v>4.6998797667086771E-4</v>
      </c>
      <c r="BD128" s="44">
        <v>2.5341180670059954E-4</v>
      </c>
      <c r="BE128" s="44">
        <v>1.124905148755901E-4</v>
      </c>
      <c r="BF128" s="44">
        <v>3.4954340784283813E-4</v>
      </c>
      <c r="BG128" s="44">
        <v>3.1092479038217634E-4</v>
      </c>
      <c r="BH128" s="44">
        <v>1.8092835887933257E-4</v>
      </c>
      <c r="BI128" s="44">
        <v>1.5200037831879839E-4</v>
      </c>
      <c r="BJ128" s="44">
        <v>2.1095464776584505E-4</v>
      </c>
      <c r="BK128" s="44">
        <v>2.4686078907430839E-4</v>
      </c>
      <c r="BL128" s="44">
        <v>1.7616789598942333E-4</v>
      </c>
      <c r="BM128" s="44">
        <v>2.5863364775210963E-4</v>
      </c>
      <c r="BN128" s="44">
        <f>VARP(Valorização!$AA$2:$AA$247)</f>
        <v>4.9713894295684363E-4</v>
      </c>
      <c r="BO128" s="44"/>
      <c r="BP128" s="44"/>
      <c r="BQ128" s="44"/>
      <c r="BR128" s="44"/>
      <c r="BS128" s="44"/>
      <c r="BT128" s="44"/>
      <c r="BU128" s="44"/>
      <c r="BV128" s="44"/>
      <c r="BW128" s="44"/>
    </row>
    <row r="129" spans="1:75">
      <c r="A129" s="3" t="str">
        <f>Cotacao!C129</f>
        <v>12/27/2019 16:56:00</v>
      </c>
      <c r="B129" s="6">
        <f>IFERROR(LN(Cotacao!D130/Cotacao!D129),B128)</f>
        <v>5.4631375012177867E-3</v>
      </c>
      <c r="C129" s="6">
        <f>IFERROR(LN(Cotacao!F130/Cotacao!F129),C128)</f>
        <v>-3.7066497297124348E-3</v>
      </c>
      <c r="D129" s="6">
        <f>IFERROR(LN(Cotacao!H130/Cotacao!H129),D128)</f>
        <v>-1.9683102120441481E-4</v>
      </c>
      <c r="E129" s="6">
        <f>IFERROR(LN(Cotacao!J130/Cotacao!J129),E128)</f>
        <v>7.5282664207915878E-3</v>
      </c>
      <c r="F129" s="6">
        <f>IFERROR(LN(Cotacao!L130/Cotacao!L129),F128)</f>
        <v>1.6883814255368921E-2</v>
      </c>
      <c r="G129" s="6">
        <f>IFERROR(LN(Cotacao!N130/Cotacao!N129),G128)</f>
        <v>-2.8348707858472967E-3</v>
      </c>
      <c r="H129" s="6">
        <f>IFERROR(LN(Cotacao!P130/Cotacao!P129),H128)</f>
        <v>-4.0504806896986944E-3</v>
      </c>
      <c r="I129" s="6">
        <f>IFERROR(LN(Cotacao!R130/Cotacao!R129),I128)</f>
        <v>1.7376198985408779E-3</v>
      </c>
      <c r="J129" s="6">
        <f>IFERROR(LN(Cotacao!T130/Cotacao!T129),J128)</f>
        <v>-1.7935638297327389E-2</v>
      </c>
      <c r="K129" s="6">
        <f>IFERROR(LN(Cotacao!V130/Cotacao!V129),K128)</f>
        <v>8.5714810501411835E-3</v>
      </c>
      <c r="L129" s="6">
        <f>IFERROR(LN(Cotacao!X130/Cotacao!X129),L128)</f>
        <v>3.1972379243272536E-2</v>
      </c>
      <c r="M129" s="6">
        <f>IFERROR(LN(Profit!B129/Profit!B128),M128)</f>
        <v>9.640415782174153E-3</v>
      </c>
      <c r="N129" s="6">
        <f>IFERROR(LN(Cotacao!AB130/Cotacao!AB129),N128)</f>
        <v>8.3793213541323436E-3</v>
      </c>
      <c r="O129" s="6">
        <f>IFERROR(LN(Cotacao!AD130/Cotacao!AD129),O128)</f>
        <v>1.8751796213399317E-2</v>
      </c>
      <c r="P129" s="6">
        <f>IFERROR(LN(Cotacao!AF130/Cotacao!AF129),P128)</f>
        <v>-2.4890665525787701E-2</v>
      </c>
      <c r="Q129" s="6">
        <f>IFERROR(LN(Cotacao!AH130/Cotacao!AH129),Q128)</f>
        <v>-5.6127369049575482E-3</v>
      </c>
      <c r="R129" s="6">
        <f>IFERROR(LN(Cotacao!AJ130/Cotacao!AJ129),R128)</f>
        <v>-5.8961236176909258E-3</v>
      </c>
      <c r="S129" s="6">
        <f>IFERROR(LN(Cotacao!AL130/Cotacao!AL129),S128)</f>
        <v>4.3573053689556262E-3</v>
      </c>
      <c r="T129" s="6">
        <f>IFERROR(LN(Cotacao!AN130/Cotacao!AN129),T128)</f>
        <v>1.1441350127035026E-2</v>
      </c>
      <c r="U129" s="6">
        <f>IFERROR(LN(Cotacao!AP130/Cotacao!AP129),U128)</f>
        <v>-2.3024228997190609E-2</v>
      </c>
      <c r="V129" s="6">
        <f>IFERROR(LN(Cotacao!AR130/Cotacao!AR129),V128)</f>
        <v>1.7863997738355741E-2</v>
      </c>
      <c r="W129" s="6">
        <f>IFERROR(LN(Cotacao!AT130/Cotacao!AT129),W128)</f>
        <v>-6.469999072152113E-3</v>
      </c>
      <c r="X129" s="6">
        <f>IFERROR(LN(Cotacao!AV130/Cotacao!AV129),X128)</f>
        <v>1.9993342214822607E-3</v>
      </c>
      <c r="Y129" s="6">
        <f>IFERROR(LN(Cotacao!AX130/Cotacao!AX129),Y128)</f>
        <v>1.5733922683826854E-2</v>
      </c>
      <c r="Z129" s="6">
        <f>IFERROR(LN(Cotacao!AZ130/Cotacao!AZ129),Z128)</f>
        <v>-2.0263431452325841E-3</v>
      </c>
      <c r="AA129" s="6">
        <f>IFERROR(LN(Cotacao!BB130/Cotacao!BB129),AA128)</f>
        <v>1.8358121739598516E-2</v>
      </c>
      <c r="AB129" s="6">
        <f>IFERROR(LN(Cotacao!BD130/Cotacao!BD129),AB128)</f>
        <v>9.290046907092734E-3</v>
      </c>
      <c r="AC129" s="6">
        <f>IFERROR(LN(Cotacao!BF130/Cotacao!BF129),AC128)</f>
        <v>-2.0202707317519466E-2</v>
      </c>
      <c r="AD129" s="6">
        <f>IFERROR(LN(Cotacao!BH130/Cotacao!BH129),AD128)</f>
        <v>1.5852379520322257E-2</v>
      </c>
      <c r="AE129" s="6">
        <f>IFERROR(LN(Cotacao!BJ130/Cotacao!BJ129),AE128)</f>
        <v>3.2514017351549282E-2</v>
      </c>
      <c r="AF129" s="6">
        <f>IFERROR(LN(Cotacao!BL130/Cotacao!BL129),AF128)</f>
        <v>-1.9429182604090503E-2</v>
      </c>
      <c r="AG129" s="6">
        <f>IFERROR(LN(Cotacao!BN130/Cotacao!BN129),AG128)</f>
        <v>-2.8448810051248188E-2</v>
      </c>
      <c r="AH129" s="6">
        <f>IFERROR(LN(Cotacao!BP130/Cotacao!BP129),AH128)</f>
        <v>-1.1202753076553398E-2</v>
      </c>
      <c r="AI129" s="6">
        <f>IFERROR(LN(Cotacao!BR130/Cotacao!BR129),AI128)</f>
        <v>-2.5090921993526312E-2</v>
      </c>
      <c r="AJ129" s="6">
        <f>IFERROR(LN(Profit!C129/Profit!C128),AJ128)</f>
        <v>-8.2338415520521178E-4</v>
      </c>
      <c r="AK129" s="6">
        <f>IFERROR(LN(Cotacao!BV130/Cotacao!BV129),AK128)</f>
        <v>-7.6548104218236348E-3</v>
      </c>
      <c r="AL129" s="6">
        <f>IFERROR(LN(Cotacao!BX130/Cotacao!BX129),AL128)</f>
        <v>5.6515064079313022E-3</v>
      </c>
      <c r="AN129" s="44" t="s">
        <v>345</v>
      </c>
      <c r="AO129" s="44">
        <v>1.0880176604718638E-3</v>
      </c>
      <c r="AP129" s="44">
        <v>5.2429614289547957E-4</v>
      </c>
      <c r="AQ129" s="44">
        <v>5.7767590079621674E-4</v>
      </c>
      <c r="AR129" s="44">
        <v>1.2659642047056561E-3</v>
      </c>
      <c r="AS129" s="44">
        <v>7.7979609189458322E-4</v>
      </c>
      <c r="AT129" s="44">
        <v>7.1968291632101367E-4</v>
      </c>
      <c r="AU129" s="44">
        <v>7.3360903016155227E-4</v>
      </c>
      <c r="AV129" s="44">
        <v>8.2013370426755434E-4</v>
      </c>
      <c r="AW129" s="44">
        <v>1.5349637820673545E-3</v>
      </c>
      <c r="AX129" s="44">
        <v>1.0874712631852197E-3</v>
      </c>
      <c r="AY129" s="44">
        <v>7.7930651108120092E-4</v>
      </c>
      <c r="AZ129" s="44">
        <v>4.5721723696772967E-4</v>
      </c>
      <c r="BA129" s="44">
        <v>3.3260961088091595E-5</v>
      </c>
      <c r="BB129" s="44">
        <v>7.1259910353851355E-4</v>
      </c>
      <c r="BC129" s="44">
        <v>1.2873293129166605E-3</v>
      </c>
      <c r="BD129" s="44">
        <v>8.2786944689568816E-4</v>
      </c>
      <c r="BE129" s="44">
        <v>4.3561133542741021E-4</v>
      </c>
      <c r="BF129" s="44">
        <v>1.1318489661671768E-3</v>
      </c>
      <c r="BG129" s="44">
        <v>6.6305635912453412E-4</v>
      </c>
      <c r="BH129" s="44">
        <v>3.8905546090152682E-4</v>
      </c>
      <c r="BI129" s="44">
        <v>3.7552654689120842E-4</v>
      </c>
      <c r="BJ129" s="44">
        <v>5.0298350605737811E-4</v>
      </c>
      <c r="BK129" s="44">
        <v>5.2786180770185789E-4</v>
      </c>
      <c r="BL129" s="44">
        <v>4.3575360955962878E-4</v>
      </c>
      <c r="BM129" s="44">
        <v>7.193557595567405E-4</v>
      </c>
      <c r="BN129" s="44">
        <v>7.2610696370019681E-4</v>
      </c>
      <c r="BO129" s="44">
        <f>VARP(Valorização!$AB$2:$AB$247)</f>
        <v>2.4866057936794406E-3</v>
      </c>
      <c r="BP129" s="44"/>
      <c r="BQ129" s="44"/>
      <c r="BR129" s="44"/>
      <c r="BS129" s="44"/>
      <c r="BT129" s="44"/>
      <c r="BU129" s="44"/>
      <c r="BV129" s="44"/>
      <c r="BW129" s="44"/>
    </row>
    <row r="130" spans="1:75">
      <c r="A130" s="3" t="str">
        <f>Cotacao!C130</f>
        <v>12/30/2019 16:56:00</v>
      </c>
      <c r="B130" s="6">
        <f>IFERROR(LN(Cotacao!D131/Cotacao!D130),B129)</f>
        <v>5.4334537229955007E-3</v>
      </c>
      <c r="C130" s="6">
        <f>IFERROR(LN(Cotacao!F131/Cotacao!F130),C129)</f>
        <v>1.0554187678690171E-2</v>
      </c>
      <c r="D130" s="6">
        <f>IFERROR(LN(Cotacao!H131/Cotacao!H130),D129)</f>
        <v>2.3347363996991107E-2</v>
      </c>
      <c r="E130" s="6">
        <f>IFERROR(LN(Cotacao!J131/Cotacao!J130),E129)</f>
        <v>6.5904774887718273E-2</v>
      </c>
      <c r="F130" s="6">
        <f>IFERROR(LN(Cotacao!L131/Cotacao!L130),F129)</f>
        <v>-8.6344549163320603E-3</v>
      </c>
      <c r="G130" s="6">
        <f>IFERROR(LN(Cotacao!N131/Cotacao!N130),G129)</f>
        <v>1.8284616295041196E-2</v>
      </c>
      <c r="H130" s="6">
        <f>IFERROR(LN(Cotacao!P131/Cotacao!P130),H129)</f>
        <v>1.7639324751595277E-2</v>
      </c>
      <c r="I130" s="6">
        <f>IFERROR(LN(Cotacao!R131/Cotacao!R130),I129)</f>
        <v>3.5809452696710778E-2</v>
      </c>
      <c r="J130" s="6">
        <f>IFERROR(LN(Cotacao!T131/Cotacao!T130),J129)</f>
        <v>2.9716472328476871E-2</v>
      </c>
      <c r="K130" s="6">
        <f>IFERROR(LN(Cotacao!V131/Cotacao!V130),K129)</f>
        <v>-3.0327233967202761E-2</v>
      </c>
      <c r="L130" s="6">
        <f>IFERROR(LN(Cotacao!X131/Cotacao!X130),L129)</f>
        <v>-4.6775895511109783E-3</v>
      </c>
      <c r="M130" s="6">
        <f>IFERROR(LN(Profit!B130/Profit!B129),M129)</f>
        <v>-5.9215569034373212E-3</v>
      </c>
      <c r="N130" s="6">
        <f>IFERROR(LN(Cotacao!AB131/Cotacao!AB130),N129)</f>
        <v>-2.5351591197414529E-2</v>
      </c>
      <c r="O130" s="6">
        <f>IFERROR(LN(Cotacao!AD131/Cotacao!AD130),O129)</f>
        <v>1.9743343037176078E-3</v>
      </c>
      <c r="P130" s="6">
        <f>IFERROR(LN(Cotacao!AF131/Cotacao!AF130),P129)</f>
        <v>-1.5806143349683267E-2</v>
      </c>
      <c r="Q130" s="6">
        <f>IFERROR(LN(Cotacao!AH131/Cotacao!AH130),Q129)</f>
        <v>1.9140229391632884E-2</v>
      </c>
      <c r="R130" s="6">
        <f>IFERROR(LN(Cotacao!AJ131/Cotacao!AJ130),R129)</f>
        <v>-1.6447739209025907E-2</v>
      </c>
      <c r="S130" s="6">
        <f>IFERROR(LN(Cotacao!AL131/Cotacao!AL130),S129)</f>
        <v>-2.1978906718775115E-2</v>
      </c>
      <c r="T130" s="6">
        <f>IFERROR(LN(Cotacao!AN131/Cotacao!AN130),T129)</f>
        <v>1.4120025074311615E-2</v>
      </c>
      <c r="U130" s="6">
        <f>IFERROR(LN(Cotacao!AP131/Cotacao!AP130),U129)</f>
        <v>-1.6710048843683323E-2</v>
      </c>
      <c r="V130" s="6">
        <f>IFERROR(LN(Cotacao!AR131/Cotacao!AR130),V129)</f>
        <v>0</v>
      </c>
      <c r="W130" s="6">
        <f>IFERROR(LN(Cotacao!AT131/Cotacao!AT130),W129)</f>
        <v>1.4330045683355871E-2</v>
      </c>
      <c r="X130" s="6">
        <f>IFERROR(LN(Cotacao!AV131/Cotacao!AV130),X129)</f>
        <v>3.9867162438213827E-3</v>
      </c>
      <c r="Y130" s="6">
        <f>IFERROR(LN(Cotacao!AX131/Cotacao!AX130),Y129)</f>
        <v>-3.1118388740789351E-3</v>
      </c>
      <c r="Z130" s="6">
        <f>IFERROR(LN(Cotacao!AZ131/Cotacao!AZ130),Z129)</f>
        <v>-2.0304575503819517E-3</v>
      </c>
      <c r="AA130" s="6">
        <f>IFERROR(LN(Cotacao!BB131/Cotacao!BB130),AA129)</f>
        <v>2.798221551910331E-2</v>
      </c>
      <c r="AB130" s="6">
        <f>IFERROR(LN(Cotacao!BD131/Cotacao!BD130),AB129)</f>
        <v>2.0915795149973257E-2</v>
      </c>
      <c r="AC130" s="6">
        <f>IFERROR(LN(Cotacao!BF131/Cotacao!BF130),AC129)</f>
        <v>4.0733253876358688E-3</v>
      </c>
      <c r="AD130" s="6">
        <f>IFERROR(LN(Cotacao!BH131/Cotacao!BH130),AD129)</f>
        <v>2.9698761144749425E-2</v>
      </c>
      <c r="AE130" s="6">
        <f>IFERROR(LN(Cotacao!BJ131/Cotacao!BJ130),AE129)</f>
        <v>7.1396552466102834E-3</v>
      </c>
      <c r="AF130" s="6">
        <f>IFERROR(LN(Cotacao!BL131/Cotacao!BL130),AF129)</f>
        <v>1.6595516780518942E-2</v>
      </c>
      <c r="AG130" s="6">
        <f>IFERROR(LN(Cotacao!BN131/Cotacao!BN130),AG129)</f>
        <v>4.8601753633400913E-2</v>
      </c>
      <c r="AH130" s="6">
        <f>IFERROR(LN(Cotacao!BP131/Cotacao!BP130),AH129)</f>
        <v>1.7083201253448629E-2</v>
      </c>
      <c r="AI130" s="6">
        <f>IFERROR(LN(Cotacao!BR131/Cotacao!BR130),AI129)</f>
        <v>7.9064985687694905E-2</v>
      </c>
      <c r="AJ130" s="6">
        <f>IFERROR(LN(Profit!C130/Profit!C129),AJ129)</f>
        <v>1.7150277442633817E-2</v>
      </c>
      <c r="AK130" s="6">
        <f>IFERROR(LN(Cotacao!BV131/Cotacao!BV130),AK129)</f>
        <v>2.5001554146384518E-2</v>
      </c>
      <c r="AL130" s="6">
        <f>IFERROR(LN(Cotacao!BX131/Cotacao!BX130),AL129)</f>
        <v>1.861095900402527E-2</v>
      </c>
      <c r="AN130" s="44" t="s">
        <v>30</v>
      </c>
      <c r="AO130" s="44">
        <v>7.10098375816506E-4</v>
      </c>
      <c r="AP130" s="44">
        <v>3.9927543973924772E-4</v>
      </c>
      <c r="AQ130" s="44">
        <v>3.7405188350106292E-4</v>
      </c>
      <c r="AR130" s="44">
        <v>7.9666276258739119E-4</v>
      </c>
      <c r="AS130" s="44">
        <v>5.3357888941170785E-4</v>
      </c>
      <c r="AT130" s="44">
        <v>4.6917363731940122E-4</v>
      </c>
      <c r="AU130" s="44">
        <v>4.4060034498415352E-4</v>
      </c>
      <c r="AV130" s="44">
        <v>5.580777820819743E-4</v>
      </c>
      <c r="AW130" s="44">
        <v>8.9516395457831075E-4</v>
      </c>
      <c r="AX130" s="44">
        <v>6.1166558054201231E-4</v>
      </c>
      <c r="AY130" s="44">
        <v>4.2328907345523878E-4</v>
      </c>
      <c r="AZ130" s="44">
        <v>2.6154727002534604E-4</v>
      </c>
      <c r="BA130" s="44">
        <v>4.443513398365262E-5</v>
      </c>
      <c r="BB130" s="44">
        <v>5.2811784898089474E-4</v>
      </c>
      <c r="BC130" s="44">
        <v>9.3728164028035303E-4</v>
      </c>
      <c r="BD130" s="44">
        <v>6.9568703773486206E-4</v>
      </c>
      <c r="BE130" s="44">
        <v>4.1013133063261823E-4</v>
      </c>
      <c r="BF130" s="44">
        <v>7.4143341696978108E-4</v>
      </c>
      <c r="BG130" s="44">
        <v>4.0675406437156797E-4</v>
      </c>
      <c r="BH130" s="44">
        <v>2.102647311520294E-4</v>
      </c>
      <c r="BI130" s="44">
        <v>2.1422681186699695E-4</v>
      </c>
      <c r="BJ130" s="44">
        <v>2.9387057048092336E-4</v>
      </c>
      <c r="BK130" s="44">
        <v>3.0366320260807108E-4</v>
      </c>
      <c r="BL130" s="44">
        <v>2.4301292547759102E-4</v>
      </c>
      <c r="BM130" s="44">
        <v>3.6787969143479505E-4</v>
      </c>
      <c r="BN130" s="44">
        <v>3.6683626813321994E-4</v>
      </c>
      <c r="BO130" s="44">
        <v>1.1727955089493409E-3</v>
      </c>
      <c r="BP130" s="44">
        <f>VARP(Valorização!$AC$2:$AC$247)</f>
        <v>1.8017711551932723E-3</v>
      </c>
      <c r="BQ130" s="44"/>
      <c r="BR130" s="44"/>
      <c r="BS130" s="44"/>
      <c r="BT130" s="44"/>
      <c r="BU130" s="44"/>
      <c r="BV130" s="44"/>
      <c r="BW130" s="44"/>
    </row>
    <row r="131" spans="1:75">
      <c r="A131" s="3" t="str">
        <f>Cotacao!C131</f>
        <v>1/2/2020 16:56:00</v>
      </c>
      <c r="B131" s="6">
        <f>IFERROR(LN(Cotacao!D132/Cotacao!D131),B130)</f>
        <v>2.1925360628965683E-2</v>
      </c>
      <c r="C131" s="6">
        <f>IFERROR(LN(Cotacao!F132/Cotacao!F131),C130)</f>
        <v>-1.1084832424493041E-2</v>
      </c>
      <c r="D131" s="6">
        <f>IFERROR(LN(Cotacao!H132/Cotacao!H131),D130)</f>
        <v>5.7526524894498414E-3</v>
      </c>
      <c r="E131" s="6">
        <f>IFERROR(LN(Cotacao!J132/Cotacao!J131),E130)</f>
        <v>1.9699362404430081E-2</v>
      </c>
      <c r="F131" s="6">
        <f>IFERROR(LN(Cotacao!L132/Cotacao!L131),F130)</f>
        <v>6.3694482854799285E-3</v>
      </c>
      <c r="G131" s="6">
        <f>IFERROR(LN(Cotacao!N132/Cotacao!N131),G130)</f>
        <v>-1.4742281737203319E-2</v>
      </c>
      <c r="H131" s="6">
        <f>IFERROR(LN(Cotacao!P132/Cotacao!P131),H130)</f>
        <v>-8.3166966353203087E-3</v>
      </c>
      <c r="I131" s="6">
        <f>IFERROR(LN(Cotacao!R132/Cotacao!R131),I130)</f>
        <v>-2.9233896905047064E-2</v>
      </c>
      <c r="J131" s="6">
        <f>IFERROR(LN(Cotacao!T132/Cotacao!T131),J130)</f>
        <v>0</v>
      </c>
      <c r="K131" s="6">
        <f>IFERROR(LN(Cotacao!V132/Cotacao!V131),K130)</f>
        <v>-7.4559235699285964E-2</v>
      </c>
      <c r="L131" s="6">
        <f>IFERROR(LN(Cotacao!X132/Cotacao!X131),L130)</f>
        <v>2.4480216847290716E-2</v>
      </c>
      <c r="M131" s="6">
        <f>IFERROR(LN(Profit!B131/Profit!B130),M130)</f>
        <v>-3.7126415871045277E-4</v>
      </c>
      <c r="N131" s="6">
        <f>IFERROR(LN(Cotacao!AB132/Cotacao!AB131),N130)</f>
        <v>5.8387769738327978E-3</v>
      </c>
      <c r="O131" s="6">
        <f>IFERROR(LN(Cotacao!AD132/Cotacao!AD131),O130)</f>
        <v>4.0206420478040392E-2</v>
      </c>
      <c r="P131" s="6">
        <f>IFERROR(LN(Cotacao!AF132/Cotacao!AF131),P130)</f>
        <v>-4.3314429494014067E-2</v>
      </c>
      <c r="Q131" s="6">
        <f>IFERROR(LN(Cotacao!AH132/Cotacao!AH131),Q130)</f>
        <v>-7.3896512142960216E-3</v>
      </c>
      <c r="R131" s="6">
        <f>IFERROR(LN(Cotacao!AJ132/Cotacao!AJ131),R130)</f>
        <v>1.1541760440171328E-2</v>
      </c>
      <c r="S131" s="6">
        <f>IFERROR(LN(Cotacao!AL132/Cotacao!AL131),S130)</f>
        <v>-1.9069562720350691E-2</v>
      </c>
      <c r="T131" s="6">
        <f>IFERROR(LN(Cotacao!AN132/Cotacao!AN131),T130)</f>
        <v>3.9464221059794698E-2</v>
      </c>
      <c r="U131" s="6">
        <f>IFERROR(LN(Cotacao!AP132/Cotacao!AP131),U130)</f>
        <v>9.4289283455448788E-3</v>
      </c>
      <c r="V131" s="6">
        <f>IFERROR(LN(Cotacao!AR132/Cotacao!AR131),V130)</f>
        <v>-2.6553407952515651E-2</v>
      </c>
      <c r="W131" s="6">
        <f>IFERROR(LN(Cotacao!AT132/Cotacao!AT131),W130)</f>
        <v>3.552426843688076E-3</v>
      </c>
      <c r="X131" s="6">
        <f>IFERROR(LN(Cotacao!AV132/Cotacao!AV131),X130)</f>
        <v>-5.3191614776000448E-3</v>
      </c>
      <c r="Y131" s="6">
        <f>IFERROR(LN(Cotacao!AX132/Cotacao!AX131),Y130)</f>
        <v>2.5054107172285118E-3</v>
      </c>
      <c r="Z131" s="6">
        <f>IFERROR(LN(Cotacao!AZ132/Cotacao!AZ131),Z130)</f>
        <v>0</v>
      </c>
      <c r="AA131" s="6">
        <f>IFERROR(LN(Cotacao!BB132/Cotacao!BB131),AA130)</f>
        <v>4.2209710442243295E-2</v>
      </c>
      <c r="AB131" s="6">
        <f>IFERROR(LN(Cotacao!BD132/Cotacao!BD131),AB130)</f>
        <v>3.5581898480937298E-2</v>
      </c>
      <c r="AC131" s="6">
        <f>IFERROR(LN(Cotacao!BF132/Cotacao!BF131),AC130)</f>
        <v>-4.8899852941917919E-3</v>
      </c>
      <c r="AD131" s="6">
        <f>IFERROR(LN(Cotacao!BH132/Cotacao!BH131),AD130)</f>
        <v>1.1385322225125429E-2</v>
      </c>
      <c r="AE131" s="6">
        <f>IFERROR(LN(Cotacao!BJ132/Cotacao!BJ131),AE130)</f>
        <v>0</v>
      </c>
      <c r="AF131" s="6">
        <f>IFERROR(LN(Cotacao!BL132/Cotacao!BL131),AF130)</f>
        <v>-1.2851811904128187E-2</v>
      </c>
      <c r="AG131" s="6">
        <f>IFERROR(LN(Cotacao!BN132/Cotacao!BN131),AG130)</f>
        <v>-2.9241849594497417E-2</v>
      </c>
      <c r="AH131" s="6">
        <f>IFERROR(LN(Cotacao!BP132/Cotacao!BP131),AH130)</f>
        <v>-8.1766604372454435E-3</v>
      </c>
      <c r="AI131" s="6">
        <f>IFERROR(LN(Cotacao!BR132/Cotacao!BR131),AI130)</f>
        <v>5.6241901802884735E-2</v>
      </c>
      <c r="AJ131" s="6">
        <f>IFERROR(LN(Profit!C131/Profit!C130),AJ130)</f>
        <v>-1.8799082432817808E-2</v>
      </c>
      <c r="AK131" s="6">
        <f>IFERROR(LN(Cotacao!BV132/Cotacao!BV131),AK130)</f>
        <v>-7.3340508191744548E-3</v>
      </c>
      <c r="AL131" s="6">
        <f>IFERROR(LN(Cotacao!BX132/Cotacao!BX131),AL130)</f>
        <v>7.9584135992062637E-3</v>
      </c>
      <c r="AN131" s="44" t="s">
        <v>31</v>
      </c>
      <c r="AO131" s="44">
        <v>4.6791072196991016E-4</v>
      </c>
      <c r="AP131" s="44">
        <v>3.1232721529752497E-4</v>
      </c>
      <c r="AQ131" s="44">
        <v>3.303469363777308E-4</v>
      </c>
      <c r="AR131" s="44">
        <v>6.2309800540255925E-4</v>
      </c>
      <c r="AS131" s="44">
        <v>4.3040442733416421E-4</v>
      </c>
      <c r="AT131" s="44">
        <v>4.0834416160926925E-4</v>
      </c>
      <c r="AU131" s="44">
        <v>4.0684812981383353E-4</v>
      </c>
      <c r="AV131" s="44">
        <v>4.5871225430114672E-4</v>
      </c>
      <c r="AW131" s="44">
        <v>7.4788138276645399E-4</v>
      </c>
      <c r="AX131" s="44">
        <v>4.7926496924944413E-4</v>
      </c>
      <c r="AY131" s="44">
        <v>2.8322730464090499E-4</v>
      </c>
      <c r="AZ131" s="44">
        <v>2.3692544551721193E-4</v>
      </c>
      <c r="BA131" s="44">
        <v>-7.5586378918383708E-5</v>
      </c>
      <c r="BB131" s="44">
        <v>4.3068313450302694E-4</v>
      </c>
      <c r="BC131" s="44">
        <v>6.9893372603558614E-4</v>
      </c>
      <c r="BD131" s="44">
        <v>5.1333165261213426E-4</v>
      </c>
      <c r="BE131" s="44">
        <v>2.0460998564300839E-4</v>
      </c>
      <c r="BF131" s="44">
        <v>5.0393694774326773E-4</v>
      </c>
      <c r="BG131" s="44">
        <v>2.36254116582169E-4</v>
      </c>
      <c r="BH131" s="44">
        <v>2.1050696895236431E-4</v>
      </c>
      <c r="BI131" s="44">
        <v>1.9988936836421009E-4</v>
      </c>
      <c r="BJ131" s="44">
        <v>2.4464544815845846E-4</v>
      </c>
      <c r="BK131" s="44">
        <v>2.5366494610011477E-4</v>
      </c>
      <c r="BL131" s="44">
        <v>1.8711679776766673E-4</v>
      </c>
      <c r="BM131" s="44">
        <v>4.9725949422437486E-4</v>
      </c>
      <c r="BN131" s="44">
        <v>3.1088401160308062E-4</v>
      </c>
      <c r="BO131" s="44">
        <v>9.5214522679202055E-4</v>
      </c>
      <c r="BP131" s="44">
        <v>4.6165672949956125E-4</v>
      </c>
      <c r="BQ131" s="44">
        <f>VARP(Valorização!$AD$2:$AD$247)</f>
        <v>1.0714989665259759E-3</v>
      </c>
      <c r="BR131" s="44"/>
      <c r="BS131" s="44"/>
      <c r="BT131" s="44"/>
      <c r="BU131" s="44"/>
      <c r="BV131" s="44"/>
      <c r="BW131" s="44"/>
    </row>
    <row r="132" spans="1:75">
      <c r="A132" s="3" t="str">
        <f>Cotacao!C132</f>
        <v>1/3/2020 17:50:00</v>
      </c>
      <c r="B132" s="6">
        <f>IFERROR(LN(Cotacao!D133/Cotacao!D132),B131)</f>
        <v>-6.2847680878934317E-3</v>
      </c>
      <c r="C132" s="6">
        <f>IFERROR(LN(Cotacao!F133/Cotacao!F132),C131)</f>
        <v>1.632044647843783E-2</v>
      </c>
      <c r="D132" s="6">
        <f>IFERROR(LN(Cotacao!H133/Cotacao!H132),D131)</f>
        <v>-8.448590960358859E-3</v>
      </c>
      <c r="E132" s="6">
        <f>IFERROR(LN(Cotacao!J133/Cotacao!J132),E131)</f>
        <v>-1.3283475712522216E-2</v>
      </c>
      <c r="F132" s="6">
        <f>IFERROR(LN(Cotacao!L133/Cotacao!L132),F131)</f>
        <v>-7.7396243390746118E-3</v>
      </c>
      <c r="G132" s="6">
        <f>IFERROR(LN(Cotacao!N133/Cotacao!N132),G131)</f>
        <v>-2.1238946037041907E-3</v>
      </c>
      <c r="H132" s="6">
        <f>IFERROR(LN(Cotacao!P133/Cotacao!P132),H131)</f>
        <v>-1.0259688937615131E-2</v>
      </c>
      <c r="I132" s="6">
        <f>IFERROR(LN(Cotacao!R133/Cotacao!R132),I131)</f>
        <v>1.7778246021283969E-2</v>
      </c>
      <c r="J132" s="6">
        <f>IFERROR(LN(Cotacao!T133/Cotacao!T132),J131)</f>
        <v>-1.3605652055778709E-2</v>
      </c>
      <c r="K132" s="6">
        <f>IFERROR(LN(Cotacao!V133/Cotacao!V132),K131)</f>
        <v>1.5785322930497896E-3</v>
      </c>
      <c r="L132" s="6">
        <f>IFERROR(LN(Cotacao!X133/Cotacao!X132),L131)</f>
        <v>8.4608379766796631E-3</v>
      </c>
      <c r="M132" s="6">
        <f>IFERROR(LN(Profit!B132/Profit!B131),M131)</f>
        <v>4.4460984689830858E-3</v>
      </c>
      <c r="N132" s="6">
        <f>IFERROR(LN(Cotacao!AB133/Cotacao!AB132),N131)</f>
        <v>-7.1910422238462089E-3</v>
      </c>
      <c r="O132" s="6">
        <f>IFERROR(LN(Cotacao!AD133/Cotacao!AD132),O131)</f>
        <v>-4.1390553239257298E-2</v>
      </c>
      <c r="P132" s="6">
        <f>IFERROR(LN(Cotacao!AF133/Cotacao!AF132),P131)</f>
        <v>2.4649135274654295E-2</v>
      </c>
      <c r="Q132" s="6">
        <f>IFERROR(LN(Cotacao!AH133/Cotacao!AH132),Q131)</f>
        <v>-5.9512915096893125E-3</v>
      </c>
      <c r="R132" s="6">
        <f>IFERROR(LN(Cotacao!AJ133/Cotacao!AJ132),R131)</f>
        <v>-9.6778270021087819E-3</v>
      </c>
      <c r="S132" s="6">
        <f>IFERROR(LN(Cotacao!AL133/Cotacao!AL132),S131)</f>
        <v>1.6844867698239559E-2</v>
      </c>
      <c r="T132" s="6">
        <f>IFERROR(LN(Cotacao!AN133/Cotacao!AN132),T131)</f>
        <v>-8.7336799687545534E-3</v>
      </c>
      <c r="U132" s="6">
        <f>IFERROR(LN(Cotacao!AP133/Cotacao!AP132),U131)</f>
        <v>-2.2560272260174111E-2</v>
      </c>
      <c r="V132" s="6">
        <f>IFERROR(LN(Cotacao!AR133/Cotacao!AR132),V131)</f>
        <v>-4.3856898215409147E-2</v>
      </c>
      <c r="W132" s="6">
        <f>IFERROR(LN(Cotacao!AT133/Cotacao!AT132),W131)</f>
        <v>-3.5453093806365262E-3</v>
      </c>
      <c r="X132" s="6">
        <f>IFERROR(LN(Cotacao!AV133/Cotacao!AV132),X131)</f>
        <v>9.9950033308364504E-4</v>
      </c>
      <c r="Y132" s="6">
        <f>IFERROR(LN(Cotacao!AX133/Cotacao!AX132),Y131)</f>
        <v>5.0675145315042794E-3</v>
      </c>
      <c r="Z132" s="6">
        <f>IFERROR(LN(Cotacao!AZ133/Cotacao!AZ132),Z131)</f>
        <v>-8.1633106391609811E-3</v>
      </c>
      <c r="AA132" s="6">
        <f>IFERROR(LN(Cotacao!BB133/Cotacao!BB132),AA131)</f>
        <v>-3.0020154917657534E-2</v>
      </c>
      <c r="AB132" s="6">
        <f>IFERROR(LN(Cotacao!BD133/Cotacao!BD132),AB131)</f>
        <v>-2.2302628598264283E-2</v>
      </c>
      <c r="AC132" s="6">
        <f>IFERROR(LN(Cotacao!BF133/Cotacao!BF132),AC131)</f>
        <v>2.1019367224075342E-2</v>
      </c>
      <c r="AD132" s="6">
        <f>IFERROR(LN(Cotacao!BH133/Cotacao!BH132),AD131)</f>
        <v>1.2003144861355806E-2</v>
      </c>
      <c r="AE132" s="6">
        <f>IFERROR(LN(Cotacao!BJ133/Cotacao!BJ132),AE131)</f>
        <v>-8.1493483857022937E-3</v>
      </c>
      <c r="AF132" s="6">
        <f>IFERROR(LN(Cotacao!BL133/Cotacao!BL132),AF131)</f>
        <v>2.5836098769283435E-3</v>
      </c>
      <c r="AG132" s="6">
        <f>IFERROR(LN(Cotacao!BN133/Cotacao!BN132),AG131)</f>
        <v>-9.6331020155477742E-3</v>
      </c>
      <c r="AH132" s="6">
        <f>IFERROR(LN(Cotacao!BP133/Cotacao!BP132),AH131)</f>
        <v>1.1753318452670421E-2</v>
      </c>
      <c r="AI132" s="6">
        <f>IFERROR(LN(Cotacao!BR133/Cotacao!BR132),AI131)</f>
        <v>1.9362195666069754E-2</v>
      </c>
      <c r="AJ132" s="6">
        <f>IFERROR(LN(Profit!C132/Profit!C131),AJ131)</f>
        <v>5.758962852011695E-3</v>
      </c>
      <c r="AK132" s="6">
        <f>IFERROR(LN(Cotacao!BV133/Cotacao!BV132),AK131)</f>
        <v>-7.0656259483684695E-3</v>
      </c>
      <c r="AL132" s="6">
        <f>IFERROR(LN(Cotacao!BX133/Cotacao!BX132),AL131)</f>
        <v>-1.6910472148316511E-2</v>
      </c>
      <c r="AN132" s="44" t="s">
        <v>32</v>
      </c>
      <c r="AO132" s="44">
        <v>2.8109035388660763E-4</v>
      </c>
      <c r="AP132" s="44">
        <v>1.2311420514055343E-4</v>
      </c>
      <c r="AQ132" s="44">
        <v>1.0970558260343349E-4</v>
      </c>
      <c r="AR132" s="44">
        <v>3.8337506362572191E-4</v>
      </c>
      <c r="AS132" s="44">
        <v>1.6407015258521266E-4</v>
      </c>
      <c r="AT132" s="44">
        <v>1.7728218253947693E-4</v>
      </c>
      <c r="AU132" s="44">
        <v>1.8951232343548816E-4</v>
      </c>
      <c r="AV132" s="44">
        <v>1.8329802465626431E-4</v>
      </c>
      <c r="AW132" s="44">
        <v>3.7563165391043955E-4</v>
      </c>
      <c r="AX132" s="44">
        <v>2.8400650288821946E-4</v>
      </c>
      <c r="AY132" s="44">
        <v>2.705433557702977E-4</v>
      </c>
      <c r="AZ132" s="44">
        <v>8.6840119563643696E-5</v>
      </c>
      <c r="BA132" s="44">
        <v>-3.9508524662734335E-5</v>
      </c>
      <c r="BB132" s="44">
        <v>1.8156521356956239E-4</v>
      </c>
      <c r="BC132" s="44">
        <v>3.1137175252084177E-4</v>
      </c>
      <c r="BD132" s="44">
        <v>2.2521219127020017E-4</v>
      </c>
      <c r="BE132" s="44">
        <v>9.9659167928174271E-5</v>
      </c>
      <c r="BF132" s="44">
        <v>2.6688933573226976E-4</v>
      </c>
      <c r="BG132" s="44">
        <v>2.1867027123058806E-4</v>
      </c>
      <c r="BH132" s="44">
        <v>1.3456719813515416E-4</v>
      </c>
      <c r="BI132" s="44">
        <v>1.3852826275542567E-4</v>
      </c>
      <c r="BJ132" s="44">
        <v>1.5804553876556959E-4</v>
      </c>
      <c r="BK132" s="44">
        <v>1.7636608752325084E-4</v>
      </c>
      <c r="BL132" s="44">
        <v>1.4741601878958362E-4</v>
      </c>
      <c r="BM132" s="44">
        <v>2.1581973723981213E-4</v>
      </c>
      <c r="BN132" s="44">
        <v>2.6192585755598958E-4</v>
      </c>
      <c r="BO132" s="44">
        <v>4.7743766357784549E-4</v>
      </c>
      <c r="BP132" s="44">
        <v>2.6553167963511696E-4</v>
      </c>
      <c r="BQ132" s="44">
        <v>2.0148768746065657E-4</v>
      </c>
      <c r="BR132" s="44">
        <f>VARP(Valorização!$AE$2:$AE$247)</f>
        <v>2.7145380541981684E-4</v>
      </c>
      <c r="BS132" s="44"/>
      <c r="BT132" s="44"/>
      <c r="BU132" s="44"/>
      <c r="BV132" s="44"/>
      <c r="BW132" s="44"/>
    </row>
    <row r="133" spans="1:75">
      <c r="A133" s="3" t="str">
        <f>Cotacao!C133</f>
        <v>1/6/2020 16:56:00</v>
      </c>
      <c r="B133" s="6">
        <f>IFERROR(LN(Cotacao!D134/Cotacao!D133),B132)</f>
        <v>-1.2689286906491916E-2</v>
      </c>
      <c r="C133" s="6">
        <f>IFERROR(LN(Cotacao!F134/Cotacao!F133),C132)</f>
        <v>5.2205691605951418E-4</v>
      </c>
      <c r="D133" s="6">
        <f>IFERROR(LN(Cotacao!H134/Cotacao!H133),D132)</f>
        <v>2.1188489098321116E-3</v>
      </c>
      <c r="E133" s="6">
        <f>IFERROR(LN(Cotacao!J134/Cotacao!J133),E132)</f>
        <v>4.6403795565023009E-3</v>
      </c>
      <c r="F133" s="6">
        <f>IFERROR(LN(Cotacao!L134/Cotacao!L133),F132)</f>
        <v>-5.9592200190872573E-3</v>
      </c>
      <c r="G133" s="6">
        <f>IFERROR(LN(Cotacao!N134/Cotacao!N133),G132)</f>
        <v>-1.3557110958449045E-2</v>
      </c>
      <c r="H133" s="6">
        <f>IFERROR(LN(Cotacao!P134/Cotacao!P133),H132)</f>
        <v>-1.9565155494840045E-2</v>
      </c>
      <c r="I133" s="6">
        <f>IFERROR(LN(Cotacao!R134/Cotacao!R133),I132)</f>
        <v>-7.141672931826425E-3</v>
      </c>
      <c r="J133" s="6">
        <f>IFERROR(LN(Cotacao!T134/Cotacao!T133),J132)</f>
        <v>4.5558165358608824E-3</v>
      </c>
      <c r="K133" s="6">
        <f>IFERROR(LN(Cotacao!V134/Cotacao!V133),K132)</f>
        <v>2.3383762266864144E-2</v>
      </c>
      <c r="L133" s="6">
        <f>IFERROR(LN(Cotacao!X134/Cotacao!X133),L132)</f>
        <v>-4.8398147693240363E-2</v>
      </c>
      <c r="M133" s="6">
        <f>IFERROR(LN(Profit!B133/Profit!B132),M132)</f>
        <v>0</v>
      </c>
      <c r="N133" s="6">
        <f>IFERROR(LN(Cotacao!AB134/Cotacao!AB133),N132)</f>
        <v>-7.697570269904315E-3</v>
      </c>
      <c r="O133" s="6">
        <f>IFERROR(LN(Cotacao!AD134/Cotacao!AD133),O132)</f>
        <v>1.29489743408031E-2</v>
      </c>
      <c r="P133" s="6">
        <f>IFERROR(LN(Cotacao!AF134/Cotacao!AF133),P132)</f>
        <v>-6.9808311413403169E-3</v>
      </c>
      <c r="Q133" s="6">
        <f>IFERROR(LN(Cotacao!AH134/Cotacao!AH133),Q132)</f>
        <v>7.2484287248281024E-3</v>
      </c>
      <c r="R133" s="6">
        <f>IFERROR(LN(Cotacao!AJ134/Cotacao!AJ133),R132)</f>
        <v>2.1897938336884078E-2</v>
      </c>
      <c r="S133" s="6">
        <f>IFERROR(LN(Cotacao!AL134/Cotacao!AL133),S132)</f>
        <v>1.1129661694206506E-3</v>
      </c>
      <c r="T133" s="6">
        <f>IFERROR(LN(Cotacao!AN134/Cotacao!AN133),T132)</f>
        <v>-7.9260652724207157E-3</v>
      </c>
      <c r="U133" s="6">
        <f>IFERROR(LN(Cotacao!AP134/Cotacao!AP133),U132)</f>
        <v>6.977957672292103E-3</v>
      </c>
      <c r="V133" s="6">
        <f>IFERROR(LN(Cotacao!AR134/Cotacao!AR133),V132)</f>
        <v>-1.6858636824416653E-2</v>
      </c>
      <c r="W133" s="6">
        <f>IFERROR(LN(Cotacao!AT134/Cotacao!AT133),W132)</f>
        <v>-3.1817579116380029E-2</v>
      </c>
      <c r="X133" s="6">
        <f>IFERROR(LN(Cotacao!AV134/Cotacao!AV133),X132)</f>
        <v>4.9825713444638731E-3</v>
      </c>
      <c r="Y133" s="6">
        <f>IFERROR(LN(Cotacao!AX134/Cotacao!AX133),Y132)</f>
        <v>3.0883983721033833E-3</v>
      </c>
      <c r="Z133" s="6">
        <f>IFERROR(LN(Cotacao!AZ134/Cotacao!AZ133),Z132)</f>
        <v>-3.1220017361214044E-2</v>
      </c>
      <c r="AA133" s="6">
        <f>IFERROR(LN(Cotacao!BB134/Cotacao!BB133),AA132)</f>
        <v>-2.6441578231787079E-2</v>
      </c>
      <c r="AB133" s="6">
        <f>IFERROR(LN(Cotacao!BD134/Cotacao!BD133),AB132)</f>
        <v>2.063665570148988E-2</v>
      </c>
      <c r="AC133" s="6">
        <f>IFERROR(LN(Cotacao!BF134/Cotacao!BF133),AC132)</f>
        <v>3.9920212695374567E-3</v>
      </c>
      <c r="AD133" s="6">
        <f>IFERROR(LN(Cotacao!BH134/Cotacao!BH133),AD132)</f>
        <v>-3.4904909148040321E-2</v>
      </c>
      <c r="AE133" s="6">
        <f>IFERROR(LN(Cotacao!BJ134/Cotacao!BJ133),AE132)</f>
        <v>3.8817380427799471E-3</v>
      </c>
      <c r="AF133" s="6">
        <f>IFERROR(LN(Cotacao!BL134/Cotacao!BL133),AF132)</f>
        <v>7.7110192158949646E-3</v>
      </c>
      <c r="AG133" s="6">
        <f>IFERROR(LN(Cotacao!BN134/Cotacao!BN133),AG132)</f>
        <v>3.1755900408949246E-2</v>
      </c>
      <c r="AH133" s="6">
        <f>IFERROR(LN(Cotacao!BP134/Cotacao!BP133),AH132)</f>
        <v>-3.9024439769317011E-3</v>
      </c>
      <c r="AI133" s="6">
        <f>IFERROR(LN(Cotacao!BR134/Cotacao!BR133),AI132)</f>
        <v>1.2948337947898704E-3</v>
      </c>
      <c r="AJ133" s="6">
        <f>IFERROR(LN(Profit!C133/Profit!C132),AJ132)</f>
        <v>2.4580102502691934E-3</v>
      </c>
      <c r="AK133" s="6">
        <f>IFERROR(LN(Cotacao!BV134/Cotacao!BV133),AK132)</f>
        <v>-1.8496205450669234E-3</v>
      </c>
      <c r="AL133" s="6">
        <f>IFERROR(LN(Cotacao!BX134/Cotacao!BX133),AL132)</f>
        <v>-2.3530497410194161E-2</v>
      </c>
      <c r="AN133" s="44" t="s">
        <v>33</v>
      </c>
      <c r="AO133" s="44">
        <v>5.6154270963976541E-4</v>
      </c>
      <c r="AP133" s="44">
        <v>3.7769261869919756E-4</v>
      </c>
      <c r="AQ133" s="44">
        <v>3.1568527699451127E-4</v>
      </c>
      <c r="AR133" s="44">
        <v>6.9202183367751897E-4</v>
      </c>
      <c r="AS133" s="44">
        <v>4.1225257373118896E-4</v>
      </c>
      <c r="AT133" s="44">
        <v>4.3261338448162518E-4</v>
      </c>
      <c r="AU133" s="44">
        <v>4.3136060070653594E-4</v>
      </c>
      <c r="AV133" s="44">
        <v>4.5744742538160455E-4</v>
      </c>
      <c r="AW133" s="44">
        <v>7.3596690157127001E-4</v>
      </c>
      <c r="AX133" s="44">
        <v>4.7781782520940088E-4</v>
      </c>
      <c r="AY133" s="44">
        <v>2.4155664651956757E-4</v>
      </c>
      <c r="AZ133" s="44">
        <v>2.6512822461421866E-4</v>
      </c>
      <c r="BA133" s="44">
        <v>-4.0557829162783001E-5</v>
      </c>
      <c r="BB133" s="44">
        <v>4.6710722576197712E-4</v>
      </c>
      <c r="BC133" s="44">
        <v>8.4511890122873905E-4</v>
      </c>
      <c r="BD133" s="44">
        <v>5.2516905536831781E-4</v>
      </c>
      <c r="BE133" s="44">
        <v>2.784007242975289E-4</v>
      </c>
      <c r="BF133" s="44">
        <v>5.8190841618845903E-4</v>
      </c>
      <c r="BG133" s="44">
        <v>2.7679136363391191E-4</v>
      </c>
      <c r="BH133" s="44">
        <v>1.9015875443544373E-4</v>
      </c>
      <c r="BI133" s="44">
        <v>1.4021857091388797E-4</v>
      </c>
      <c r="BJ133" s="44">
        <v>2.3874570395464764E-4</v>
      </c>
      <c r="BK133" s="44">
        <v>2.3473707249105306E-4</v>
      </c>
      <c r="BL133" s="44">
        <v>1.573259004799959E-4</v>
      </c>
      <c r="BM133" s="44">
        <v>3.8288642345024322E-4</v>
      </c>
      <c r="BN133" s="44">
        <v>3.393906659053671E-4</v>
      </c>
      <c r="BO133" s="44">
        <v>9.84206524998492E-4</v>
      </c>
      <c r="BP133" s="44">
        <v>6.6196761391591817E-4</v>
      </c>
      <c r="BQ133" s="44">
        <v>6.8182927961270528E-4</v>
      </c>
      <c r="BR133" s="44">
        <v>1.9463132215862217E-4</v>
      </c>
      <c r="BS133" s="44">
        <f>VARP(Valorização!$AF$2:$AF$247)</f>
        <v>1.1627058228438579E-3</v>
      </c>
      <c r="BT133" s="44"/>
      <c r="BU133" s="44"/>
      <c r="BV133" s="44"/>
      <c r="BW133" s="44"/>
    </row>
    <row r="134" spans="1:75">
      <c r="A134" s="3" t="str">
        <f>Cotacao!C134</f>
        <v>1/7/2020 16:56:00</v>
      </c>
      <c r="B134" s="6">
        <f>IFERROR(LN(Cotacao!D135/Cotacao!D134),B133)</f>
        <v>-2.9513056345803093E-3</v>
      </c>
      <c r="C134" s="6">
        <f>IFERROR(LN(Cotacao!F135/Cotacao!F134),C133)</f>
        <v>-5.2205691605959625E-4</v>
      </c>
      <c r="D134" s="6">
        <f>IFERROR(LN(Cotacao!H135/Cotacao!H134),D133)</f>
        <v>-1.0056166740291743E-2</v>
      </c>
      <c r="E134" s="6">
        <f>IFERROR(LN(Cotacao!J135/Cotacao!J134),E133)</f>
        <v>-1.1641575015485978E-2</v>
      </c>
      <c r="F134" s="6">
        <f>IFERROR(LN(Cotacao!L135/Cotacao!L134),F133)</f>
        <v>-1.3802624689584579E-3</v>
      </c>
      <c r="G134" s="6">
        <f>IFERROR(LN(Cotacao!N135/Cotacao!N134),G133)</f>
        <v>-1.5201161332050553E-2</v>
      </c>
      <c r="H134" s="6">
        <f>IFERROR(LN(Cotacao!P135/Cotacao!P134),H133)</f>
        <v>-1.0249929584345544E-2</v>
      </c>
      <c r="I134" s="6">
        <f>IFERROR(LN(Cotacao!R135/Cotacao!R134),I133)</f>
        <v>1.364256691813968E-3</v>
      </c>
      <c r="J134" s="6">
        <f>IFERROR(LN(Cotacao!T135/Cotacao!T134),J133)</f>
        <v>-1.7423641147253578E-2</v>
      </c>
      <c r="K134" s="6">
        <f>IFERROR(LN(Cotacao!V135/Cotacao!V134),K133)</f>
        <v>0</v>
      </c>
      <c r="L134" s="6">
        <f>IFERROR(LN(Cotacao!X135/Cotacao!X134),L133)</f>
        <v>-6.2884673299711258E-2</v>
      </c>
      <c r="M134" s="6">
        <f>IFERROR(LN(Profit!B134/Profit!B133),M133)</f>
        <v>9.1996968984234158E-3</v>
      </c>
      <c r="N134" s="6">
        <f>IFERROR(LN(Cotacao!AB135/Cotacao!AB134),N133)</f>
        <v>-3.6429912785009805E-3</v>
      </c>
      <c r="O134" s="6">
        <f>IFERROR(LN(Cotacao!AD135/Cotacao!AD134),O133)</f>
        <v>0</v>
      </c>
      <c r="P134" s="6">
        <f>IFERROR(LN(Cotacao!AF135/Cotacao!AF134),P133)</f>
        <v>3.5554203585396273E-2</v>
      </c>
      <c r="Q134" s="6">
        <f>IFERROR(LN(Cotacao!AH135/Cotacao!AH134),Q133)</f>
        <v>1.8516804052525209E-4</v>
      </c>
      <c r="R134" s="6">
        <f>IFERROR(LN(Cotacao!AJ135/Cotacao!AJ134),R133)</f>
        <v>1.007057856359609E-2</v>
      </c>
      <c r="S134" s="6">
        <f>IFERROR(LN(Cotacao!AL135/Cotacao!AL134),S133)</f>
        <v>0</v>
      </c>
      <c r="T134" s="6">
        <f>IFERROR(LN(Cotacao!AN135/Cotacao!AN134),T133)</f>
        <v>-1.8562017860059538E-2</v>
      </c>
      <c r="U134" s="6">
        <f>IFERROR(LN(Cotacao!AP135/Cotacao!AP134),U133)</f>
        <v>-6.2701044043072165E-3</v>
      </c>
      <c r="V134" s="6">
        <f>IFERROR(LN(Cotacao!AR135/Cotacao!AR134),V133)</f>
        <v>-3.4594644764499007E-2</v>
      </c>
      <c r="W134" s="6">
        <f>IFERROR(LN(Cotacao!AT135/Cotacao!AT134),W133)</f>
        <v>-3.3615292010879677E-2</v>
      </c>
      <c r="X134" s="6">
        <f>IFERROR(LN(Cotacao!AV135/Cotacao!AV134),X133)</f>
        <v>-5.98207167754754E-3</v>
      </c>
      <c r="Y134" s="6">
        <f>IFERROR(LN(Cotacao!AX135/Cotacao!AX134),Y133)</f>
        <v>-7.2464085207673097E-3</v>
      </c>
      <c r="Z134" s="6">
        <f>IFERROR(LN(Cotacao!AZ135/Cotacao!AZ134),Z133)</f>
        <v>-3.2226204377748036E-2</v>
      </c>
      <c r="AA134" s="6">
        <f>IFERROR(LN(Cotacao!BB135/Cotacao!BB134),AA133)</f>
        <v>-4.7322342425500874E-2</v>
      </c>
      <c r="AB134" s="6">
        <f>IFERROR(LN(Cotacao!BD135/Cotacao!BD134),AB133)</f>
        <v>4.159739775176933E-3</v>
      </c>
      <c r="AC134" s="6">
        <f>IFERROR(LN(Cotacao!BF135/Cotacao!BF134),AC133)</f>
        <v>-3.984857594073486E-4</v>
      </c>
      <c r="AD134" s="6">
        <f>IFERROR(LN(Cotacao!BH135/Cotacao!BH134),AD133)</f>
        <v>8.7135353978835244E-3</v>
      </c>
      <c r="AE134" s="6">
        <f>IFERROR(LN(Cotacao!BJ135/Cotacao!BJ134),AE133)</f>
        <v>-5.8268908123975761E-2</v>
      </c>
      <c r="AF134" s="6">
        <f>IFERROR(LN(Cotacao!BL135/Cotacao!BL134),AF133)</f>
        <v>-3.8572274786239619E-2</v>
      </c>
      <c r="AG134" s="6">
        <f>IFERROR(LN(Cotacao!BN135/Cotacao!BN134),AG133)</f>
        <v>-2.6827648551813713E-3</v>
      </c>
      <c r="AH134" s="6">
        <f>IFERROR(LN(Cotacao!BP135/Cotacao!BP134),AH133)</f>
        <v>-6.2101850182789339E-3</v>
      </c>
      <c r="AI134" s="6">
        <f>IFERROR(LN(Cotacao!BR135/Cotacao!BR134),AI133)</f>
        <v>-2.0657029460859396E-2</v>
      </c>
      <c r="AJ134" s="6">
        <f>IFERROR(LN(Profit!C134/Profit!C133),AJ133)</f>
        <v>1.2200232660947196E-2</v>
      </c>
      <c r="AK134" s="6">
        <f>IFERROR(LN(Cotacao!BV135/Cotacao!BV134),AK133)</f>
        <v>-3.5628549549062529E-3</v>
      </c>
      <c r="AL134" s="6">
        <f>IFERROR(LN(Cotacao!BX135/Cotacao!BX134),AL133)</f>
        <v>-2.5399211378856333E-2</v>
      </c>
      <c r="AN134" s="44" t="s">
        <v>34</v>
      </c>
      <c r="AO134" s="44">
        <v>6.7635491411557674E-4</v>
      </c>
      <c r="AP134" s="44">
        <v>5.3347234322003942E-4</v>
      </c>
      <c r="AQ134" s="44">
        <v>4.5976473601903189E-4</v>
      </c>
      <c r="AR134" s="44">
        <v>7.3662838370950592E-4</v>
      </c>
      <c r="AS134" s="44">
        <v>5.1392753747727543E-4</v>
      </c>
      <c r="AT134" s="44">
        <v>6.0107504733349711E-4</v>
      </c>
      <c r="AU134" s="44">
        <v>5.1855118239197415E-4</v>
      </c>
      <c r="AV134" s="44">
        <v>5.8396629677213616E-4</v>
      </c>
      <c r="AW134" s="44">
        <v>9.2967370128252229E-4</v>
      </c>
      <c r="AX134" s="44">
        <v>6.1286367281428145E-4</v>
      </c>
      <c r="AY134" s="44">
        <v>2.8259731287908824E-4</v>
      </c>
      <c r="AZ134" s="44">
        <v>3.4211258624567196E-4</v>
      </c>
      <c r="BA134" s="44">
        <v>3.6326647029073248E-5</v>
      </c>
      <c r="BB134" s="44">
        <v>4.5853700329664699E-4</v>
      </c>
      <c r="BC134" s="44">
        <v>8.2002309529327817E-4</v>
      </c>
      <c r="BD134" s="44">
        <v>7.4644431677337573E-4</v>
      </c>
      <c r="BE134" s="44">
        <v>4.0980557538551236E-4</v>
      </c>
      <c r="BF134" s="44">
        <v>6.3620636850369723E-4</v>
      </c>
      <c r="BG134" s="44">
        <v>3.2184443401542544E-4</v>
      </c>
      <c r="BH134" s="44">
        <v>2.1170039752186603E-4</v>
      </c>
      <c r="BI134" s="44">
        <v>2.2212494524766766E-4</v>
      </c>
      <c r="BJ134" s="44">
        <v>2.6851173641490115E-4</v>
      </c>
      <c r="BK134" s="44">
        <v>2.6585995674757571E-4</v>
      </c>
      <c r="BL134" s="44">
        <v>2.2707724468820062E-4</v>
      </c>
      <c r="BM134" s="44">
        <v>4.4693354587760695E-4</v>
      </c>
      <c r="BN134" s="44">
        <v>2.9513373922242925E-4</v>
      </c>
      <c r="BO134" s="44">
        <v>1.1192134647182246E-3</v>
      </c>
      <c r="BP134" s="44">
        <v>7.0548290316772529E-4</v>
      </c>
      <c r="BQ134" s="44">
        <v>6.4918346456256334E-4</v>
      </c>
      <c r="BR134" s="44">
        <v>2.2811827181996877E-4</v>
      </c>
      <c r="BS134" s="44">
        <v>7.1544653231548738E-4</v>
      </c>
      <c r="BT134" s="44">
        <f>VARP(Valorização!$AG$2:$AG$247)</f>
        <v>1.1903734414328165E-3</v>
      </c>
      <c r="BU134" s="44"/>
      <c r="BV134" s="44"/>
      <c r="BW134" s="44"/>
    </row>
    <row r="135" spans="1:75">
      <c r="A135" s="3" t="str">
        <f>Cotacao!C135</f>
        <v>1/8/2020 16:56:00</v>
      </c>
      <c r="B135" s="6">
        <f>IFERROR(LN(Cotacao!D136/Cotacao!D135),B134)</f>
        <v>0</v>
      </c>
      <c r="C135" s="6">
        <f>IFERROR(LN(Cotacao!F136/Cotacao!F135),C134)</f>
        <v>-2.8761949491754885E-3</v>
      </c>
      <c r="D135" s="6">
        <f>IFERROR(LN(Cotacao!H136/Cotacao!H135),D134)</f>
        <v>2.9112102074583131E-3</v>
      </c>
      <c r="E135" s="6">
        <f>IFERROR(LN(Cotacao!J136/Cotacao!J135),E134)</f>
        <v>-4.6743080547706976E-2</v>
      </c>
      <c r="F135" s="6">
        <f>IFERROR(LN(Cotacao!L136/Cotacao!L135),F134)</f>
        <v>2.4557850781664184E-2</v>
      </c>
      <c r="G135" s="6">
        <f>IFERROR(LN(Cotacao!N136/Cotacao!N135),G134)</f>
        <v>-1.9890158479219686E-2</v>
      </c>
      <c r="H135" s="6">
        <f>IFERROR(LN(Cotacao!P136/Cotacao!P135),H134)</f>
        <v>-9.3806283865904908E-3</v>
      </c>
      <c r="I135" s="6">
        <f>IFERROR(LN(Cotacao!R136/Cotacao!R135),I134)</f>
        <v>-1.4072653726791912E-2</v>
      </c>
      <c r="J135" s="6">
        <f>IFERROR(LN(Cotacao!T136/Cotacao!T135),J134)</f>
        <v>-7.4280750085098605E-3</v>
      </c>
      <c r="K135" s="6">
        <f>IFERROR(LN(Cotacao!V136/Cotacao!V135),K134)</f>
        <v>-3.0864222031895027E-3</v>
      </c>
      <c r="L135" s="6">
        <f>IFERROR(LN(Cotacao!X136/Cotacao!X135),L134)</f>
        <v>-7.6350125480386267E-3</v>
      </c>
      <c r="M135" s="6">
        <f>IFERROR(LN(Profit!B135/Profit!B134),M134)</f>
        <v>6.9355999862402715E-3</v>
      </c>
      <c r="N135" s="6">
        <f>IFERROR(LN(Cotacao!AB136/Cotacao!AB135),N134)</f>
        <v>8.1781464438922691E-3</v>
      </c>
      <c r="O135" s="6">
        <f>IFERROR(LN(Cotacao!AD136/Cotacao!AD135),O134)</f>
        <v>1.5474196582597383E-2</v>
      </c>
      <c r="P135" s="6">
        <f>IFERROR(LN(Cotacao!AF136/Cotacao!AF135),P134)</f>
        <v>-8.7707451478763587E-3</v>
      </c>
      <c r="Q135" s="6">
        <f>IFERROR(LN(Cotacao!AH136/Cotacao!AH135),Q134)</f>
        <v>-1.3232883433000876E-2</v>
      </c>
      <c r="R135" s="6">
        <f>IFERROR(LN(Cotacao!AJ136/Cotacao!AJ135),R134)</f>
        <v>-1.6976963927129687E-2</v>
      </c>
      <c r="S135" s="6">
        <f>IFERROR(LN(Cotacao!AL136/Cotacao!AL135),S134)</f>
        <v>-1.1129661694206081E-3</v>
      </c>
      <c r="T135" s="6">
        <f>IFERROR(LN(Cotacao!AN136/Cotacao!AN135),T134)</f>
        <v>8.7885060330793376E-3</v>
      </c>
      <c r="U135" s="6">
        <f>IFERROR(LN(Cotacao!AP136/Cotacao!AP135),U134)</f>
        <v>-1.9771178777402344E-2</v>
      </c>
      <c r="V135" s="6">
        <f>IFERROR(LN(Cotacao!AR136/Cotacao!AR135),V134)</f>
        <v>-4.0080213975388218E-3</v>
      </c>
      <c r="W135" s="6">
        <f>IFERROR(LN(Cotacao!AT136/Cotacao!AT135),W134)</f>
        <v>8.3163236916212E-3</v>
      </c>
      <c r="X135" s="6">
        <f>IFERROR(LN(Cotacao!AV136/Cotacao!AV135),X134)</f>
        <v>-6.8232253481255367E-3</v>
      </c>
      <c r="Y135" s="6">
        <f>IFERROR(LN(Cotacao!AX136/Cotacao!AX135),Y134)</f>
        <v>6.0423144559626617E-3</v>
      </c>
      <c r="Z135" s="6">
        <f>IFERROR(LN(Cotacao!AZ136/Cotacao!AZ135),Z134)</f>
        <v>1.9460073554712343E-2</v>
      </c>
      <c r="AA135" s="6">
        <f>IFERROR(LN(Cotacao!BB136/Cotacao!BB135),AA134)</f>
        <v>-2.098723556031809E-2</v>
      </c>
      <c r="AB135" s="6">
        <f>IFERROR(LN(Cotacao!BD136/Cotacao!BD135),AB134)</f>
        <v>1.4833399294101095E-2</v>
      </c>
      <c r="AC135" s="6">
        <f>IFERROR(LN(Cotacao!BF136/Cotacao!BF135),AC134)</f>
        <v>-3.4465199177217257E-2</v>
      </c>
      <c r="AD135" s="6">
        <f>IFERROR(LN(Cotacao!BH136/Cotacao!BH135),AD134)</f>
        <v>7.8790596955361034E-3</v>
      </c>
      <c r="AE135" s="6">
        <f>IFERROR(LN(Cotacao!BJ136/Cotacao!BJ135),AE134)</f>
        <v>-3.5281814144639712E-2</v>
      </c>
      <c r="AF135" s="6">
        <f>IFERROR(LN(Cotacao!BL136/Cotacao!BL135),AF134)</f>
        <v>-1.4894526171792299E-2</v>
      </c>
      <c r="AG135" s="6">
        <f>IFERROR(LN(Cotacao!BN136/Cotacao!BN135),AG134)</f>
        <v>-4.478280415193343E-4</v>
      </c>
      <c r="AH135" s="6">
        <f>IFERROR(LN(Cotacao!BP136/Cotacao!BP135),AH134)</f>
        <v>-3.2840752011899961E-3</v>
      </c>
      <c r="AI135" s="6">
        <f>IFERROR(LN(Cotacao!BR136/Cotacao!BR135),AI134)</f>
        <v>-3.9062205240762933E-2</v>
      </c>
      <c r="AJ135" s="6">
        <f>IFERROR(LN(Profit!C135/Profit!C134),AJ134)</f>
        <v>1.1254138074423334E-2</v>
      </c>
      <c r="AK135" s="6">
        <f>IFERROR(LN(Cotacao!BV136/Cotacao!BV135),AK134)</f>
        <v>-2.5833568995221861E-3</v>
      </c>
      <c r="AL135" s="6">
        <f>IFERROR(LN(Cotacao!BX136/Cotacao!BX135),AL134)</f>
        <v>2.2856298374744146E-2</v>
      </c>
      <c r="AN135" s="44" t="s">
        <v>35</v>
      </c>
      <c r="AO135" s="44">
        <v>8.3861728519566434E-4</v>
      </c>
      <c r="AP135" s="44">
        <v>5.5444767717205293E-4</v>
      </c>
      <c r="AQ135" s="44">
        <v>4.8747554867238082E-4</v>
      </c>
      <c r="AR135" s="44">
        <v>1.2345184464313966E-3</v>
      </c>
      <c r="AS135" s="44">
        <v>5.8983634895015344E-4</v>
      </c>
      <c r="AT135" s="44">
        <v>7.145811503330115E-4</v>
      </c>
      <c r="AU135" s="44">
        <v>6.4737067738525279E-4</v>
      </c>
      <c r="AV135" s="44">
        <v>6.6585705743917045E-4</v>
      </c>
      <c r="AW135" s="44">
        <v>1.0928066138953107E-3</v>
      </c>
      <c r="AX135" s="44">
        <v>7.4121456703746843E-4</v>
      </c>
      <c r="AY135" s="44">
        <v>4.4219496146196601E-4</v>
      </c>
      <c r="AZ135" s="44">
        <v>3.5899537482494238E-4</v>
      </c>
      <c r="BA135" s="44">
        <v>-2.4610993537893145E-5</v>
      </c>
      <c r="BB135" s="44">
        <v>6.966504730403282E-4</v>
      </c>
      <c r="BC135" s="44">
        <v>1.0712540460292394E-3</v>
      </c>
      <c r="BD135" s="44">
        <v>1.0617866952535176E-3</v>
      </c>
      <c r="BE135" s="44">
        <v>4.9872847871482021E-4</v>
      </c>
      <c r="BF135" s="44">
        <v>8.8641085274395251E-4</v>
      </c>
      <c r="BG135" s="44">
        <v>4.5200048114859062E-4</v>
      </c>
      <c r="BH135" s="44">
        <v>2.953899972948047E-4</v>
      </c>
      <c r="BI135" s="44">
        <v>2.747970806272615E-4</v>
      </c>
      <c r="BJ135" s="44">
        <v>3.4153591246776673E-4</v>
      </c>
      <c r="BK135" s="44">
        <v>3.4127092464964712E-4</v>
      </c>
      <c r="BL135" s="44">
        <v>2.7145913872564695E-4</v>
      </c>
      <c r="BM135" s="44">
        <v>5.7402821280359145E-4</v>
      </c>
      <c r="BN135" s="44">
        <v>4.657412752425032E-4</v>
      </c>
      <c r="BO135" s="44">
        <v>1.3463248937299139E-3</v>
      </c>
      <c r="BP135" s="44">
        <v>9.9639549328470168E-4</v>
      </c>
      <c r="BQ135" s="44">
        <v>7.7408411421177141E-4</v>
      </c>
      <c r="BR135" s="44">
        <v>3.4720482849866501E-4</v>
      </c>
      <c r="BS135" s="44">
        <v>8.8006404993263817E-4</v>
      </c>
      <c r="BT135" s="44">
        <v>1.034537313051985E-3</v>
      </c>
      <c r="BU135" s="44">
        <f>VARP(Valorização!$AH$2:$AH$247)</f>
        <v>1.8569704661684204E-3</v>
      </c>
      <c r="BV135" s="44"/>
      <c r="BW135" s="44"/>
    </row>
    <row r="136" spans="1:75">
      <c r="A136" s="3" t="str">
        <f>Cotacao!C136</f>
        <v>1/9/2020 16:56:00</v>
      </c>
      <c r="B136" s="6">
        <f>IFERROR(LN(Cotacao!D137/Cotacao!D136),B135)</f>
        <v>-9.8570732475918824E-4</v>
      </c>
      <c r="C136" s="6">
        <f>IFERROR(LN(Cotacao!F137/Cotacao!F136),C135)</f>
        <v>-4.8004926594729803E-2</v>
      </c>
      <c r="D136" s="6">
        <f>IFERROR(LN(Cotacao!H137/Cotacao!H136),D135)</f>
        <v>1.4812235803879116E-2</v>
      </c>
      <c r="E136" s="6">
        <f>IFERROR(LN(Cotacao!J137/Cotacao!J136),E135)</f>
        <v>2.6038407186016022E-2</v>
      </c>
      <c r="F136" s="6">
        <f>IFERROR(LN(Cotacao!L137/Cotacao!L136),F135)</f>
        <v>1.8251118672038897E-2</v>
      </c>
      <c r="G136" s="6">
        <f>IFERROR(LN(Cotacao!N137/Cotacao!N136),G135)</f>
        <v>-6.7189502487449808E-3</v>
      </c>
      <c r="H136" s="6">
        <f>IFERROR(LN(Cotacao!P137/Cotacao!P136),H135)</f>
        <v>-1.2097580921774501E-2</v>
      </c>
      <c r="I136" s="6">
        <f>IFERROR(LN(Cotacao!R137/Cotacao!R136),I135)</f>
        <v>3.0635479538613408E-2</v>
      </c>
      <c r="J136" s="6">
        <f>IFERROR(LN(Cotacao!T137/Cotacao!T136),J135)</f>
        <v>-9.8338418321265997E-3</v>
      </c>
      <c r="K136" s="6">
        <f>IFERROR(LN(Cotacao!V137/Cotacao!V136),K135)</f>
        <v>4.6260683887822431E-3</v>
      </c>
      <c r="L136" s="6">
        <f>IFERROR(LN(Cotacao!X137/Cotacao!X136),L135)</f>
        <v>3.5846131773135878E-2</v>
      </c>
      <c r="M136" s="6">
        <f>IFERROR(LN(Profit!B136/Profit!B135),M135)</f>
        <v>3.6310860520403485E-3</v>
      </c>
      <c r="N136" s="6">
        <f>IFERROR(LN(Cotacao!AB137/Cotacao!AB136),N135)</f>
        <v>1.3483350337286988E-2</v>
      </c>
      <c r="O136" s="6">
        <f>IFERROR(LN(Cotacao!AD137/Cotacao!AD136),O135)</f>
        <v>9.5511709843429868E-3</v>
      </c>
      <c r="P136" s="6">
        <f>IFERROR(LN(Cotacao!AF137/Cotacao!AF136),P135)</f>
        <v>2.8413127055768787E-4</v>
      </c>
      <c r="Q136" s="6">
        <f>IFERROR(LN(Cotacao!AH137/Cotacao!AH136),Q135)</f>
        <v>1.1250704355695428E-3</v>
      </c>
      <c r="R136" s="6">
        <f>IFERROR(LN(Cotacao!AJ137/Cotacao!AJ136),R135)</f>
        <v>2.4563344891703479E-2</v>
      </c>
      <c r="S136" s="6">
        <f>IFERROR(LN(Cotacao!AL137/Cotacao!AL136),S135)</f>
        <v>1.4372828957758684E-2</v>
      </c>
      <c r="T136" s="6">
        <f>IFERROR(LN(Cotacao!AN137/Cotacao!AN136),T135)</f>
        <v>1.0657294473987979E-2</v>
      </c>
      <c r="U136" s="6">
        <f>IFERROR(LN(Cotacao!AP137/Cotacao!AP136),U135)</f>
        <v>-1.3563908905768611E-2</v>
      </c>
      <c r="V136" s="6">
        <f>IFERROR(LN(Cotacao!AR137/Cotacao!AR136),V135)</f>
        <v>6.4051459972602146E-3</v>
      </c>
      <c r="W136" s="6">
        <f>IFERROR(LN(Cotacao!AT137/Cotacao!AT136),W135)</f>
        <v>2.2581868835918847E-3</v>
      </c>
      <c r="X136" s="6">
        <f>IFERROR(LN(Cotacao!AV137/Cotacao!AV136),X135)</f>
        <v>6.7565564591379797E-3</v>
      </c>
      <c r="Y136" s="6">
        <f>IFERROR(LN(Cotacao!AX137/Cotacao!AX136),Y135)</f>
        <v>3.7643516348898336E-4</v>
      </c>
      <c r="Z136" s="6">
        <f>IFERROR(LN(Cotacao!AZ137/Cotacao!AZ136),Z135)</f>
        <v>-2.1436235432513418E-3</v>
      </c>
      <c r="AA136" s="6">
        <f>IFERROR(LN(Cotacao!BB137/Cotacao!BB136),AA135)</f>
        <v>4.2940460623546953E-3</v>
      </c>
      <c r="AB136" s="6">
        <f>IFERROR(LN(Cotacao!BD137/Cotacao!BD136),AB135)</f>
        <v>-4.0908161748638195E-4</v>
      </c>
      <c r="AC136" s="6">
        <f>IFERROR(LN(Cotacao!BF137/Cotacao!BF136),AC135)</f>
        <v>-3.7197811025320121E-3</v>
      </c>
      <c r="AD136" s="6">
        <f>IFERROR(LN(Cotacao!BH137/Cotacao!BH136),AD135)</f>
        <v>9.323489486187473E-3</v>
      </c>
      <c r="AE136" s="6">
        <f>IFERROR(LN(Cotacao!BJ137/Cotacao!BJ136),AE135)</f>
        <v>-1.1670040751152253E-2</v>
      </c>
      <c r="AF136" s="6">
        <f>IFERROR(LN(Cotacao!BL137/Cotacao!BL136),AF135)</f>
        <v>2.0202707317519469E-2</v>
      </c>
      <c r="AG136" s="6">
        <f>IFERROR(LN(Cotacao!BN137/Cotacao!BN136),AG135)</f>
        <v>-7.869630271418104E-3</v>
      </c>
      <c r="AH136" s="6">
        <f>IFERROR(LN(Cotacao!BP137/Cotacao!BP136),AH135)</f>
        <v>-4.2854853785486771E-3</v>
      </c>
      <c r="AI136" s="6">
        <f>IFERROR(LN(Cotacao!BR137/Cotacao!BR136),AI135)</f>
        <v>2.2277476571409643E-2</v>
      </c>
      <c r="AJ136" s="6">
        <f>IFERROR(LN(Profit!C136/Profit!C135),AJ135)</f>
        <v>2.2916846446751713E-2</v>
      </c>
      <c r="AK136" s="6">
        <f>IFERROR(LN(Cotacao!BV137/Cotacao!BV136),AK135)</f>
        <v>-3.833998941401478E-3</v>
      </c>
      <c r="AL136" s="6">
        <f>IFERROR(LN(Cotacao!BX137/Cotacao!BX136),AL135)</f>
        <v>9.8179727676290848E-3</v>
      </c>
      <c r="AN136" s="44" t="s">
        <v>36</v>
      </c>
      <c r="AO136" s="44">
        <v>1.2877994164832846E-3</v>
      </c>
      <c r="AP136" s="44">
        <v>5.9095212641650633E-4</v>
      </c>
      <c r="AQ136" s="44">
        <v>6.5534945998624327E-4</v>
      </c>
      <c r="AR136" s="44">
        <v>2.0716078411760512E-3</v>
      </c>
      <c r="AS136" s="44">
        <v>8.5724079757906768E-4</v>
      </c>
      <c r="AT136" s="44">
        <v>9.5523377243392237E-4</v>
      </c>
      <c r="AU136" s="44">
        <v>9.310616470983834E-4</v>
      </c>
      <c r="AV136" s="44">
        <v>9.733788284691184E-4</v>
      </c>
      <c r="AW136" s="44">
        <v>1.7101995960450945E-3</v>
      </c>
      <c r="AX136" s="44">
        <v>1.0998966494819708E-3</v>
      </c>
      <c r="AY136" s="44">
        <v>9.0487842154419193E-4</v>
      </c>
      <c r="AZ136" s="44">
        <v>5.1094750975611144E-4</v>
      </c>
      <c r="BA136" s="44">
        <v>-2.326210331972351E-5</v>
      </c>
      <c r="BB136" s="44">
        <v>1.0719586324804051E-3</v>
      </c>
      <c r="BC136" s="44">
        <v>1.5917835626293193E-3</v>
      </c>
      <c r="BD136" s="44">
        <v>1.3014781648419658E-3</v>
      </c>
      <c r="BE136" s="44">
        <v>6.0695060333563501E-4</v>
      </c>
      <c r="BF136" s="44">
        <v>1.3142453050584712E-3</v>
      </c>
      <c r="BG136" s="44">
        <v>8.329908917960138E-4</v>
      </c>
      <c r="BH136" s="44">
        <v>4.511379941677729E-4</v>
      </c>
      <c r="BI136" s="44">
        <v>4.166462076742257E-4</v>
      </c>
      <c r="BJ136" s="44">
        <v>5.4971347054492839E-4</v>
      </c>
      <c r="BK136" s="44">
        <v>6.3299120722833807E-4</v>
      </c>
      <c r="BL136" s="44">
        <v>4.9585812199570234E-4</v>
      </c>
      <c r="BM136" s="44">
        <v>8.7694280546516009E-4</v>
      </c>
      <c r="BN136" s="44">
        <v>9.0446156402443129E-4</v>
      </c>
      <c r="BO136" s="44">
        <v>2.3339776272047323E-3</v>
      </c>
      <c r="BP136" s="44">
        <v>1.5429947978328241E-3</v>
      </c>
      <c r="BQ136" s="44">
        <v>1.0839151267920714E-3</v>
      </c>
      <c r="BR136" s="44">
        <v>6.2571299416608664E-4</v>
      </c>
      <c r="BS136" s="44">
        <v>1.2598151931704248E-3</v>
      </c>
      <c r="BT136" s="44">
        <v>1.3136033081483757E-3</v>
      </c>
      <c r="BU136" s="44">
        <v>2.1912971858805219E-3</v>
      </c>
      <c r="BV136" s="44">
        <f>VARP(Valorização!$AI$2:$AI$247)</f>
        <v>4.6020770134625327E-3</v>
      </c>
      <c r="BW136" s="44"/>
    </row>
    <row r="137" spans="1:75" ht="15" thickBot="1">
      <c r="A137" s="3" t="str">
        <f>Cotacao!C137</f>
        <v>1/10/2020 16:56:00</v>
      </c>
      <c r="B137" s="6">
        <f>IFERROR(LN(Cotacao!D138/Cotacao!D137),B136)</f>
        <v>1.4684551682921099E-2</v>
      </c>
      <c r="C137" s="6">
        <f>IFERROR(LN(Cotacao!F138/Cotacao!F137),C136)</f>
        <v>-7.4452294831459818E-3</v>
      </c>
      <c r="D137" s="6">
        <f>IFERROR(LN(Cotacao!H138/Cotacao!H137),D136)</f>
        <v>1.8727493315972035E-2</v>
      </c>
      <c r="E137" s="6">
        <f>IFERROR(LN(Cotacao!J138/Cotacao!J137),E136)</f>
        <v>3.869181336745902E-2</v>
      </c>
      <c r="F137" s="6">
        <f>IFERROR(LN(Cotacao!L138/Cotacao!L137),F136)</f>
        <v>0</v>
      </c>
      <c r="G137" s="6">
        <f>IFERROR(LN(Cotacao!N138/Cotacao!N137),G136)</f>
        <v>1.3393057336438035E-2</v>
      </c>
      <c r="H137" s="6">
        <f>IFERROR(LN(Cotacao!P138/Cotacao!P137),H136)</f>
        <v>1.404563348588298E-2</v>
      </c>
      <c r="I137" s="6">
        <f>IFERROR(LN(Cotacao!R138/Cotacao!R137),I136)</f>
        <v>2.0571395629248829E-2</v>
      </c>
      <c r="J137" s="6">
        <f>IFERROR(LN(Cotacao!T138/Cotacao!T137),J136)</f>
        <v>1.4946565030639201E-2</v>
      </c>
      <c r="K137" s="6">
        <f>IFERROR(LN(Cotacao!V138/Cotacao!V137),K136)</f>
        <v>1.5267472130788381E-2</v>
      </c>
      <c r="L137" s="6">
        <f>IFERROR(LN(Cotacao!X138/Cotacao!X137),L136)</f>
        <v>-1.0619568827460261E-2</v>
      </c>
      <c r="M137" s="6">
        <f>IFERROR(LN(Profit!B137/Profit!B136),M136)</f>
        <v>6.1427474094090089E-3</v>
      </c>
      <c r="N137" s="6">
        <f>IFERROR(LN(Cotacao!AB138/Cotacao!AB137),N136)</f>
        <v>-1.7873105740957515E-3</v>
      </c>
      <c r="O137" s="6">
        <f>IFERROR(LN(Cotacao!AD138/Cotacao!AD137),O136)</f>
        <v>3.8015586848246641E-4</v>
      </c>
      <c r="P137" s="6">
        <f>IFERROR(LN(Cotacao!AF138/Cotacao!AF137),P136)</f>
        <v>9.8940736451983164E-3</v>
      </c>
      <c r="Q137" s="6">
        <f>IFERROR(LN(Cotacao!AH138/Cotacao!AH137),Q136)</f>
        <v>3.571150692092083E-2</v>
      </c>
      <c r="R137" s="6">
        <f>IFERROR(LN(Cotacao!AJ138/Cotacao!AJ137),R136)</f>
        <v>2.9782765543390665E-2</v>
      </c>
      <c r="S137" s="6">
        <f>IFERROR(LN(Cotacao!AL138/Cotacao!AL137),S136)</f>
        <v>1.7410668305896795E-2</v>
      </c>
      <c r="T137" s="6">
        <f>IFERROR(LN(Cotacao!AN138/Cotacao!AN137),T136)</f>
        <v>5.7256267406658847E-3</v>
      </c>
      <c r="U137" s="6">
        <f>IFERROR(LN(Cotacao!AP138/Cotacao!AP137),U136)</f>
        <v>3.3335087683170901E-2</v>
      </c>
      <c r="V137" s="6">
        <f>IFERROR(LN(Cotacao!AR138/Cotacao!AR137),V136)</f>
        <v>7.1570882050902285E-3</v>
      </c>
      <c r="W137" s="6">
        <f>IFERROR(LN(Cotacao!AT138/Cotacao!AT137),W136)</f>
        <v>1.4925650216675792E-2</v>
      </c>
      <c r="X137" s="6">
        <f>IFERROR(LN(Cotacao!AV138/Cotacao!AV137),X136)</f>
        <v>-1.60138821170941E-3</v>
      </c>
      <c r="Y137" s="6">
        <f>IFERROR(LN(Cotacao!AX138/Cotacao!AX137),Y136)</f>
        <v>2.856285766297944E-3</v>
      </c>
      <c r="Z137" s="6">
        <f>IFERROR(LN(Cotacao!AZ138/Cotacao!AZ137),Z136)</f>
        <v>-2.6088436084297967E-2</v>
      </c>
      <c r="AA137" s="6">
        <f>IFERROR(LN(Cotacao!BB138/Cotacao!BB137),AA136)</f>
        <v>1.1512742856391825E-2</v>
      </c>
      <c r="AB137" s="6">
        <f>IFERROR(LN(Cotacao!BD138/Cotacao!BD137),AB136)</f>
        <v>4.0908161748636716E-4</v>
      </c>
      <c r="AC137" s="6">
        <f>IFERROR(LN(Cotacao!BF138/Cotacao!BF137),AC136)</f>
        <v>1.4388737452099671E-2</v>
      </c>
      <c r="AD137" s="6">
        <f>IFERROR(LN(Cotacao!BH138/Cotacao!BH137),AD136)</f>
        <v>-4.5248945982896893E-3</v>
      </c>
      <c r="AE137" s="6">
        <f>IFERROR(LN(Cotacao!BJ138/Cotacao!BJ137),AE136)</f>
        <v>2.5387676979951462E-2</v>
      </c>
      <c r="AF137" s="6">
        <f>IFERROR(LN(Cotacao!BL138/Cotacao!BL137),AF136)</f>
        <v>9.367750003600241E-3</v>
      </c>
      <c r="AG137" s="6">
        <f>IFERROR(LN(Cotacao!BN138/Cotacao!BN137),AG136)</f>
        <v>1.128031704498637E-3</v>
      </c>
      <c r="AH137" s="6">
        <f>IFERROR(LN(Cotacao!BP138/Cotacao!BP137),AH136)</f>
        <v>1.9801986668625008E-3</v>
      </c>
      <c r="AI137" s="6">
        <f>IFERROR(LN(Cotacao!BR138/Cotacao!BR137),AI136)</f>
        <v>4.2089326526759591E-2</v>
      </c>
      <c r="AJ137" s="6">
        <f>IFERROR(LN(Profit!C137/Profit!C136),AJ136)</f>
        <v>1.0105021858194497E-2</v>
      </c>
      <c r="AK137" s="6">
        <f>IFERROR(LN(Cotacao!BV138/Cotacao!BV137),AK136)</f>
        <v>1.5650108297688307E-2</v>
      </c>
      <c r="AL137" s="6">
        <f>IFERROR(LN(Cotacao!BX138/Cotacao!BX137),AL136)</f>
        <v>-9.4997547856279854E-3</v>
      </c>
      <c r="AN137" s="45" t="s">
        <v>37</v>
      </c>
      <c r="AO137" s="45">
        <v>4.7243777439174564E-4</v>
      </c>
      <c r="AP137" s="45">
        <v>2.8287561733646914E-4</v>
      </c>
      <c r="AQ137" s="45">
        <v>3.6311256741844715E-4</v>
      </c>
      <c r="AR137" s="45">
        <v>5.940381888271827E-4</v>
      </c>
      <c r="AS137" s="45">
        <v>4.4659868481831478E-4</v>
      </c>
      <c r="AT137" s="45">
        <v>4.2057450073403443E-4</v>
      </c>
      <c r="AU137" s="45">
        <v>3.8739451691012023E-4</v>
      </c>
      <c r="AV137" s="45">
        <v>4.4917055856630777E-4</v>
      </c>
      <c r="AW137" s="45">
        <v>6.7296696163163792E-4</v>
      </c>
      <c r="AX137" s="45">
        <v>5.7391460397161905E-4</v>
      </c>
      <c r="AY137" s="45">
        <v>3.4953605458972495E-4</v>
      </c>
      <c r="AZ137" s="45">
        <v>2.5906524602910524E-4</v>
      </c>
      <c r="BA137" s="45">
        <v>-2.4442896687287611E-6</v>
      </c>
      <c r="BB137" s="45">
        <v>4.362077901402664E-4</v>
      </c>
      <c r="BC137" s="45">
        <v>7.457948305038645E-4</v>
      </c>
      <c r="BD137" s="45">
        <v>5.2135560188877443E-4</v>
      </c>
      <c r="BE137" s="45">
        <v>2.9912759409336174E-4</v>
      </c>
      <c r="BF137" s="45">
        <v>5.4383530324592479E-4</v>
      </c>
      <c r="BG137" s="45">
        <v>3.488074327476671E-4</v>
      </c>
      <c r="BH137" s="45">
        <v>1.8525604702465095E-4</v>
      </c>
      <c r="BI137" s="45">
        <v>2.3191638451038824E-4</v>
      </c>
      <c r="BJ137" s="45">
        <v>2.314330440647346E-4</v>
      </c>
      <c r="BK137" s="45">
        <v>2.6320917071503334E-4</v>
      </c>
      <c r="BL137" s="45">
        <v>1.9267871868022853E-4</v>
      </c>
      <c r="BM137" s="45">
        <v>3.9085236528008343E-4</v>
      </c>
      <c r="BN137" s="45">
        <v>2.8630773170681766E-4</v>
      </c>
      <c r="BO137" s="45">
        <v>8.8160063080283213E-4</v>
      </c>
      <c r="BP137" s="45">
        <v>6.1020151588144552E-4</v>
      </c>
      <c r="BQ137" s="45">
        <v>5.2594412704626867E-4</v>
      </c>
      <c r="BR137" s="45">
        <v>2.0266268032144528E-4</v>
      </c>
      <c r="BS137" s="45">
        <v>5.0656828036030701E-4</v>
      </c>
      <c r="BT137" s="45">
        <v>5.4233205682547431E-4</v>
      </c>
      <c r="BU137" s="45">
        <v>7.308273102972243E-4</v>
      </c>
      <c r="BV137" s="45">
        <v>1.1324303467340172E-3</v>
      </c>
      <c r="BW137" s="45">
        <f>VARP(Valorização!$AJ$2:$AJ$247)</f>
        <v>8.6297779941043576E-4</v>
      </c>
    </row>
    <row r="138" spans="1:75">
      <c r="A138" s="3" t="str">
        <f>Cotacao!C138</f>
        <v>1/13/2020 16:56:00</v>
      </c>
      <c r="B138" s="6">
        <f>IFERROR(LN(Cotacao!D139/Cotacao!D138),B137)</f>
        <v>-9.2751458195396066E-3</v>
      </c>
      <c r="C138" s="6">
        <f>IFERROR(LN(Cotacao!F139/Cotacao!F138),C137)</f>
        <v>1.1831201426400376E-2</v>
      </c>
      <c r="D138" s="6">
        <f>IFERROR(LN(Cotacao!H139/Cotacao!H138),D137)</f>
        <v>1.3772784245067575E-2</v>
      </c>
      <c r="E138" s="6">
        <f>IFERROR(LN(Cotacao!J139/Cotacao!J138),E137)</f>
        <v>5.7487785429159472E-4</v>
      </c>
      <c r="F138" s="6">
        <f>IFERROR(LN(Cotacao!L139/Cotacao!L138),F137)</f>
        <v>0</v>
      </c>
      <c r="G138" s="6">
        <f>IFERROR(LN(Cotacao!N139/Cotacao!N138),G137)</f>
        <v>1.1025470011707861E-2</v>
      </c>
      <c r="H138" s="6">
        <f>IFERROR(LN(Cotacao!P139/Cotacao!P138),H137)</f>
        <v>-4.8772653990034999E-3</v>
      </c>
      <c r="I138" s="6">
        <f>IFERROR(LN(Cotacao!R139/Cotacao!R138),I137)</f>
        <v>1.7901210329240302E-2</v>
      </c>
      <c r="J138" s="6">
        <f>IFERROR(LN(Cotacao!T139/Cotacao!T138),J137)</f>
        <v>2.2009141491790066E-2</v>
      </c>
      <c r="K138" s="6">
        <f>IFERROR(LN(Cotacao!V139/Cotacao!V138),K137)</f>
        <v>-7.6045993852193036E-3</v>
      </c>
      <c r="L138" s="6">
        <f>IFERROR(LN(Cotacao!X139/Cotacao!X138),L137)</f>
        <v>1.4134510934904716E-2</v>
      </c>
      <c r="M138" s="6">
        <f>IFERROR(LN(Profit!B138/Profit!B137),M137)</f>
        <v>3.9547058552529641E-3</v>
      </c>
      <c r="N138" s="6">
        <f>IFERROR(LN(Cotacao!AB139/Cotacao!AB138),N137)</f>
        <v>4.4712721513991572E-4</v>
      </c>
      <c r="O138" s="6">
        <f>IFERROR(LN(Cotacao!AD139/Cotacao!AD138),O137)</f>
        <v>1.733276248005975E-2</v>
      </c>
      <c r="P138" s="6">
        <f>IFERROR(LN(Cotacao!AF139/Cotacao!AF138),P137)</f>
        <v>1.6183388910299228E-2</v>
      </c>
      <c r="Q138" s="6">
        <f>IFERROR(LN(Cotacao!AH139/Cotacao!AH138),Q137)</f>
        <v>6.1294585269531408E-3</v>
      </c>
      <c r="R138" s="6">
        <f>IFERROR(LN(Cotacao!AJ139/Cotacao!AJ138),R137)</f>
        <v>2.1769047533517771E-2</v>
      </c>
      <c r="S138" s="6">
        <f>IFERROR(LN(Cotacao!AL139/Cotacao!AL138),S137)</f>
        <v>7.5228726629874149E-3</v>
      </c>
      <c r="T138" s="6">
        <f>IFERROR(LN(Cotacao!AN139/Cotacao!AN138),T137)</f>
        <v>6.5660117708906743E-3</v>
      </c>
      <c r="U138" s="6">
        <f>IFERROR(LN(Cotacao!AP139/Cotacao!AP138),U137)</f>
        <v>-2.2826567430510522E-3</v>
      </c>
      <c r="V138" s="6">
        <f>IFERROR(LN(Cotacao!AR139/Cotacao!AR138),V137)</f>
        <v>5.5314246132292582E-3</v>
      </c>
      <c r="W138" s="6">
        <f>IFERROR(LN(Cotacao!AT139/Cotacao!AT138),W137)</f>
        <v>1.4552850968866575E-2</v>
      </c>
      <c r="X138" s="6">
        <f>IFERROR(LN(Cotacao!AV139/Cotacao!AV138),X137)</f>
        <v>-5.0209310500995688E-3</v>
      </c>
      <c r="Y138" s="6">
        <f>IFERROR(LN(Cotacao!AX139/Cotacao!AX138),Y137)</f>
        <v>-9.7623257105456534E-4</v>
      </c>
      <c r="Z138" s="6">
        <f>IFERROR(LN(Cotacao!AZ139/Cotacao!AZ138),Z137)</f>
        <v>-3.1322471129041039E-2</v>
      </c>
      <c r="AA138" s="6">
        <f>IFERROR(LN(Cotacao!BB139/Cotacao!BB138),AA137)</f>
        <v>6.9847775240309265E-3</v>
      </c>
      <c r="AB138" s="6">
        <f>IFERROR(LN(Cotacao!BD139/Cotacao!BD138),AB137)</f>
        <v>-2.0470836217249106E-3</v>
      </c>
      <c r="AC138" s="6">
        <f>IFERROR(LN(Cotacao!BF139/Cotacao!BF138),AC137)</f>
        <v>2.0202707317519469E-2</v>
      </c>
      <c r="AD138" s="6">
        <f>IFERROR(LN(Cotacao!BH139/Cotacao!BH138),AD137)</f>
        <v>-6.8259650703997587E-3</v>
      </c>
      <c r="AE138" s="6">
        <f>IFERROR(LN(Cotacao!BJ139/Cotacao!BJ138),AE137)</f>
        <v>5.3263890261239016E-3</v>
      </c>
      <c r="AF138" s="6">
        <f>IFERROR(LN(Cotacao!BL139/Cotacao!BL138),AF137)</f>
        <v>1.9619786869652198E-2</v>
      </c>
      <c r="AG138" s="6">
        <f>IFERROR(LN(Cotacao!BN139/Cotacao!BN138),AG137)</f>
        <v>6.7415985669194529E-3</v>
      </c>
      <c r="AH138" s="6">
        <f>IFERROR(LN(Cotacao!BP139/Cotacao!BP138),AH137)</f>
        <v>-1.0939940038334333E-2</v>
      </c>
      <c r="AI138" s="6">
        <f>IFERROR(LN(Cotacao!BR139/Cotacao!BR138),AI137)</f>
        <v>5.7315823168922871E-2</v>
      </c>
      <c r="AJ138" s="6">
        <f>IFERROR(LN(Profit!C138/Profit!C137),AJ137)</f>
        <v>1.2298387138042523E-2</v>
      </c>
      <c r="AK138" s="6">
        <f>IFERROR(LN(Cotacao!BV139/Cotacao!BV138),AK137)</f>
        <v>2.6142595118733062E-3</v>
      </c>
      <c r="AL138" s="6">
        <f>IFERROR(LN(Cotacao!BX139/Cotacao!BX138),AL137)</f>
        <v>1.3588453672426247E-2</v>
      </c>
    </row>
    <row r="139" spans="1:75">
      <c r="A139" s="3" t="str">
        <f>Cotacao!C139</f>
        <v>1/14/2020 16:56:00</v>
      </c>
      <c r="B139" s="6">
        <f>IFERROR(LN(Cotacao!D140/Cotacao!D139),B138)</f>
        <v>-1.4822405759520796E-2</v>
      </c>
      <c r="C139" s="6">
        <f>IFERROR(LN(Cotacao!F140/Cotacao!F139),C138)</f>
        <v>1.0934938213712896E-3</v>
      </c>
      <c r="D139" s="6">
        <f>IFERROR(LN(Cotacao!H140/Cotacao!H139),D138)</f>
        <v>-1.2087548381381534E-2</v>
      </c>
      <c r="E139" s="6">
        <f>IFERROR(LN(Cotacao!J140/Cotacao!J139),E138)</f>
        <v>4.4951387862266268E-2</v>
      </c>
      <c r="F139" s="6">
        <f>IFERROR(LN(Cotacao!L140/Cotacao!L139),F138)</f>
        <v>-2.0950175641203977E-2</v>
      </c>
      <c r="G139" s="6">
        <f>IFERROR(LN(Cotacao!N140/Cotacao!N139),G138)</f>
        <v>-1.6212587977822556E-2</v>
      </c>
      <c r="H139" s="6">
        <f>IFERROR(LN(Cotacao!P140/Cotacao!P139),H138)</f>
        <v>-1.4445425187723201E-2</v>
      </c>
      <c r="I139" s="6">
        <f>IFERROR(LN(Cotacao!R140/Cotacao!R139),I138)</f>
        <v>-2.9074483411213291E-3</v>
      </c>
      <c r="J139" s="6">
        <f>IFERROR(LN(Cotacao!T140/Cotacao!T139),J138)</f>
        <v>-1.6000341346441189E-2</v>
      </c>
      <c r="K139" s="6">
        <f>IFERROR(LN(Cotacao!V140/Cotacao!V139),K138)</f>
        <v>-7.6628727455691371E-3</v>
      </c>
      <c r="L139" s="6">
        <f>IFERROR(LN(Cotacao!X140/Cotacao!X139),L138)</f>
        <v>3.1529190596155149E-3</v>
      </c>
      <c r="M139" s="6">
        <f>IFERROR(LN(Profit!B139/Profit!B138),M138)</f>
        <v>2.1505384632285649E-3</v>
      </c>
      <c r="N139" s="6">
        <f>IFERROR(LN(Cotacao!AB140/Cotacao!AB139),N138)</f>
        <v>1.9039760458356817E-2</v>
      </c>
      <c r="O139" s="6">
        <f>IFERROR(LN(Cotacao!AD140/Cotacao!AD139),O138)</f>
        <v>-1.2782128916063255E-2</v>
      </c>
      <c r="P139" s="6">
        <f>IFERROR(LN(Cotacao!AF140/Cotacao!AF139),P138)</f>
        <v>8.6134528051430598E-2</v>
      </c>
      <c r="Q139" s="6">
        <f>IFERROR(LN(Cotacao!AH140/Cotacao!AH139),Q138)</f>
        <v>-3.2403268676102033E-3</v>
      </c>
      <c r="R139" s="6">
        <f>IFERROR(LN(Cotacao!AJ140/Cotacao!AJ139),R138)</f>
        <v>9.4401970571554648E-4</v>
      </c>
      <c r="S139" s="6">
        <f>IFERROR(LN(Cotacao!AL140/Cotacao!AL139),S138)</f>
        <v>-3.15414945289164E-2</v>
      </c>
      <c r="T139" s="6">
        <f>IFERROR(LN(Cotacao!AN140/Cotacao!AN139),T138)</f>
        <v>-8.764297993588242E-3</v>
      </c>
      <c r="U139" s="6">
        <f>IFERROR(LN(Cotacao!AP140/Cotacao!AP139),U138)</f>
        <v>-1.2528908636351125E-2</v>
      </c>
      <c r="V139" s="6">
        <f>IFERROR(LN(Cotacao!AR140/Cotacao!AR139),V138)</f>
        <v>-2.3668650102661678E-3</v>
      </c>
      <c r="W139" s="6">
        <f>IFERROR(LN(Cotacao!AT140/Cotacao!AT139),W138)</f>
        <v>9.9590768256387161E-3</v>
      </c>
      <c r="X139" s="6">
        <f>IFERROR(LN(Cotacao!AV140/Cotacao!AV139),X138)</f>
        <v>-5.5185549569482543E-3</v>
      </c>
      <c r="Y139" s="6">
        <f>IFERROR(LN(Cotacao!AX140/Cotacao!AX139),Y138)</f>
        <v>-8.2678797599396267E-4</v>
      </c>
      <c r="Z139" s="6">
        <f>IFERROR(LN(Cotacao!AZ140/Cotacao!AZ139),Z138)</f>
        <v>-4.4141893229925573E-2</v>
      </c>
      <c r="AA139" s="6">
        <f>IFERROR(LN(Cotacao!BB140/Cotacao!BB139),AA138)</f>
        <v>-4.6175548819099924E-3</v>
      </c>
      <c r="AB139" s="6">
        <f>IFERROR(LN(Cotacao!BD140/Cotacao!BD139),AB138)</f>
        <v>-1.6529301951210471E-2</v>
      </c>
      <c r="AC139" s="6">
        <f>IFERROR(LN(Cotacao!BF140/Cotacao!BF139),AC138)</f>
        <v>6.1659380386727788E-2</v>
      </c>
      <c r="AD139" s="6">
        <f>IFERROR(LN(Cotacao!BH140/Cotacao!BH139),AD138)</f>
        <v>-1.9726526691143262E-2</v>
      </c>
      <c r="AE139" s="6">
        <f>IFERROR(LN(Cotacao!BJ140/Cotacao!BJ139),AE138)</f>
        <v>-1.188737483613141E-2</v>
      </c>
      <c r="AF139" s="6">
        <f>IFERROR(LN(Cotacao!BL140/Cotacao!BL139),AF138)</f>
        <v>6.5499308637324682E-3</v>
      </c>
      <c r="AG139" s="6">
        <f>IFERROR(LN(Cotacao!BN140/Cotacao!BN139),AG138)</f>
        <v>-2.7243455611106946E-2</v>
      </c>
      <c r="AH139" s="6">
        <f>IFERROR(LN(Cotacao!BP140/Cotacao!BP139),AH138)</f>
        <v>-1.5113637810048184E-2</v>
      </c>
      <c r="AI139" s="6">
        <f>IFERROR(LN(Cotacao!BR140/Cotacao!BR139),AI138)</f>
        <v>4.6110990571998928E-3</v>
      </c>
      <c r="AJ139" s="6">
        <f>IFERROR(LN(Profit!C139/Profit!C138),AJ138)</f>
        <v>1.0638398205055797E-2</v>
      </c>
      <c r="AK139" s="6">
        <f>IFERROR(LN(Cotacao!BV140/Cotacao!BV139),AK138)</f>
        <v>-1.040869823693728E-2</v>
      </c>
      <c r="AL139" s="6">
        <f>IFERROR(LN(Cotacao!BX140/Cotacao!BX139),AL138)</f>
        <v>-7.8777782543760777E-3</v>
      </c>
    </row>
    <row r="140" spans="1:75">
      <c r="A140" s="3" t="str">
        <f>Cotacao!C140</f>
        <v>1/15/2020 16:56:00</v>
      </c>
      <c r="B140" s="6">
        <f>IFERROR(LN(Cotacao!D141/Cotacao!D140),B139)</f>
        <v>7.9326147257050995E-3</v>
      </c>
      <c r="C140" s="6">
        <f>IFERROR(LN(Cotacao!F141/Cotacao!F140),C139)</f>
        <v>-1.4586745491872945E-2</v>
      </c>
      <c r="D140" s="6">
        <f>IFERROR(LN(Cotacao!H141/Cotacao!H140),D139)</f>
        <v>-6.7580508754741539E-3</v>
      </c>
      <c r="E140" s="6">
        <f>IFERROR(LN(Cotacao!J141/Cotacao!J140),E139)</f>
        <v>-2.2223136784710124E-2</v>
      </c>
      <c r="F140" s="6">
        <f>IFERROR(LN(Cotacao!L141/Cotacao!L140),F139)</f>
        <v>8.9686699827603161E-3</v>
      </c>
      <c r="G140" s="6">
        <f>IFERROR(LN(Cotacao!N141/Cotacao!N140),G139)</f>
        <v>2.2263460030827594E-3</v>
      </c>
      <c r="H140" s="6">
        <f>IFERROR(LN(Cotacao!P141/Cotacao!P140),H139)</f>
        <v>1.6520737278136047E-3</v>
      </c>
      <c r="I140" s="6">
        <f>IFERROR(LN(Cotacao!R141/Cotacao!R140),I139)</f>
        <v>2.2620788446975938E-3</v>
      </c>
      <c r="J140" s="6">
        <f>IFERROR(LN(Cotacao!T141/Cotacao!T140),J139)</f>
        <v>-3.6934483353516095E-3</v>
      </c>
      <c r="K140" s="6">
        <f>IFERROR(LN(Cotacao!V141/Cotacao!V140),K139)</f>
        <v>7.6628727455690972E-3</v>
      </c>
      <c r="L140" s="6">
        <f>IFERROR(LN(Cotacao!X141/Cotacao!X140),L139)</f>
        <v>-3.5168772468372127E-2</v>
      </c>
      <c r="M140" s="6">
        <f>IFERROR(LN(Profit!B140/Profit!B139),M139)</f>
        <v>8.2011513327563592E-3</v>
      </c>
      <c r="N140" s="6">
        <f>IFERROR(LN(Cotacao!AB141/Cotacao!AB140),N139)</f>
        <v>1.3504888325894259E-2</v>
      </c>
      <c r="O140" s="6">
        <f>IFERROR(LN(Cotacao!AD141/Cotacao!AD140),O139)</f>
        <v>3.0222916847364133E-3</v>
      </c>
      <c r="P140" s="6">
        <f>IFERROR(LN(Cotacao!AF141/Cotacao!AF140),P139)</f>
        <v>6.3220359702235621E-2</v>
      </c>
      <c r="Q140" s="6">
        <f>IFERROR(LN(Cotacao!AH141/Cotacao!AH140),Q139)</f>
        <v>-5.2427129032925129E-3</v>
      </c>
      <c r="R140" s="6">
        <f>IFERROR(LN(Cotacao!AJ141/Cotacao!AJ140),R139)</f>
        <v>1.8695627725524987E-2</v>
      </c>
      <c r="S140" s="6">
        <f>IFERROR(LN(Cotacao!AL141/Cotacao!AL140),S139)</f>
        <v>3.3094349013670092E-3</v>
      </c>
      <c r="T140" s="6">
        <f>IFERROR(LN(Cotacao!AN141/Cotacao!AN140),T139)</f>
        <v>-1.4184634991956413E-2</v>
      </c>
      <c r="U140" s="6">
        <f>IFERROR(LN(Cotacao!AP141/Cotacao!AP140),U139)</f>
        <v>-1.5960418196836449E-4</v>
      </c>
      <c r="V140" s="6">
        <f>IFERROR(LN(Cotacao!AR141/Cotacao!AR140),V139)</f>
        <v>0</v>
      </c>
      <c r="W140" s="6">
        <f>IFERROR(LN(Cotacao!AT141/Cotacao!AT140),W139)</f>
        <v>-2.533021075730192E-3</v>
      </c>
      <c r="X140" s="6">
        <f>IFERROR(LN(Cotacao!AV141/Cotacao!AV140),X139)</f>
        <v>-3.1768589360024091E-3</v>
      </c>
      <c r="Y140" s="6">
        <f>IFERROR(LN(Cotacao!AX141/Cotacao!AX140),Y139)</f>
        <v>3.0032307278806611E-3</v>
      </c>
      <c r="Z140" s="6">
        <f>IFERROR(LN(Cotacao!AZ141/Cotacao!AZ140),Z139)</f>
        <v>-4.3696271735698351E-2</v>
      </c>
      <c r="AA140" s="6">
        <f>IFERROR(LN(Cotacao!BB141/Cotacao!BB140),AA139)</f>
        <v>-3.9316548453242409E-3</v>
      </c>
      <c r="AB140" s="6">
        <f>IFERROR(LN(Cotacao!BD141/Cotacao!BD140),AB139)</f>
        <v>4.158010148663677E-3</v>
      </c>
      <c r="AC140" s="6">
        <f>IFERROR(LN(Cotacao!BF141/Cotacao!BF140),AC139)</f>
        <v>2.6351496935985697E-2</v>
      </c>
      <c r="AD140" s="6">
        <f>IFERROR(LN(Cotacao!BH141/Cotacao!BH140),AD139)</f>
        <v>1.5149859663731434E-2</v>
      </c>
      <c r="AE140" s="6">
        <f>IFERROR(LN(Cotacao!BJ141/Cotacao!BJ140),AE139)</f>
        <v>5.4839595561373682E-4</v>
      </c>
      <c r="AF140" s="6">
        <f>IFERROR(LN(Cotacao!BL141/Cotacao!BL140),AF139)</f>
        <v>1.8003299191044965E-2</v>
      </c>
      <c r="AG140" s="6">
        <f>IFERROR(LN(Cotacao!BN141/Cotacao!BN140),AG139)</f>
        <v>1.1441772419784861E-2</v>
      </c>
      <c r="AH140" s="6">
        <f>IFERROR(LN(Cotacao!BP141/Cotacao!BP140),AH139)</f>
        <v>-1.0157441198355276E-3</v>
      </c>
      <c r="AI140" s="6">
        <f>IFERROR(LN(Cotacao!BR141/Cotacao!BR140),AI139)</f>
        <v>1.9351723504099649E-3</v>
      </c>
      <c r="AJ140" s="6">
        <f>IFERROR(LN(Profit!C140/Profit!C139),AJ139)</f>
        <v>1.5105743053668514E-3</v>
      </c>
      <c r="AK140" s="6">
        <f>IFERROR(LN(Cotacao!BV141/Cotacao!BV140),AK139)</f>
        <v>2.4868045631310275E-3</v>
      </c>
      <c r="AL140" s="6">
        <f>IFERROR(LN(Cotacao!BX141/Cotacao!BX140),AL139)</f>
        <v>5.9927635586048316E-3</v>
      </c>
    </row>
    <row r="141" spans="1:75">
      <c r="A141" s="3" t="str">
        <f>Cotacao!C141</f>
        <v>1/16/2020 16:56:00</v>
      </c>
      <c r="B141" s="6">
        <f>IFERROR(LN(Cotacao!D142/Cotacao!D141),B140)</f>
        <v>6.268495248824818E-2</v>
      </c>
      <c r="C141" s="6">
        <f>IFERROR(LN(Cotacao!F142/Cotacao!F141),C140)</f>
        <v>1.9387902486348516E-3</v>
      </c>
      <c r="D141" s="6">
        <f>IFERROR(LN(Cotacao!H142/Cotacao!H141),D140)</f>
        <v>6.3837993740997537E-3</v>
      </c>
      <c r="E141" s="6">
        <f>IFERROR(LN(Cotacao!J142/Cotacao!J141),E140)</f>
        <v>2.5514417868783029E-2</v>
      </c>
      <c r="F141" s="6">
        <f>IFERROR(LN(Cotacao!L142/Cotacao!L141),F140)</f>
        <v>0</v>
      </c>
      <c r="G141" s="6">
        <f>IFERROR(LN(Cotacao!N142/Cotacao!N141),G140)</f>
        <v>8.1211225223417303E-3</v>
      </c>
      <c r="H141" s="6">
        <f>IFERROR(LN(Cotacao!P142/Cotacao!P141),H140)</f>
        <v>1.572256429480464E-2</v>
      </c>
      <c r="I141" s="6">
        <f>IFERROR(LN(Cotacao!R142/Cotacao!R141),I140)</f>
        <v>3.2226905107240163E-3</v>
      </c>
      <c r="J141" s="6">
        <f>IFERROR(LN(Cotacao!T142/Cotacao!T141),J140)</f>
        <v>3.2325126277206974E-3</v>
      </c>
      <c r="K141" s="6">
        <f>IFERROR(LN(Cotacao!V142/Cotacao!V141),K140)</f>
        <v>1.5255533088371917E-3</v>
      </c>
      <c r="L141" s="6">
        <f>IFERROR(LN(Cotacao!X142/Cotacao!X141),L140)</f>
        <v>-1.2834712756595052E-2</v>
      </c>
      <c r="M141" s="6">
        <f>IFERROR(LN(Profit!B141/Profit!B140),M140)</f>
        <v>8.4866138773187251E-3</v>
      </c>
      <c r="N141" s="6">
        <f>IFERROR(LN(Cotacao!AB142/Cotacao!AB141),N140)</f>
        <v>1.2043156309798334E-2</v>
      </c>
      <c r="O141" s="6">
        <f>IFERROR(LN(Cotacao!AD142/Cotacao!AD141),O140)</f>
        <v>-2.3665226537487899E-2</v>
      </c>
      <c r="P141" s="6">
        <f>IFERROR(LN(Cotacao!AF142/Cotacao!AF141),P140)</f>
        <v>1.561053459860547E-2</v>
      </c>
      <c r="Q141" s="6">
        <f>IFERROR(LN(Cotacao!AH142/Cotacao!AH141),Q140)</f>
        <v>3.2631940550210611E-2</v>
      </c>
      <c r="R141" s="6">
        <f>IFERROR(LN(Cotacao!AJ142/Cotacao!AJ141),R140)</f>
        <v>-1.8506930678073848E-2</v>
      </c>
      <c r="S141" s="6">
        <f>IFERROR(LN(Cotacao!AL142/Cotacao!AL141),S140)</f>
        <v>1.0953012019197145E-2</v>
      </c>
      <c r="T141" s="6">
        <f>IFERROR(LN(Cotacao!AN142/Cotacao!AN141),T140)</f>
        <v>3.5650661644961446E-3</v>
      </c>
      <c r="U141" s="6">
        <f>IFERROR(LN(Cotacao!AP142/Cotacao!AP141),U140)</f>
        <v>5.5710450494554295E-3</v>
      </c>
      <c r="V141" s="6">
        <f>IFERROR(LN(Cotacao!AR142/Cotacao!AR141),V140)</f>
        <v>-7.902015425009138E-4</v>
      </c>
      <c r="W141" s="6">
        <f>IFERROR(LN(Cotacao!AT142/Cotacao!AT141),W140)</f>
        <v>4.1219279534190946E-3</v>
      </c>
      <c r="X141" s="6">
        <f>IFERROR(LN(Cotacao!AV142/Cotacao!AV141),X140)</f>
        <v>-1.4227162726339194E-3</v>
      </c>
      <c r="Y141" s="6">
        <f>IFERROR(LN(Cotacao!AX142/Cotacao!AX141),Y140)</f>
        <v>7.496532857078241E-5</v>
      </c>
      <c r="Z141" s="6">
        <f>IFERROR(LN(Cotacao!AZ142/Cotacao!AZ141),Z140)</f>
        <v>1.7220597751670341E-2</v>
      </c>
      <c r="AA141" s="6">
        <f>IFERROR(LN(Cotacao!BB142/Cotacao!BB141),AA140)</f>
        <v>-1.071375349922626E-2</v>
      </c>
      <c r="AB141" s="6">
        <f>IFERROR(LN(Cotacao!BD142/Cotacao!BD141),AB140)</f>
        <v>1.6053030467467005E-2</v>
      </c>
      <c r="AC141" s="6">
        <f>IFERROR(LN(Cotacao!BF142/Cotacao!BF141),AC140)</f>
        <v>6.571765163234519E-3</v>
      </c>
      <c r="AD141" s="6">
        <f>IFERROR(LN(Cotacao!BH142/Cotacao!BH141),AD140)</f>
        <v>-8.7023840727617607E-3</v>
      </c>
      <c r="AE141" s="6">
        <f>IFERROR(LN(Cotacao!BJ142/Cotacao!BJ141),AE140)</f>
        <v>-4.8362371686446861E-3</v>
      </c>
      <c r="AF141" s="6">
        <f>IFERROR(LN(Cotacao!BL142/Cotacao!BL141),AF140)</f>
        <v>2.559655363069396E-2</v>
      </c>
      <c r="AG141" s="6">
        <f>IFERROR(LN(Cotacao!BN142/Cotacao!BN141),AG140)</f>
        <v>3.1137020948196901E-2</v>
      </c>
      <c r="AH141" s="6">
        <f>IFERROR(LN(Cotacao!BP142/Cotacao!BP141),AH140)</f>
        <v>1.1116840106339393E-2</v>
      </c>
      <c r="AI141" s="6">
        <f>IFERROR(LN(Cotacao!BR142/Cotacao!BR141),AI140)</f>
        <v>-8.9817329134291874E-3</v>
      </c>
      <c r="AJ141" s="6">
        <f>IFERROR(LN(Profit!C141/Profit!C140),AJ140)</f>
        <v>3.7664827954768648E-3</v>
      </c>
      <c r="AK141" s="6">
        <f>IFERROR(LN(Cotacao!BV142/Cotacao!BV141),AK140)</f>
        <v>1.5087207394534423E-2</v>
      </c>
      <c r="AL141" s="6">
        <f>IFERROR(LN(Cotacao!BX142/Cotacao!BX141),AL140)</f>
        <v>4.7058910374127138E-3</v>
      </c>
    </row>
    <row r="142" spans="1:75">
      <c r="A142" s="3" t="str">
        <f>Cotacao!C142</f>
        <v>1/17/2020 16:56:00</v>
      </c>
      <c r="B142" s="6">
        <f>IFERROR(LN(Cotacao!D143/Cotacao!D142),B141)</f>
        <v>1.9748058525873399E-2</v>
      </c>
      <c r="C142" s="6">
        <f>IFERROR(LN(Cotacao!F143/Cotacao!F142),C141)</f>
        <v>5.5325035989325835E-4</v>
      </c>
      <c r="D142" s="6">
        <f>IFERROR(LN(Cotacao!H143/Cotacao!H142),D141)</f>
        <v>-5.6164000353079325E-4</v>
      </c>
      <c r="E142" s="6">
        <f>IFERROR(LN(Cotacao!J143/Cotacao!J142),E141)</f>
        <v>1.2517170232210906E-2</v>
      </c>
      <c r="F142" s="6">
        <f>IFERROR(LN(Cotacao!L143/Cotacao!L142),F141)</f>
        <v>2.1639175103481248E-2</v>
      </c>
      <c r="G142" s="6">
        <f>IFERROR(LN(Cotacao!N143/Cotacao!N142),G141)</f>
        <v>-1.4069095448419118E-2</v>
      </c>
      <c r="H142" s="6">
        <f>IFERROR(LN(Cotacao!P143/Cotacao!P142),H141)</f>
        <v>-1.7705380542583703E-2</v>
      </c>
      <c r="I142" s="6">
        <f>IFERROR(LN(Cotacao!R143/Cotacao!R142),I141)</f>
        <v>1.659259509341985E-2</v>
      </c>
      <c r="J142" s="6">
        <f>IFERROR(LN(Cotacao!T143/Cotacao!T142),J141)</f>
        <v>2.7286822558994381E-2</v>
      </c>
      <c r="K142" s="6">
        <f>IFERROR(LN(Cotacao!V143/Cotacao!V142),K141)</f>
        <v>-6.1162270174360944E-3</v>
      </c>
      <c r="L142" s="6">
        <f>IFERROR(LN(Cotacao!X143/Cotacao!X142),L141)</f>
        <v>-2.4142305321599635E-2</v>
      </c>
      <c r="M142" s="6">
        <f>IFERROR(LN(Profit!B142/Profit!B141),M141)</f>
        <v>4.5670200582483217E-3</v>
      </c>
      <c r="N142" s="6">
        <f>IFERROR(LN(Cotacao!AB143/Cotacao!AB142),N141)</f>
        <v>1.7086719236166722E-3</v>
      </c>
      <c r="O142" s="6">
        <f>IFERROR(LN(Cotacao!AD143/Cotacao!AD142),O141)</f>
        <v>2.0642934852751486E-2</v>
      </c>
      <c r="P142" s="6">
        <f>IFERROR(LN(Cotacao!AF143/Cotacao!AF142),P141)</f>
        <v>-3.1226467544833679E-2</v>
      </c>
      <c r="Q142" s="6">
        <f>IFERROR(LN(Cotacao!AH143/Cotacao!AH142),Q141)</f>
        <v>6.2959284568148309E-3</v>
      </c>
      <c r="R142" s="6">
        <f>IFERROR(LN(Cotacao!AJ143/Cotacao!AJ142),R141)</f>
        <v>0</v>
      </c>
      <c r="S142" s="6">
        <f>IFERROR(LN(Cotacao!AL143/Cotacao!AL142),S141)</f>
        <v>-1.0899183640255736E-3</v>
      </c>
      <c r="T142" s="6">
        <f>IFERROR(LN(Cotacao!AN143/Cotacao!AN142),T141)</f>
        <v>5.3238812527497967E-3</v>
      </c>
      <c r="U142" s="6">
        <f>IFERROR(LN(Cotacao!AP143/Cotacao!AP142),U141)</f>
        <v>-2.694713624697959E-2</v>
      </c>
      <c r="V142" s="6">
        <f>IFERROR(LN(Cotacao!AR143/Cotacao!AR142),V141)</f>
        <v>-7.1400541334765821E-3</v>
      </c>
      <c r="W142" s="6">
        <f>IFERROR(LN(Cotacao!AT143/Cotacao!AT142),W141)</f>
        <v>-1.1394687282498801E-2</v>
      </c>
      <c r="X142" s="6">
        <f>IFERROR(LN(Cotacao!AV143/Cotacao!AV142),X141)</f>
        <v>-2.3320672774398195E-2</v>
      </c>
      <c r="Y142" s="6">
        <f>IFERROR(LN(Cotacao!AX143/Cotacao!AX142),Y141)</f>
        <v>8.9552837291039904E-3</v>
      </c>
      <c r="Z142" s="6">
        <f>IFERROR(LN(Cotacao!AZ143/Cotacao!AZ142),Z141)</f>
        <v>-1.4742281737203319E-2</v>
      </c>
      <c r="AA142" s="6">
        <f>IFERROR(LN(Cotacao!BB143/Cotacao!BB142),AA141)</f>
        <v>-2.9477127084019106E-2</v>
      </c>
      <c r="AB142" s="6">
        <f>IFERROR(LN(Cotacao!BD143/Cotacao!BD142),AB141)</f>
        <v>6.5120295246227835E-3</v>
      </c>
      <c r="AC142" s="6">
        <f>IFERROR(LN(Cotacao!BF143/Cotacao!BF142),AC141)</f>
        <v>5.3837362632325421E-2</v>
      </c>
      <c r="AD142" s="6">
        <f>IFERROR(LN(Cotacao!BH143/Cotacao!BH142),AD141)</f>
        <v>-1.9206404044314843E-2</v>
      </c>
      <c r="AE142" s="6">
        <f>IFERROR(LN(Cotacao!BJ143/Cotacao!BJ142),AE141)</f>
        <v>2.3660835865823141E-3</v>
      </c>
      <c r="AF142" s="6">
        <f>IFERROR(LN(Cotacao!BL143/Cotacao!BL142),AF141)</f>
        <v>3.0244510525922353E-2</v>
      </c>
      <c r="AG142" s="6">
        <f>IFERROR(LN(Cotacao!BN143/Cotacao!BN142),AG141)</f>
        <v>3.5226808775217864E-3</v>
      </c>
      <c r="AH142" s="6">
        <f>IFERROR(LN(Cotacao!BP143/Cotacao!BP142),AH141)</f>
        <v>5.0125418235441935E-3</v>
      </c>
      <c r="AI142" s="6">
        <f>IFERROR(LN(Cotacao!BR143/Cotacao!BR142),AI141)</f>
        <v>4.8778552532249116E-2</v>
      </c>
      <c r="AJ142" s="6">
        <f>IFERROR(LN(Profit!C142/Profit!C141),AJ141)</f>
        <v>2.8170876966696224E-2</v>
      </c>
      <c r="AK142" s="6">
        <f>IFERROR(LN(Cotacao!BV143/Cotacao!BV142),AK141)</f>
        <v>3.2302220137677756E-3</v>
      </c>
      <c r="AL142" s="6">
        <f>IFERROR(LN(Cotacao!BX143/Cotacao!BX142),AL141)</f>
        <v>-1.1015060230677318E-2</v>
      </c>
    </row>
    <row r="143" spans="1:75">
      <c r="A143" s="3" t="str">
        <f>Cotacao!C143</f>
        <v>1/20/2020 16:56:00</v>
      </c>
      <c r="B143" s="6">
        <f>IFERROR(LN(Cotacao!D144/Cotacao!D143),B142)</f>
        <v>2.3371850351971101E-2</v>
      </c>
      <c r="C143" s="6">
        <f>IFERROR(LN(Cotacao!F144/Cotacao!F143),C142)</f>
        <v>-4.4345970678656412E-3</v>
      </c>
      <c r="D143" s="6">
        <f>IFERROR(LN(Cotacao!H144/Cotacao!H143),D142)</f>
        <v>3.7383221106071581E-3</v>
      </c>
      <c r="E143" s="6">
        <f>IFERROR(LN(Cotacao!J144/Cotacao!J143),E142)</f>
        <v>2.7005147386757237E-3</v>
      </c>
      <c r="F143" s="6">
        <f>IFERROR(LN(Cotacao!L144/Cotacao!L143),F142)</f>
        <v>-4.3696745287826112E-4</v>
      </c>
      <c r="G143" s="6">
        <f>IFERROR(LN(Cotacao!N144/Cotacao!N143),G142)</f>
        <v>-2.3388467086481388E-2</v>
      </c>
      <c r="H143" s="6">
        <f>IFERROR(LN(Cotacao!P144/Cotacao!P143),H142)</f>
        <v>-2.4444545445592582E-2</v>
      </c>
      <c r="I143" s="6">
        <f>IFERROR(LN(Cotacao!R144/Cotacao!R143),I142)</f>
        <v>2.212739957682011E-3</v>
      </c>
      <c r="J143" s="6">
        <f>IFERROR(LN(Cotacao!T144/Cotacao!T143),J142)</f>
        <v>-2.9132692949278675E-2</v>
      </c>
      <c r="K143" s="6">
        <f>IFERROR(LN(Cotacao!V144/Cotacao!V143),K142)</f>
        <v>0</v>
      </c>
      <c r="L143" s="6">
        <f>IFERROR(LN(Cotacao!X144/Cotacao!X143),L142)</f>
        <v>-1.515180502060222E-2</v>
      </c>
      <c r="M143" s="6">
        <f>IFERROR(LN(Profit!B143/Profit!B142),M142)</f>
        <v>1.0460346424902121E-2</v>
      </c>
      <c r="N143" s="6">
        <f>IFERROR(LN(Cotacao!AB144/Cotacao!AB143),N142)</f>
        <v>-8.5727057373864452E-3</v>
      </c>
      <c r="O143" s="6">
        <f>IFERROR(LN(Cotacao!AD144/Cotacao!AD143),O142)</f>
        <v>-1.8935813270293382E-3</v>
      </c>
      <c r="P143" s="6">
        <f>IFERROR(LN(Cotacao!AF144/Cotacao!AF143),P142)</f>
        <v>-4.4561828059910782E-2</v>
      </c>
      <c r="Q143" s="6">
        <f>IFERROR(LN(Cotacao!AH144/Cotacao!AH143),Q142)</f>
        <v>-2.3459934714171776E-2</v>
      </c>
      <c r="R143" s="6">
        <f>IFERROR(LN(Cotacao!AJ144/Cotacao!AJ143),R142)</f>
        <v>3.4857069865507899E-2</v>
      </c>
      <c r="S143" s="6">
        <f>IFERROR(LN(Cotacao!AL144/Cotacao!AL143),S142)</f>
        <v>-1.6492952193841205E-2</v>
      </c>
      <c r="T143" s="6">
        <f>IFERROR(LN(Cotacao!AN144/Cotacao!AN143),T142)</f>
        <v>8.7229065363464923E-3</v>
      </c>
      <c r="U143" s="6">
        <f>IFERROR(LN(Cotacao!AP144/Cotacao!AP143),U142)</f>
        <v>1.0140017930598363E-2</v>
      </c>
      <c r="V143" s="6">
        <f>IFERROR(LN(Cotacao!AR144/Cotacao!AR143),V142)</f>
        <v>-8.7965381293360779E-3</v>
      </c>
      <c r="W143" s="6">
        <f>IFERROR(LN(Cotacao!AT144/Cotacao!AT143),W142)</f>
        <v>-1.1740179852850882E-2</v>
      </c>
      <c r="X143" s="6">
        <f>IFERROR(LN(Cotacao!AV144/Cotacao!AV143),X142)</f>
        <v>-1.3272985636335893E-2</v>
      </c>
      <c r="Y143" s="6">
        <f>IFERROR(LN(Cotacao!AX144/Cotacao!AX143),Y142)</f>
        <v>-8.1757037516949724E-4</v>
      </c>
      <c r="Z143" s="6">
        <f>IFERROR(LN(Cotacao!AZ144/Cotacao!AZ143),Z142)</f>
        <v>7.3983074814449254E-3</v>
      </c>
      <c r="AA143" s="6">
        <f>IFERROR(LN(Cotacao!BB144/Cotacao!BB143),AA142)</f>
        <v>-6.3291350516475123E-3</v>
      </c>
      <c r="AB143" s="6">
        <f>IFERROR(LN(Cotacao!BD144/Cotacao!BD143),AB142)</f>
        <v>2.0263431452324674E-3</v>
      </c>
      <c r="AC143" s="6">
        <f>IFERROR(LN(Cotacao!BF144/Cotacao!BF143),AC142)</f>
        <v>-1.7391742711869222E-2</v>
      </c>
      <c r="AD143" s="6">
        <f>IFERROR(LN(Cotacao!BH144/Cotacao!BH143),AD142)</f>
        <v>-2.8170876966696221E-2</v>
      </c>
      <c r="AE143" s="6">
        <f>IFERROR(LN(Cotacao!BJ144/Cotacao!BJ143),AE142)</f>
        <v>2.7476301862656353E-4</v>
      </c>
      <c r="AF143" s="6">
        <f>IFERROR(LN(Cotacao!BL144/Cotacao!BL143),AF142)</f>
        <v>-1.1668124952986877E-2</v>
      </c>
      <c r="AG143" s="6">
        <f>IFERROR(LN(Cotacao!BN144/Cotacao!BN143),AG142)</f>
        <v>-1.7738824337381519E-2</v>
      </c>
      <c r="AH143" s="6">
        <f>IFERROR(LN(Cotacao!BP144/Cotacao!BP143),AH142)</f>
        <v>-1.2747572822502587E-2</v>
      </c>
      <c r="AI143" s="6">
        <f>IFERROR(LN(Cotacao!BR144/Cotacao!BR143),AI142)</f>
        <v>3.782633691062659E-2</v>
      </c>
      <c r="AJ143" s="6">
        <f>IFERROR(LN(Profit!C143/Profit!C142),AJ142)</f>
        <v>-6.6006840313520242E-3</v>
      </c>
      <c r="AK143" s="6">
        <f>IFERROR(LN(Cotacao!BV144/Cotacao!BV143),AK142)</f>
        <v>-1.5563569320532824E-2</v>
      </c>
      <c r="AL143" s="6">
        <f>IFERROR(LN(Cotacao!BX144/Cotacao!BX143),AL142)</f>
        <v>0</v>
      </c>
    </row>
    <row r="144" spans="1:75">
      <c r="A144" s="3" t="str">
        <f>Cotacao!C144</f>
        <v>1/21/2020 16:56:00</v>
      </c>
      <c r="B144" s="6">
        <f>IFERROR(LN(Cotacao!D145/Cotacao!D144),B143)</f>
        <v>-5.7919520348617666E-3</v>
      </c>
      <c r="C144" s="6">
        <f>IFERROR(LN(Cotacao!F145/Cotacao!F144),C143)</f>
        <v>5.2638991195410037E-3</v>
      </c>
      <c r="D144" s="6">
        <f>IFERROR(LN(Cotacao!H145/Cotacao!H144),D143)</f>
        <v>1.8654976268993033E-4</v>
      </c>
      <c r="E144" s="6">
        <f>IFERROR(LN(Cotacao!J145/Cotacao!J144),E143)</f>
        <v>-2.7005147386756768E-3</v>
      </c>
      <c r="F144" s="6">
        <f>IFERROR(LN(Cotacao!L145/Cotacao!L144),F143)</f>
        <v>0</v>
      </c>
      <c r="G144" s="6">
        <f>IFERROR(LN(Cotacao!N145/Cotacao!N144),G143)</f>
        <v>1.4399642518048093E-2</v>
      </c>
      <c r="H144" s="6">
        <f>IFERROR(LN(Cotacao!P145/Cotacao!P144),H143)</f>
        <v>1.614022932867747E-2</v>
      </c>
      <c r="I144" s="6">
        <f>IFERROR(LN(Cotacao!R145/Cotacao!R144),I143)</f>
        <v>1.2862922447765218E-2</v>
      </c>
      <c r="J144" s="6">
        <f>IFERROR(LN(Cotacao!T145/Cotacao!T144),J143)</f>
        <v>7.3631257650389531E-3</v>
      </c>
      <c r="K144" s="6">
        <f>IFERROR(LN(Cotacao!V145/Cotacao!V144),K143)</f>
        <v>1.8237587549781012E-2</v>
      </c>
      <c r="L144" s="6">
        <f>IFERROR(LN(Cotacao!X145/Cotacao!X144),L143)</f>
        <v>-2.3167059281534418E-2</v>
      </c>
      <c r="M144" s="6">
        <f>IFERROR(LN(Profit!B144/Profit!B143),M143)</f>
        <v>1.5488177442800122E-2</v>
      </c>
      <c r="N144" s="6">
        <f>IFERROR(LN(Cotacao!AB145/Cotacao!AB144),N143)</f>
        <v>-4.3057051257245092E-4</v>
      </c>
      <c r="O144" s="6">
        <f>IFERROR(LN(Cotacao!AD145/Cotacao!AD144),O143)</f>
        <v>1.467571024309266E-2</v>
      </c>
      <c r="P144" s="6">
        <f>IFERROR(LN(Cotacao!AF145/Cotacao!AF144),P143)</f>
        <v>4.7221725650399608E-2</v>
      </c>
      <c r="Q144" s="6">
        <f>IFERROR(LN(Cotacao!AH145/Cotacao!AH144),Q143)</f>
        <v>4.807273568451456E-3</v>
      </c>
      <c r="R144" s="6">
        <f>IFERROR(LN(Cotacao!AJ145/Cotacao!AJ144),R143)</f>
        <v>-2.5467329515668994E-2</v>
      </c>
      <c r="S144" s="6">
        <f>IFERROR(LN(Cotacao!AL145/Cotacao!AL144),S143)</f>
        <v>-7.790801787768334E-3</v>
      </c>
      <c r="T144" s="6">
        <f>IFERROR(LN(Cotacao!AN145/Cotacao!AN144),T143)</f>
        <v>3.4573899216977629E-2</v>
      </c>
      <c r="U144" s="6">
        <f>IFERROR(LN(Cotacao!AP145/Cotacao!AP144),U143)</f>
        <v>-5.0977170716687177E-3</v>
      </c>
      <c r="V144" s="6">
        <f>IFERROR(LN(Cotacao!AR145/Cotacao!AR144),V143)</f>
        <v>-2.5214837279364258E-2</v>
      </c>
      <c r="W144" s="6">
        <f>IFERROR(LN(Cotacao!AT145/Cotacao!AT144),W143)</f>
        <v>-2.965967536844534E-3</v>
      </c>
      <c r="X144" s="6">
        <f>IFERROR(LN(Cotacao!AV145/Cotacao!AV144),X143)</f>
        <v>5.2604013991804097E-3</v>
      </c>
      <c r="Y144" s="6">
        <f>IFERROR(LN(Cotacao!AX145/Cotacao!AX144),Y143)</f>
        <v>7.3341811141129955E-3</v>
      </c>
      <c r="Z144" s="6">
        <f>IFERROR(LN(Cotacao!AZ145/Cotacao!AZ144),Z143)</f>
        <v>4.9019706002066876E-3</v>
      </c>
      <c r="AA144" s="6">
        <f>IFERROR(LN(Cotacao!BB145/Cotacao!BB144),AA143)</f>
        <v>-2.0796772088048521E-2</v>
      </c>
      <c r="AB144" s="6">
        <f>IFERROR(LN(Cotacao!BD145/Cotacao!BD144),AB143)</f>
        <v>-2.4321049686124399E-3</v>
      </c>
      <c r="AC144" s="6">
        <f>IFERROR(LN(Cotacao!BF145/Cotacao!BF144),AC143)</f>
        <v>1.7391742711869239E-2</v>
      </c>
      <c r="AD144" s="6">
        <f>IFERROR(LN(Cotacao!BH145/Cotacao!BH144),AD143)</f>
        <v>1.8956648289452045E-2</v>
      </c>
      <c r="AE144" s="6">
        <f>IFERROR(LN(Cotacao!BJ145/Cotacao!BJ144),AE143)</f>
        <v>5.4794657646255705E-3</v>
      </c>
      <c r="AF144" s="6">
        <f>IFERROR(LN(Cotacao!BL145/Cotacao!BL144),AF143)</f>
        <v>3.692001987657996E-2</v>
      </c>
      <c r="AG144" s="6">
        <f>IFERROR(LN(Cotacao!BN145/Cotacao!BN144),AG143)</f>
        <v>6.0756209421072224E-2</v>
      </c>
      <c r="AH144" s="6">
        <f>IFERROR(LN(Cotacao!BP145/Cotacao!BP144),AH143)</f>
        <v>-1.1203648000010709E-2</v>
      </c>
      <c r="AI144" s="6">
        <f>IFERROR(LN(Cotacao!BR145/Cotacao!BR144),AI143)</f>
        <v>3.2558969240849604E-2</v>
      </c>
      <c r="AJ144" s="6">
        <f>IFERROR(LN(Profit!C144/Profit!C143),AJ143)</f>
        <v>4.6018183938708601E-2</v>
      </c>
      <c r="AK144" s="6">
        <f>IFERROR(LN(Cotacao!BV145/Cotacao!BV144),AK143)</f>
        <v>1.1599272677670741E-2</v>
      </c>
      <c r="AL144" s="6">
        <f>IFERROR(LN(Cotacao!BX145/Cotacao!BX144),AL143)</f>
        <v>2.7775229088142436E-2</v>
      </c>
    </row>
    <row r="145" spans="1:38">
      <c r="A145" s="3" t="str">
        <f>Cotacao!C145</f>
        <v>1/22/2020 16:56:00</v>
      </c>
      <c r="B145" s="6">
        <f>IFERROR(LN(Cotacao!D146/Cotacao!D145),B144)</f>
        <v>3.4258949821015343E-2</v>
      </c>
      <c r="C145" s="6">
        <f>IFERROR(LN(Cotacao!F146/Cotacao!F145),C144)</f>
        <v>1.3806435991275908E-3</v>
      </c>
      <c r="D145" s="6">
        <f>IFERROR(LN(Cotacao!H146/Cotacao!H145),D144)</f>
        <v>-1.8654976268998264E-4</v>
      </c>
      <c r="E145" s="6">
        <f>IFERROR(LN(Cotacao!J146/Cotacao!J145),E144)</f>
        <v>-4.8793807840935158E-3</v>
      </c>
      <c r="F145" s="6">
        <f>IFERROR(LN(Cotacao!L146/Cotacao!L145),F144)</f>
        <v>1.3889112160667093E-2</v>
      </c>
      <c r="G145" s="6">
        <f>IFERROR(LN(Cotacao!N146/Cotacao!N145),G144)</f>
        <v>1.9374674600556096E-2</v>
      </c>
      <c r="H145" s="6">
        <f>IFERROR(LN(Cotacao!P146/Cotacao!P145),H144)</f>
        <v>2.1122897555086135E-2</v>
      </c>
      <c r="I145" s="6">
        <f>IFERROR(LN(Cotacao!R146/Cotacao!R145),I144)</f>
        <v>9.308165251175381E-3</v>
      </c>
      <c r="J145" s="6">
        <f>IFERROR(LN(Cotacao!T146/Cotacao!T145),J144)</f>
        <v>-2.7548226788445085E-3</v>
      </c>
      <c r="K145" s="6">
        <f>IFERROR(LN(Cotacao!V146/Cotacao!V145),K144)</f>
        <v>1.7910926566530243E-2</v>
      </c>
      <c r="L145" s="6">
        <f>IFERROR(LN(Cotacao!X146/Cotacao!X145),L144)</f>
        <v>1.1264442277929389E-2</v>
      </c>
      <c r="M145" s="6">
        <f>IFERROR(LN(Profit!B145/Profit!B144),M144)</f>
        <v>2.047083621724823E-3</v>
      </c>
      <c r="N145" s="6">
        <f>IFERROR(LN(Cotacao!AB146/Cotacao!AB145),N144)</f>
        <v>-5.1813587419975177E-3</v>
      </c>
      <c r="O145" s="6">
        <f>IFERROR(LN(Cotacao!AD146/Cotacao!AD145),O144)</f>
        <v>-1.3917847379990658E-2</v>
      </c>
      <c r="P145" s="6">
        <f>IFERROR(LN(Cotacao!AF146/Cotacao!AF145),P144)</f>
        <v>-8.7315616590386662E-3</v>
      </c>
      <c r="Q145" s="6">
        <f>IFERROR(LN(Cotacao!AH146/Cotacao!AH145),Q144)</f>
        <v>-1.4311514393255809E-2</v>
      </c>
      <c r="R145" s="6">
        <f>IFERROR(LN(Cotacao!AJ146/Cotacao!AJ145),R144)</f>
        <v>5.2199969387578095E-3</v>
      </c>
      <c r="S145" s="6">
        <f>IFERROR(LN(Cotacao!AL146/Cotacao!AL145),S144)</f>
        <v>5.5710450494554295E-3</v>
      </c>
      <c r="T145" s="6">
        <f>IFERROR(LN(Cotacao!AN146/Cotacao!AN145),T144)</f>
        <v>-8.5106896679086191E-3</v>
      </c>
      <c r="U145" s="6">
        <f>IFERROR(LN(Cotacao!AP146/Cotacao!AP145),U144)</f>
        <v>-5.6802046400856326E-4</v>
      </c>
      <c r="V145" s="6">
        <f>IFERROR(LN(Cotacao!AR146/Cotacao!AR145),V144)</f>
        <v>1.6340232845889494E-2</v>
      </c>
      <c r="W145" s="6">
        <f>IFERROR(LN(Cotacao!AT146/Cotacao!AT145),W144)</f>
        <v>7.4073799727491644E-6</v>
      </c>
      <c r="X145" s="6">
        <f>IFERROR(LN(Cotacao!AV146/Cotacao!AV145),X144)</f>
        <v>3.4971149158654919E-4</v>
      </c>
      <c r="Y145" s="6">
        <f>IFERROR(LN(Cotacao!AX146/Cotacao!AX145),Y144)</f>
        <v>1.1802893078669626E-3</v>
      </c>
      <c r="Z145" s="6">
        <f>IFERROR(LN(Cotacao!AZ146/Cotacao!AZ145),Z144)</f>
        <v>-1.477859409611872E-2</v>
      </c>
      <c r="AA145" s="6">
        <f>IFERROR(LN(Cotacao!BB146/Cotacao!BB145),AA144)</f>
        <v>-6.0144853626082238E-3</v>
      </c>
      <c r="AB145" s="6">
        <f>IFERROR(LN(Cotacao!BD146/Cotacao!BD145),AB144)</f>
        <v>3.3915079722704862E-2</v>
      </c>
      <c r="AC145" s="6">
        <f>IFERROR(LN(Cotacao!BF146/Cotacao!BF145),AC144)</f>
        <v>1.675539284071087E-2</v>
      </c>
      <c r="AD145" s="6">
        <f>IFERROR(LN(Cotacao!BH146/Cotacao!BH145),AD144)</f>
        <v>4.3473857395716589E-2</v>
      </c>
      <c r="AE145" s="6">
        <f>IFERROR(LN(Cotacao!BJ146/Cotacao!BJ145),AE144)</f>
        <v>-2.7359798188747488E-3</v>
      </c>
      <c r="AF145" s="6">
        <f>IFERROR(LN(Cotacao!BL146/Cotacao!BL145),AF144)</f>
        <v>1.9096697456456407E-2</v>
      </c>
      <c r="AG145" s="6">
        <f>IFERROR(LN(Cotacao!BN146/Cotacao!BN145),AG144)</f>
        <v>2.4949319047948615E-2</v>
      </c>
      <c r="AH145" s="6">
        <f>IFERROR(LN(Cotacao!BP146/Cotacao!BP145),AH144)</f>
        <v>1.2215964604092269E-2</v>
      </c>
      <c r="AI145" s="6">
        <f>IFERROR(LN(Cotacao!BR146/Cotacao!BR145),AI144)</f>
        <v>7.1174677688639549E-3</v>
      </c>
      <c r="AJ145" s="6">
        <f>IFERROR(LN(Profit!C145/Profit!C144),AJ144)</f>
        <v>1.4649721362919031E-2</v>
      </c>
      <c r="AK145" s="6">
        <f>IFERROR(LN(Cotacao!BV146/Cotacao!BV145),AK144)</f>
        <v>9.5518112207152242E-3</v>
      </c>
      <c r="AL145" s="6">
        <f>IFERROR(LN(Cotacao!BX146/Cotacao!BX145),AL144)</f>
        <v>3.0773965468286355E-4</v>
      </c>
    </row>
    <row r="146" spans="1:38">
      <c r="A146" s="3" t="str">
        <f>Cotacao!C146</f>
        <v>1/23/2020 16:56:00</v>
      </c>
      <c r="B146" s="6">
        <f>IFERROR(LN(Cotacao!D147/Cotacao!D146),B145)</f>
        <v>-5.6289388722006476E-3</v>
      </c>
      <c r="C146" s="6">
        <f>IFERROR(LN(Cotacao!F147/Cotacao!F146),C145)</f>
        <v>-9.4261856805454951E-3</v>
      </c>
      <c r="D146" s="6">
        <f>IFERROR(LN(Cotacao!H147/Cotacao!H146),D145)</f>
        <v>5.0246686156859063E-3</v>
      </c>
      <c r="E146" s="6">
        <f>IFERROR(LN(Cotacao!J147/Cotacao!J146),E145)</f>
        <v>-1.4782639848180191E-2</v>
      </c>
      <c r="F146" s="6">
        <f>IFERROR(LN(Cotacao!L147/Cotacao!L146),F145)</f>
        <v>-5.1858370323655256E-3</v>
      </c>
      <c r="G146" s="6">
        <f>IFERROR(LN(Cotacao!N147/Cotacao!N146),G145)</f>
        <v>-1.4870162479451506E-2</v>
      </c>
      <c r="H146" s="6">
        <f>IFERROR(LN(Cotacao!P147/Cotacao!P146),H145)</f>
        <v>-1.2487838918205508E-2</v>
      </c>
      <c r="I146" s="6">
        <f>IFERROR(LN(Cotacao!R147/Cotacao!R146),I145)</f>
        <v>1.1972514461234171E-2</v>
      </c>
      <c r="J146" s="6">
        <f>IFERROR(LN(Cotacao!T147/Cotacao!T146),J145)</f>
        <v>-4.6083030861943297E-3</v>
      </c>
      <c r="K146" s="6">
        <f>IFERROR(LN(Cotacao!V147/Cotacao!V146),K145)</f>
        <v>8.8365818004981639E-3</v>
      </c>
      <c r="L146" s="6">
        <f>IFERROR(LN(Cotacao!X147/Cotacao!X146),L145)</f>
        <v>1.190261700360497E-2</v>
      </c>
      <c r="M146" s="6">
        <f>IFERROR(LN(Profit!B146/Profit!B145),M145)</f>
        <v>0</v>
      </c>
      <c r="N146" s="6">
        <f>IFERROR(LN(Cotacao!AB147/Cotacao!AB146),N145)</f>
        <v>-2.0556157882301952E-2</v>
      </c>
      <c r="O146" s="6">
        <f>IFERROR(LN(Cotacao!AD147/Cotacao!AD146),O145)</f>
        <v>5.6657375356775211E-3</v>
      </c>
      <c r="P146" s="6">
        <f>IFERROR(LN(Cotacao!AF147/Cotacao!AF146),P145)</f>
        <v>-2.9668430662213131E-2</v>
      </c>
      <c r="Q146" s="6">
        <f>IFERROR(LN(Cotacao!AH147/Cotacao!AH146),Q145)</f>
        <v>-3.1109553584650115E-2</v>
      </c>
      <c r="R146" s="6">
        <f>IFERROR(LN(Cotacao!AJ147/Cotacao!AJ146),R145)</f>
        <v>9.6225760991711304E-3</v>
      </c>
      <c r="S146" s="6">
        <f>IFERROR(LN(Cotacao!AL147/Cotacao!AL146),S145)</f>
        <v>-1.1173300598125189E-2</v>
      </c>
      <c r="T146" s="6">
        <f>IFERROR(LN(Cotacao!AN147/Cotacao!AN146),T145)</f>
        <v>8.5106896679086105E-3</v>
      </c>
      <c r="U146" s="6">
        <f>IFERROR(LN(Cotacao!AP147/Cotacao!AP146),U145)</f>
        <v>-7.7409227444380094E-3</v>
      </c>
      <c r="V146" s="6">
        <f>IFERROR(LN(Cotacao!AR147/Cotacao!AR146),V145)</f>
        <v>-2.2951827178202294E-2</v>
      </c>
      <c r="W146" s="6">
        <f>IFERROR(LN(Cotacao!AT147/Cotacao!AT146),W145)</f>
        <v>-7.407379972695925E-6</v>
      </c>
      <c r="X146" s="6">
        <f>IFERROR(LN(Cotacao!AV147/Cotacao!AV146),X145)</f>
        <v>-8.3564967866525675E-3</v>
      </c>
      <c r="Y146" s="6">
        <f>IFERROR(LN(Cotacao!AX147/Cotacao!AX146),Y145)</f>
        <v>-2.9494175114261074E-4</v>
      </c>
      <c r="Z146" s="6">
        <f>IFERROR(LN(Cotacao!AZ147/Cotacao!AZ146),Z145)</f>
        <v>1.2330612457478725E-2</v>
      </c>
      <c r="AA146" s="6">
        <f>IFERROR(LN(Cotacao!BB147/Cotacao!BB146),AA145)</f>
        <v>-1.0929070532190317E-2</v>
      </c>
      <c r="AB146" s="6">
        <f>IFERROR(LN(Cotacao!BD147/Cotacao!BD146),AB145)</f>
        <v>-2.3418414917362119E-2</v>
      </c>
      <c r="AC146" s="6">
        <f>IFERROR(LN(Cotacao!BF147/Cotacao!BF146),AC145)</f>
        <v>-1.6065975371143067E-2</v>
      </c>
      <c r="AD146" s="6">
        <f>IFERROR(LN(Cotacao!BH147/Cotacao!BH146),AD145)</f>
        <v>-8.6470528617460449E-3</v>
      </c>
      <c r="AE146" s="6">
        <f>IFERROR(LN(Cotacao!BJ147/Cotacao!BJ146),AE145)</f>
        <v>-2.5786643647387462E-3</v>
      </c>
      <c r="AF146" s="6">
        <f>IFERROR(LN(Cotacao!BL147/Cotacao!BL146),AF145)</f>
        <v>4.3914308008453473E-2</v>
      </c>
      <c r="AG146" s="6">
        <f>IFERROR(LN(Cotacao!BN147/Cotacao!BN146),AG145)</f>
        <v>5.9371655619393227E-3</v>
      </c>
      <c r="AH146" s="6">
        <f>IFERROR(LN(Cotacao!BP147/Cotacao!BP146),AH145)</f>
        <v>-1.187460942071274E-2</v>
      </c>
      <c r="AI146" s="6">
        <f>IFERROR(LN(Cotacao!BR147/Cotacao!BR146),AI145)</f>
        <v>-2.2384939899652477E-2</v>
      </c>
      <c r="AJ146" s="6">
        <f>IFERROR(LN(Profit!C146/Profit!C145),AJ145)</f>
        <v>3.456622867910973E-3</v>
      </c>
      <c r="AK146" s="6">
        <f>IFERROR(LN(Cotacao!BV147/Cotacao!BV146),AK145)</f>
        <v>-9.6785176823904976E-3</v>
      </c>
      <c r="AL146" s="6">
        <f>IFERROR(LN(Cotacao!BX147/Cotacao!BX146),AL145)</f>
        <v>1.4964395904798386E-2</v>
      </c>
    </row>
    <row r="147" spans="1:38">
      <c r="A147" s="3" t="str">
        <f>Cotacao!C147</f>
        <v>1/24/2020 16:56:00</v>
      </c>
      <c r="B147" s="6">
        <f>IFERROR(LN(Cotacao!D148/Cotacao!D147),B146)</f>
        <v>-2.3282404622219428E-2</v>
      </c>
      <c r="C147" s="6">
        <f>IFERROR(LN(Cotacao!F148/Cotacao!F147),C146)</f>
        <v>-2.5389234004819464E-2</v>
      </c>
      <c r="D147" s="6">
        <f>IFERROR(LN(Cotacao!H148/Cotacao!H147),D146)</f>
        <v>-1.968382982345622E-2</v>
      </c>
      <c r="E147" s="6">
        <f>IFERROR(LN(Cotacao!J148/Cotacao!J147),E146)</f>
        <v>-4.9755881289390839E-2</v>
      </c>
      <c r="F147" s="6">
        <f>IFERROR(LN(Cotacao!L148/Cotacao!L147),F146)</f>
        <v>-8.2663076754234139E-3</v>
      </c>
      <c r="G147" s="6">
        <f>IFERROR(LN(Cotacao!N148/Cotacao!N147),G146)</f>
        <v>-2.1962260997973521E-2</v>
      </c>
      <c r="H147" s="6">
        <f>IFERROR(LN(Cotacao!P148/Cotacao!P147),H146)</f>
        <v>-1.2310919083313738E-2</v>
      </c>
      <c r="I147" s="6">
        <f>IFERROR(LN(Cotacao!R148/Cotacao!R147),I146)</f>
        <v>-1.7547010160360563E-2</v>
      </c>
      <c r="J147" s="6">
        <f>IFERROR(LN(Cotacao!T148/Cotacao!T147),J146)</f>
        <v>-7.0809102482378247E-2</v>
      </c>
      <c r="K147" s="6">
        <f>IFERROR(LN(Cotacao!V148/Cotacao!V147),K146)</f>
        <v>-2.2239611927838476E-2</v>
      </c>
      <c r="L147" s="6">
        <f>IFERROR(LN(Cotacao!X148/Cotacao!X147),L146)</f>
        <v>-3.2192037155860657E-2</v>
      </c>
      <c r="M147" s="6">
        <f>IFERROR(LN(Profit!B147/Profit!B146),M146)</f>
        <v>4.4210240347677199E-3</v>
      </c>
      <c r="N147" s="6">
        <f>IFERROR(LN(Cotacao!AB148/Cotacao!AB147),N146)</f>
        <v>5.2886857515134864E-3</v>
      </c>
      <c r="O147" s="6">
        <f>IFERROR(LN(Cotacao!AD148/Cotacao!AD147),O146)</f>
        <v>-9.8411089461580784E-3</v>
      </c>
      <c r="P147" s="6">
        <f>IFERROR(LN(Cotacao!AF148/Cotacao!AF147),P146)</f>
        <v>-5.4666871260005127E-2</v>
      </c>
      <c r="Q147" s="6">
        <f>IFERROR(LN(Cotacao!AH148/Cotacao!AH147),Q146)</f>
        <v>-6.3102130687777494E-2</v>
      </c>
      <c r="R147" s="6">
        <f>IFERROR(LN(Cotacao!AJ148/Cotacao!AJ147),R146)</f>
        <v>-1.2975158863133418E-2</v>
      </c>
      <c r="S147" s="6">
        <f>IFERROR(LN(Cotacao!AL148/Cotacao!AL147),S146)</f>
        <v>-3.4289073478632193E-2</v>
      </c>
      <c r="T147" s="6">
        <f>IFERROR(LN(Cotacao!AN148/Cotacao!AN147),T146)</f>
        <v>-9.7855790003758561E-2</v>
      </c>
      <c r="U147" s="6">
        <f>IFERROR(LN(Cotacao!AP148/Cotacao!AP147),U146)</f>
        <v>6.1162270174360536E-3</v>
      </c>
      <c r="V147" s="6">
        <f>IFERROR(LN(Cotacao!AR148/Cotacao!AR147),V146)</f>
        <v>1.6570012076293867E-3</v>
      </c>
      <c r="W147" s="6">
        <f>IFERROR(LN(Cotacao!AT148/Cotacao!AT147),W146)</f>
        <v>-1.3423020332140661E-2</v>
      </c>
      <c r="X147" s="6">
        <f>IFERROR(LN(Cotacao!AV148/Cotacao!AV147),X146)</f>
        <v>-2.3297691359748674E-3</v>
      </c>
      <c r="Y147" s="6">
        <f>IFERROR(LN(Cotacao!AX148/Cotacao!AX147),Y146)</f>
        <v>-1.1068069751911064E-3</v>
      </c>
      <c r="Z147" s="6">
        <f>IFERROR(LN(Cotacao!AZ148/Cotacao!AZ147),Z146)</f>
        <v>-1.4815085785140812E-2</v>
      </c>
      <c r="AA147" s="6">
        <f>IFERROR(LN(Cotacao!BB148/Cotacao!BB147),AA146)</f>
        <v>-8.8300794482720369E-3</v>
      </c>
      <c r="AB147" s="6">
        <f>IFERROR(LN(Cotacao!BD148/Cotacao!BD147),AB146)</f>
        <v>-2.6038899954757687E-2</v>
      </c>
      <c r="AC147" s="6">
        <f>IFERROR(LN(Cotacao!BF148/Cotacao!BF147),AC146)</f>
        <v>-4.5470387828355073E-2</v>
      </c>
      <c r="AD147" s="6">
        <f>IFERROR(LN(Cotacao!BH148/Cotacao!BH147),AD146)</f>
        <v>-8.9801758075843518E-3</v>
      </c>
      <c r="AE147" s="6">
        <f>IFERROR(LN(Cotacao!BJ148/Cotacao!BJ147),AE146)</f>
        <v>-9.2721013082595078E-3</v>
      </c>
      <c r="AF147" s="6">
        <f>IFERROR(LN(Cotacao!BL148/Cotacao!BL147),AF146)</f>
        <v>-1.1165164530530807E-2</v>
      </c>
      <c r="AG147" s="6">
        <f>IFERROR(LN(Cotacao!BN148/Cotacao!BN147),AG146)</f>
        <v>-2.7733565550272336E-2</v>
      </c>
      <c r="AH147" s="6">
        <f>IFERROR(LN(Cotacao!BP148/Cotacao!BP147),AH146)</f>
        <v>-4.4312150846324644E-2</v>
      </c>
      <c r="AI147" s="6">
        <f>IFERROR(LN(Cotacao!BR148/Cotacao!BR147),AI146)</f>
        <v>-1.5950714786295974E-2</v>
      </c>
      <c r="AJ147" s="6">
        <f>IFERROR(LN(Profit!C147/Profit!C146),AJ146)</f>
        <v>2.9913855218508013E-2</v>
      </c>
      <c r="AK147" s="6">
        <f>IFERROR(LN(Cotacao!BV148/Cotacao!BV147),AK146)</f>
        <v>-3.3452832557118638E-2</v>
      </c>
      <c r="AL147" s="6">
        <f>IFERROR(LN(Cotacao!BX148/Cotacao!BX147),AL146)</f>
        <v>-1.4656750924676255E-2</v>
      </c>
    </row>
    <row r="148" spans="1:38">
      <c r="A148" s="3" t="str">
        <f>Cotacao!C148</f>
        <v>1/27/2020 16:56:00</v>
      </c>
      <c r="B148" s="6">
        <f>IFERROR(LN(Cotacao!D149/Cotacao!D148),B147)</f>
        <v>8.4089895813759426E-3</v>
      </c>
      <c r="C148" s="6">
        <f>IFERROR(LN(Cotacao!F149/Cotacao!F148),C147)</f>
        <v>2.8567347716056471E-4</v>
      </c>
      <c r="D148" s="6">
        <f>IFERROR(LN(Cotacao!H149/Cotacao!H148),D147)</f>
        <v>1.2604813674172679E-2</v>
      </c>
      <c r="E148" s="6">
        <f>IFERROR(LN(Cotacao!J149/Cotacao!J148),E147)</f>
        <v>1.1527505171067414E-2</v>
      </c>
      <c r="F148" s="6">
        <f>IFERROR(LN(Cotacao!L149/Cotacao!L148),F147)</f>
        <v>1.1294646567767663E-2</v>
      </c>
      <c r="G148" s="6">
        <f>IFERROR(LN(Cotacao!N149/Cotacao!N148),G147)</f>
        <v>3.8211739273234352E-3</v>
      </c>
      <c r="H148" s="6">
        <f>IFERROR(LN(Cotacao!P149/Cotacao!P148),H147)</f>
        <v>-8.7424901145185738E-3</v>
      </c>
      <c r="I148" s="6">
        <f>IFERROR(LN(Cotacao!R149/Cotacao!R148),I147)</f>
        <v>4.0291391869788969E-3</v>
      </c>
      <c r="J148" s="6">
        <f>IFERROR(LN(Cotacao!T149/Cotacao!T148),J147)</f>
        <v>-2.9791481815597933E-3</v>
      </c>
      <c r="K148" s="6">
        <f>IFERROR(LN(Cotacao!V149/Cotacao!V148),K147)</f>
        <v>2.5167871706926689E-2</v>
      </c>
      <c r="L148" s="6">
        <f>IFERROR(LN(Cotacao!X149/Cotacao!X148),L147)</f>
        <v>-3.6329213862559841E-3</v>
      </c>
      <c r="M148" s="6">
        <f>IFERROR(LN(Profit!B148/Profit!B147),M147)</f>
        <v>3.3875371147824426E-3</v>
      </c>
      <c r="N148" s="6">
        <f>IFERROR(LN(Cotacao!AB149/Cotacao!AB148),N147)</f>
        <v>-8.8300794482720369E-3</v>
      </c>
      <c r="O148" s="6">
        <f>IFERROR(LN(Cotacao!AD149/Cotacao!AD148),O147)</f>
        <v>6.445519945019935E-3</v>
      </c>
      <c r="P148" s="6">
        <f>IFERROR(LN(Cotacao!AF149/Cotacao!AF148),P147)</f>
        <v>-3.1855614939740443E-3</v>
      </c>
      <c r="Q148" s="6">
        <f>IFERROR(LN(Cotacao!AH149/Cotacao!AH148),Q147)</f>
        <v>1.356819556550095E-2</v>
      </c>
      <c r="R148" s="6">
        <f>IFERROR(LN(Cotacao!AJ149/Cotacao!AJ148),R147)</f>
        <v>6.3232496348276258E-3</v>
      </c>
      <c r="S148" s="6">
        <f>IFERROR(LN(Cotacao!AL149/Cotacao!AL148),S147)</f>
        <v>2.2989518224698781E-2</v>
      </c>
      <c r="T148" s="6">
        <f>IFERROR(LN(Cotacao!AN149/Cotacao!AN148),T147)</f>
        <v>-1.496446220146072E-3</v>
      </c>
      <c r="U148" s="6">
        <f>IFERROR(LN(Cotacao!AP149/Cotacao!AP148),U147)</f>
        <v>-1.9953858243198081E-2</v>
      </c>
      <c r="V148" s="6">
        <f>IFERROR(LN(Cotacao!AR149/Cotacao!AR148),V147)</f>
        <v>-2.8549378106718475E-2</v>
      </c>
      <c r="W148" s="6">
        <f>IFERROR(LN(Cotacao!AT149/Cotacao!AT148),W147)</f>
        <v>-1.6654434905137235E-2</v>
      </c>
      <c r="X148" s="6">
        <f>IFERROR(LN(Cotacao!AV149/Cotacao!AV148),X147)</f>
        <v>-8.0903145131371434E-3</v>
      </c>
      <c r="Y148" s="6">
        <f>IFERROR(LN(Cotacao!AX149/Cotacao!AX148),Y147)</f>
        <v>1.137835729702086E-2</v>
      </c>
      <c r="Z148" s="6">
        <f>IFERROR(LN(Cotacao!AZ149/Cotacao!AZ148),Z147)</f>
        <v>4.9627893421290972E-3</v>
      </c>
      <c r="AA148" s="6">
        <f>IFERROR(LN(Cotacao!BB149/Cotacao!BB148),AA147)</f>
        <v>1.5947547217136083E-2</v>
      </c>
      <c r="AB148" s="6">
        <f>IFERROR(LN(Cotacao!BD149/Cotacao!BD148),AB147)</f>
        <v>2.2014749655032462E-2</v>
      </c>
      <c r="AC148" s="6">
        <f>IFERROR(LN(Cotacao!BF149/Cotacao!BF148),AC147)</f>
        <v>2.2112170546074485E-2</v>
      </c>
      <c r="AD148" s="6">
        <f>IFERROR(LN(Cotacao!BH149/Cotacao!BH148),AD147)</f>
        <v>4.2881727483265762E-2</v>
      </c>
      <c r="AE148" s="6">
        <f>IFERROR(LN(Cotacao!BJ149/Cotacao!BJ148),AE147)</f>
        <v>9.9311161050248623E-3</v>
      </c>
      <c r="AF148" s="6">
        <f>IFERROR(LN(Cotacao!BL149/Cotacao!BL148),AF147)</f>
        <v>2.5067593622510896E-2</v>
      </c>
      <c r="AG148" s="6">
        <f>IFERROR(LN(Cotacao!BN149/Cotacao!BN148),AG147)</f>
        <v>2.9568989742499583E-2</v>
      </c>
      <c r="AH148" s="6">
        <f>IFERROR(LN(Cotacao!BP149/Cotacao!BP148),AH147)</f>
        <v>2.7100021965203246E-2</v>
      </c>
      <c r="AI148" s="6">
        <f>IFERROR(LN(Cotacao!BR149/Cotacao!BR148),AI147)</f>
        <v>6.1071150066765563E-2</v>
      </c>
      <c r="AJ148" s="6">
        <f>IFERROR(LN(Profit!C148/Profit!C147),AJ147)</f>
        <v>-6.7204554012582169E-3</v>
      </c>
      <c r="AK148" s="6">
        <f>IFERROR(LN(Cotacao!BV149/Cotacao!BV148),AK147)</f>
        <v>1.7294619746421033E-2</v>
      </c>
      <c r="AL148" s="6">
        <f>IFERROR(LN(Cotacao!BX149/Cotacao!BX148),AL147)</f>
        <v>2.3709317271119617E-2</v>
      </c>
    </row>
    <row r="149" spans="1:38">
      <c r="A149" s="3" t="str">
        <f>Cotacao!C149</f>
        <v>1/28/2020 16:56:00</v>
      </c>
      <c r="B149" s="6">
        <f>IFERROR(LN(Cotacao!D150/Cotacao!D149),B148)</f>
        <v>-1.5097977732172533E-2</v>
      </c>
      <c r="C149" s="6">
        <f>IFERROR(LN(Cotacao!F150/Cotacao!F149),C148)</f>
        <v>1.7273542894941176E-2</v>
      </c>
      <c r="D149" s="6">
        <f>IFERROR(LN(Cotacao!H150/Cotacao!H149),D148)</f>
        <v>-8.8255196822792734E-3</v>
      </c>
      <c r="E149" s="6">
        <f>IFERROR(LN(Cotacao!J150/Cotacao!J149),E148)</f>
        <v>-3.7960762239222852E-2</v>
      </c>
      <c r="F149" s="6">
        <f>IFERROR(LN(Cotacao!L150/Cotacao!L149),F148)</f>
        <v>-2.8035125613602031E-2</v>
      </c>
      <c r="G149" s="6">
        <f>IFERROR(LN(Cotacao!N150/Cotacao!N149),G148)</f>
        <v>-1.0736299447255813E-2</v>
      </c>
      <c r="H149" s="6">
        <f>IFERROR(LN(Cotacao!P150/Cotacao!P149),H148)</f>
        <v>-8.8195958393943851E-3</v>
      </c>
      <c r="I149" s="6">
        <f>IFERROR(LN(Cotacao!R150/Cotacao!R149),I148)</f>
        <v>1.2364762008112568E-3</v>
      </c>
      <c r="J149" s="6">
        <f>IFERROR(LN(Cotacao!T150/Cotacao!T149),J148)</f>
        <v>4.568335634382973E-2</v>
      </c>
      <c r="K149" s="6">
        <f>IFERROR(LN(Cotacao!V150/Cotacao!V149),K148)</f>
        <v>-1.9188780650868653E-2</v>
      </c>
      <c r="L149" s="6">
        <f>IFERROR(LN(Cotacao!X150/Cotacao!X149),L148)</f>
        <v>-8.6615027570122495E-3</v>
      </c>
      <c r="M149" s="6">
        <f>IFERROR(LN(Profit!B149/Profit!B148),M148)</f>
        <v>-1.6923341321140961E-3</v>
      </c>
      <c r="N149" s="6">
        <f>IFERROR(LN(Cotacao!AB150/Cotacao!AB149),N148)</f>
        <v>-9.8040000966209667E-3</v>
      </c>
      <c r="O149" s="6">
        <f>IFERROR(LN(Cotacao!AD150/Cotacao!AD149),O148)</f>
        <v>-2.2701485345391855E-3</v>
      </c>
      <c r="P149" s="6">
        <f>IFERROR(LN(Cotacao!AF150/Cotacao!AF149),P148)</f>
        <v>-2.9683776814699574E-2</v>
      </c>
      <c r="Q149" s="6">
        <f>IFERROR(LN(Cotacao!AH150/Cotacao!AH149),Q148)</f>
        <v>-8.827914123565388E-3</v>
      </c>
      <c r="R149" s="6">
        <f>IFERROR(LN(Cotacao!AJ150/Cotacao!AJ149),R148)</f>
        <v>1.1062059705858603E-2</v>
      </c>
      <c r="S149" s="6">
        <f>IFERROR(LN(Cotacao!AL150/Cotacao!AL149),S148)</f>
        <v>-1.137009787075347E-3</v>
      </c>
      <c r="T149" s="6">
        <f>IFERROR(LN(Cotacao!AN150/Cotacao!AN149),T148)</f>
        <v>-4.635957495748904E-2</v>
      </c>
      <c r="U149" s="6">
        <f>IFERROR(LN(Cotacao!AP150/Cotacao!AP149),U148)</f>
        <v>1.064234769112893E-2</v>
      </c>
      <c r="V149" s="6">
        <f>IFERROR(LN(Cotacao!AR150/Cotacao!AR149),V148)</f>
        <v>-1.027406297618534E-2</v>
      </c>
      <c r="W149" s="6">
        <f>IFERROR(LN(Cotacao!AT150/Cotacao!AT149),W148)</f>
        <v>1.2139754550610697E-2</v>
      </c>
      <c r="X149" s="6">
        <f>IFERROR(LN(Cotacao!AV150/Cotacao!AV149),X148)</f>
        <v>-9.6660617274758887E-3</v>
      </c>
      <c r="Y149" s="6">
        <f>IFERROR(LN(Cotacao!AX150/Cotacao!AX149),Y148)</f>
        <v>1.5858980411184186E-2</v>
      </c>
      <c r="Z149" s="6">
        <f>IFERROR(LN(Cotacao!AZ150/Cotacao!AZ149),Z148)</f>
        <v>-9.950330853168092E-3</v>
      </c>
      <c r="AA149" s="6">
        <f>IFERROR(LN(Cotacao!BB150/Cotacao!BB149),AA148)</f>
        <v>3.5899917314826807E-2</v>
      </c>
      <c r="AB149" s="6">
        <f>IFERROR(LN(Cotacao!BD150/Cotacao!BD149),AB148)</f>
        <v>-2.0181641562372361E-3</v>
      </c>
      <c r="AC149" s="6">
        <f>IFERROR(LN(Cotacao!BF150/Cotacao!BF149),AC148)</f>
        <v>-4.8790164169432056E-2</v>
      </c>
      <c r="AD149" s="6">
        <f>IFERROR(LN(Cotacao!BH150/Cotacao!BH149),AD148)</f>
        <v>4.3248677371903757E-2</v>
      </c>
      <c r="AE149" s="6">
        <f>IFERROR(LN(Cotacao!BJ150/Cotacao!BJ149),AE148)</f>
        <v>-1.8283057749546125E-2</v>
      </c>
      <c r="AF149" s="6">
        <f>IFERROR(LN(Cotacao!BL150/Cotacao!BL149),AF148)</f>
        <v>9.0048001832551804E-3</v>
      </c>
      <c r="AG149" s="6">
        <f>IFERROR(LN(Cotacao!BN150/Cotacao!BN149),AG148)</f>
        <v>-9.8280889362625384E-3</v>
      </c>
      <c r="AH149" s="6">
        <f>IFERROR(LN(Cotacao!BP150/Cotacao!BP149),AH148)</f>
        <v>1.7346058122083715E-3</v>
      </c>
      <c r="AI149" s="6">
        <f>IFERROR(LN(Cotacao!BR150/Cotacao!BR149),AI148)</f>
        <v>-3.9422414165831948E-2</v>
      </c>
      <c r="AJ149" s="6">
        <f>IFERROR(LN(Profit!C149/Profit!C148),AJ148)</f>
        <v>-7.4450428491105542E-3</v>
      </c>
      <c r="AK149" s="6">
        <f>IFERROR(LN(Cotacao!BV150/Cotacao!BV149),AK148)</f>
        <v>-9.4378512483658077E-3</v>
      </c>
      <c r="AL149" s="6">
        <f>IFERROR(LN(Cotacao!BX150/Cotacao!BX149),AL148)</f>
        <v>-7.5381029341562546E-3</v>
      </c>
    </row>
    <row r="150" spans="1:38">
      <c r="A150" s="3" t="str">
        <f>Cotacao!C150</f>
        <v>1/29/2020 16:56:00</v>
      </c>
      <c r="B150" s="6">
        <f>IFERROR(LN(Cotacao!D151/Cotacao!D150),B149)</f>
        <v>-1.5783867701262E-2</v>
      </c>
      <c r="C150" s="6">
        <f>IFERROR(LN(Cotacao!F151/Cotacao!F150),C149)</f>
        <v>-2.8078057182921913E-4</v>
      </c>
      <c r="D150" s="6">
        <f>IFERROR(LN(Cotacao!H151/Cotacao!H150),D149)</f>
        <v>-9.8560312633015259E-3</v>
      </c>
      <c r="E150" s="6">
        <f>IFERROR(LN(Cotacao!J151/Cotacao!J150),E149)</f>
        <v>1.3597608265383624E-2</v>
      </c>
      <c r="F150" s="6">
        <f>IFERROR(LN(Cotacao!L151/Cotacao!L150),F149)</f>
        <v>-1.2516926942535755E-2</v>
      </c>
      <c r="G150" s="6">
        <f>IFERROR(LN(Cotacao!N151/Cotacao!N150),G149)</f>
        <v>8.4453477007001426E-3</v>
      </c>
      <c r="H150" s="6">
        <f>IFERROR(LN(Cotacao!P151/Cotacao!P150),H149)</f>
        <v>1.3536585717533321E-2</v>
      </c>
      <c r="I150" s="6">
        <f>IFERROR(LN(Cotacao!R151/Cotacao!R150),I149)</f>
        <v>-4.4213073953041492E-2</v>
      </c>
      <c r="J150" s="6">
        <f>IFERROR(LN(Cotacao!T151/Cotacao!T150),J149)</f>
        <v>6.1567800448698636E-3</v>
      </c>
      <c r="K150" s="6">
        <f>IFERROR(LN(Cotacao!V151/Cotacao!V150),K149)</f>
        <v>-7.4794664312926237E-3</v>
      </c>
      <c r="L150" s="6">
        <f>IFERROR(LN(Cotacao!X151/Cotacao!X150),L149)</f>
        <v>-3.4920316305281501E-2</v>
      </c>
      <c r="M150" s="6">
        <f>IFERROR(LN(Profit!B150/Profit!B149),M149)</f>
        <v>6.4156897422445206E-3</v>
      </c>
      <c r="N150" s="6">
        <f>IFERROR(LN(Cotacao!AB151/Cotacao!AB150),N149)</f>
        <v>-5.8387769738327301E-3</v>
      </c>
      <c r="O150" s="6">
        <f>IFERROR(LN(Cotacao!AD151/Cotacao!AD150),O149)</f>
        <v>-2.4152985487996728E-2</v>
      </c>
      <c r="P150" s="6">
        <f>IFERROR(LN(Cotacao!AF151/Cotacao!AF150),P149)</f>
        <v>-5.6626871630231335E-2</v>
      </c>
      <c r="Q150" s="6">
        <f>IFERROR(LN(Cotacao!AH151/Cotacao!AH150),Q149)</f>
        <v>1.4670189747793839E-2</v>
      </c>
      <c r="R150" s="6">
        <f>IFERROR(LN(Cotacao!AJ151/Cotacao!AJ150),R149)</f>
        <v>-3.2612598581917653E-2</v>
      </c>
      <c r="S150" s="6">
        <f>IFERROR(LN(Cotacao!AL151/Cotacao!AL150),S149)</f>
        <v>1.1370097870753238E-3</v>
      </c>
      <c r="T150" s="6">
        <f>IFERROR(LN(Cotacao!AN151/Cotacao!AN150),T149)</f>
        <v>-9.8522964430115944E-3</v>
      </c>
      <c r="U150" s="6">
        <f>IFERROR(LN(Cotacao!AP151/Cotacao!AP150),U149)</f>
        <v>-1.5381102038302355E-2</v>
      </c>
      <c r="V150" s="6">
        <f>IFERROR(LN(Cotacao!AR151/Cotacao!AR150),V149)</f>
        <v>4.293694874699436E-3</v>
      </c>
      <c r="W150" s="6">
        <f>IFERROR(LN(Cotacao!AT151/Cotacao!AT150),W149)</f>
        <v>-5.2930180284932E-3</v>
      </c>
      <c r="X150" s="6">
        <f>IFERROR(LN(Cotacao!AV151/Cotacao!AV150),X149)</f>
        <v>-7.0758417967182246E-3</v>
      </c>
      <c r="Y150" s="6">
        <f>IFERROR(LN(Cotacao!AX151/Cotacao!AX150),Y149)</f>
        <v>-1.294352645106016E-2</v>
      </c>
      <c r="Z150" s="6">
        <f>IFERROR(LN(Cotacao!AZ151/Cotacao!AZ150),Z149)</f>
        <v>-5.0125418235442863E-3</v>
      </c>
      <c r="AA150" s="6">
        <f>IFERROR(LN(Cotacao!BB151/Cotacao!BB150),AA149)</f>
        <v>-4.3251293754616449E-3</v>
      </c>
      <c r="AB150" s="6">
        <f>IFERROR(LN(Cotacao!BD151/Cotacao!BD150),AB149)</f>
        <v>-8.9286307443013184E-3</v>
      </c>
      <c r="AC150" s="6">
        <f>IFERROR(LN(Cotacao!BF151/Cotacao!BF150),AC149)</f>
        <v>-2.6267926820610188E-2</v>
      </c>
      <c r="AD150" s="6">
        <f>IFERROR(LN(Cotacao!BH151/Cotacao!BH150),AD149)</f>
        <v>-1.9821544476763594E-2</v>
      </c>
      <c r="AE150" s="6">
        <f>IFERROR(LN(Cotacao!BJ151/Cotacao!BJ150),AE149)</f>
        <v>7.7973104600317106E-3</v>
      </c>
      <c r="AF150" s="6">
        <f>IFERROR(LN(Cotacao!BL151/Cotacao!BL150),AF149)</f>
        <v>-3.4072393805766071E-2</v>
      </c>
      <c r="AG150" s="6">
        <f>IFERROR(LN(Cotacao!BN151/Cotacao!BN150),AG149)</f>
        <v>4.1067819526532812E-3</v>
      </c>
      <c r="AH150" s="6">
        <f>IFERROR(LN(Cotacao!BP151/Cotacao!BP150),AH149)</f>
        <v>3.114728249229164E-3</v>
      </c>
      <c r="AI150" s="6">
        <f>IFERROR(LN(Cotacao!BR151/Cotacao!BR150),AI149)</f>
        <v>3.3099948426344707E-2</v>
      </c>
      <c r="AJ150" s="6">
        <f>IFERROR(LN(Profit!C150/Profit!C149),AJ149)</f>
        <v>3.1430203306951274E-2</v>
      </c>
      <c r="AK150" s="6">
        <f>IFERROR(LN(Cotacao!BV151/Cotacao!BV150),AK149)</f>
        <v>1.2402947670777562E-3</v>
      </c>
      <c r="AL150" s="6">
        <f>IFERROR(LN(Cotacao!BX151/Cotacao!BX150),AL149)</f>
        <v>-1.9869215469539396E-2</v>
      </c>
    </row>
    <row r="151" spans="1:38">
      <c r="A151" s="3" t="str">
        <f>Cotacao!C151</f>
        <v>1/30/2020 16:56:00</v>
      </c>
      <c r="B151" s="6">
        <f>IFERROR(LN(Cotacao!D152/Cotacao!D151),B150)</f>
        <v>-1.3269469468115381E-2</v>
      </c>
      <c r="C151" s="6">
        <f>IFERROR(LN(Cotacao!F152/Cotacao!F151),C150)</f>
        <v>-2.3583988363549319E-2</v>
      </c>
      <c r="D151" s="6">
        <f>IFERROR(LN(Cotacao!H152/Cotacao!H151),D150)</f>
        <v>-8.6083745366002749E-3</v>
      </c>
      <c r="E151" s="6">
        <f>IFERROR(LN(Cotacao!J152/Cotacao!J151),E150)</f>
        <v>-4.3811386861880228E-2</v>
      </c>
      <c r="F151" s="6">
        <f>IFERROR(LN(Cotacao!L152/Cotacao!L151),F150)</f>
        <v>5.3835930834726792E-3</v>
      </c>
      <c r="G151" s="6">
        <f>IFERROR(LN(Cotacao!N152/Cotacao!N151),G150)</f>
        <v>-1.6962627219579363E-2</v>
      </c>
      <c r="H151" s="6">
        <f>IFERROR(LN(Cotacao!P152/Cotacao!P151),H150)</f>
        <v>-1.0474838130963286E-2</v>
      </c>
      <c r="I151" s="6">
        <f>IFERROR(LN(Cotacao!R152/Cotacao!R151),I150)</f>
        <v>4.1888252000771278E-3</v>
      </c>
      <c r="J151" s="6">
        <f>IFERROR(LN(Cotacao!T152/Cotacao!T151),J150)</f>
        <v>-1.4744619084150925E-2</v>
      </c>
      <c r="K151" s="6">
        <f>IFERROR(LN(Cotacao!V152/Cotacao!V151),K150)</f>
        <v>-3.0075210639553284E-3</v>
      </c>
      <c r="L151" s="6">
        <f>IFERROR(LN(Cotacao!X152/Cotacao!X151),L150)</f>
        <v>-1.8433317295292816E-2</v>
      </c>
      <c r="M151" s="6">
        <f>IFERROR(LN(Profit!B151/Profit!B150),M150)</f>
        <v>1.1378971506700367E-2</v>
      </c>
      <c r="N151" s="6">
        <f>IFERROR(LN(Cotacao!AB152/Cotacao!AB151),N150)</f>
        <v>5.8387769738327978E-3</v>
      </c>
      <c r="O151" s="6">
        <f>IFERROR(LN(Cotacao!AD152/Cotacao!AD151),O150)</f>
        <v>-3.4744908284772988E-2</v>
      </c>
      <c r="P151" s="6">
        <f>IFERROR(LN(Cotacao!AF152/Cotacao!AF151),P150)</f>
        <v>-5.3584246134106284E-2</v>
      </c>
      <c r="Q151" s="6">
        <f>IFERROR(LN(Cotacao!AH152/Cotacao!AH151),Q150)</f>
        <v>-2.4173329965206557E-2</v>
      </c>
      <c r="R151" s="6">
        <f>IFERROR(LN(Cotacao!AJ152/Cotacao!AJ151),R150)</f>
        <v>-7.9878705441285645E-3</v>
      </c>
      <c r="S151" s="6">
        <f>IFERROR(LN(Cotacao!AL152/Cotacao!AL151),S150)</f>
        <v>-3.2335380642936576E-2</v>
      </c>
      <c r="T151" s="6">
        <f>IFERROR(LN(Cotacao!AN152/Cotacao!AN151),T150)</f>
        <v>-3.4713647554588519E-3</v>
      </c>
      <c r="U151" s="6">
        <f>IFERROR(LN(Cotacao!AP152/Cotacao!AP151),U150)</f>
        <v>-2.446347217837434E-2</v>
      </c>
      <c r="V151" s="6">
        <f>IFERROR(LN(Cotacao!AR152/Cotacao!AR151),V150)</f>
        <v>8.5653110161642795E-4</v>
      </c>
      <c r="W151" s="6">
        <f>IFERROR(LN(Cotacao!AT152/Cotacao!AT151),W150)</f>
        <v>-6.8162026371361255E-3</v>
      </c>
      <c r="X151" s="6">
        <f>IFERROR(LN(Cotacao!AV152/Cotacao!AV151),X150)</f>
        <v>1.2171119962967464E-2</v>
      </c>
      <c r="Y151" s="6">
        <f>IFERROR(LN(Cotacao!AX152/Cotacao!AX151),Y150)</f>
        <v>-3.5726041425843515E-3</v>
      </c>
      <c r="Z151" s="6">
        <f>IFERROR(LN(Cotacao!AZ152/Cotacao!AZ151),Z150)</f>
        <v>-5.0377940299571808E-3</v>
      </c>
      <c r="AA151" s="6">
        <f>IFERROR(LN(Cotacao!BB152/Cotacao!BB151),AA150)</f>
        <v>1.2188865835676162E-2</v>
      </c>
      <c r="AB151" s="6">
        <f>IFERROR(LN(Cotacao!BD152/Cotacao!BD151),AB150)</f>
        <v>-3.8226507172976446E-2</v>
      </c>
      <c r="AC151" s="6">
        <f>IFERROR(LN(Cotacao!BF152/Cotacao!BF151),AC150)</f>
        <v>-4.3916130036494298E-2</v>
      </c>
      <c r="AD151" s="6">
        <f>IFERROR(LN(Cotacao!BH152/Cotacao!BH151),AD150)</f>
        <v>-8.9643241123150471E-3</v>
      </c>
      <c r="AE151" s="6">
        <f>IFERROR(LN(Cotacao!BJ152/Cotacao!BJ151),AE150)</f>
        <v>7.6819300646919523E-3</v>
      </c>
      <c r="AF151" s="6">
        <f>IFERROR(LN(Cotacao!BL152/Cotacao!BL151),AF150)</f>
        <v>-3.882050035186748E-2</v>
      </c>
      <c r="AG151" s="6">
        <f>IFERROR(LN(Cotacao!BN152/Cotacao!BN151),AG150)</f>
        <v>-1.2371291802546718E-2</v>
      </c>
      <c r="AH151" s="6">
        <f>IFERROR(LN(Cotacao!BP152/Cotacao!BP151),AH150)</f>
        <v>-1.7076560630997953E-2</v>
      </c>
      <c r="AI151" s="6">
        <f>IFERROR(LN(Cotacao!BR152/Cotacao!BR151),AI150)</f>
        <v>1.3231317673652626E-2</v>
      </c>
      <c r="AJ151" s="6">
        <f>IFERROR(LN(Profit!C151/Profit!C150),AJ150)</f>
        <v>2.406620214256406E-2</v>
      </c>
      <c r="AK151" s="6">
        <f>IFERROR(LN(Cotacao!BV152/Cotacao!BV151),AK150)</f>
        <v>-1.5417294469712985E-2</v>
      </c>
      <c r="AL151" s="6">
        <f>IFERROR(LN(Cotacao!BX152/Cotacao!BX151),AL150)</f>
        <v>-1.8069027422185194E-2</v>
      </c>
    </row>
    <row r="152" spans="1:38">
      <c r="A152" s="3" t="str">
        <f>Cotacao!C152</f>
        <v>1/31/2020 16:56:00</v>
      </c>
      <c r="B152" s="6">
        <f>IFERROR(LN(Cotacao!D153/Cotacao!D152),B151)</f>
        <v>4.6792161506758884E-2</v>
      </c>
      <c r="C152" s="6">
        <f>IFERROR(LN(Cotacao!F153/Cotacao!F152),C151)</f>
        <v>4.3035498926035391E-3</v>
      </c>
      <c r="D152" s="6">
        <f>IFERROR(LN(Cotacao!H153/Cotacao!H152),D151)</f>
        <v>1.0511324682686323E-2</v>
      </c>
      <c r="E152" s="6">
        <f>IFERROR(LN(Cotacao!J153/Cotacao!J152),E151)</f>
        <v>6.1162270174360536E-3</v>
      </c>
      <c r="F152" s="6">
        <f>IFERROR(LN(Cotacao!L153/Cotacao!L152),F151)</f>
        <v>2.6927250391787713E-2</v>
      </c>
      <c r="G152" s="6">
        <f>IFERROR(LN(Cotacao!N153/Cotacao!N152),G151)</f>
        <v>-7.7790746824445926E-4</v>
      </c>
      <c r="H152" s="6">
        <f>IFERROR(LN(Cotacao!P153/Cotacao!P152),H151)</f>
        <v>4.7441634219782033E-3</v>
      </c>
      <c r="I152" s="6">
        <f>IFERROR(LN(Cotacao!R153/Cotacao!R152),I151)</f>
        <v>4.863703653725146E-2</v>
      </c>
      <c r="J152" s="6">
        <f>IFERROR(LN(Cotacao!T153/Cotacao!T152),J151)</f>
        <v>-1.3992990683205982E-2</v>
      </c>
      <c r="K152" s="6">
        <f>IFERROR(LN(Cotacao!V153/Cotacao!V152),K151)</f>
        <v>8.9955629085780031E-3</v>
      </c>
      <c r="L152" s="6">
        <f>IFERROR(LN(Cotacao!X153/Cotacao!X152),L151)</f>
        <v>-4.8642856221901842E-2</v>
      </c>
      <c r="M152" s="6">
        <f>IFERROR(LN(Profit!B152/Profit!B151),M151)</f>
        <v>-2.6657796526448085E-3</v>
      </c>
      <c r="N152" s="6">
        <f>IFERROR(LN(Cotacao!AB153/Cotacao!AB152),N151)</f>
        <v>1.1576264627845358E-2</v>
      </c>
      <c r="O152" s="6">
        <f>IFERROR(LN(Cotacao!AD153/Cotacao!AD152),O151)</f>
        <v>4.3630421641981429E-2</v>
      </c>
      <c r="P152" s="6">
        <f>IFERROR(LN(Cotacao!AF153/Cotacao!AF152),P151)</f>
        <v>4.6311486805026496E-2</v>
      </c>
      <c r="Q152" s="6">
        <f>IFERROR(LN(Cotacao!AH153/Cotacao!AH152),Q151)</f>
        <v>1.2650890209760733E-2</v>
      </c>
      <c r="R152" s="6">
        <f>IFERROR(LN(Cotacao!AJ153/Cotacao!AJ152),R151)</f>
        <v>1.3089440418197403E-2</v>
      </c>
      <c r="S152" s="6">
        <f>IFERROR(LN(Cotacao!AL153/Cotacao!AL152),S151)</f>
        <v>2.3202897079664012E-2</v>
      </c>
      <c r="T152" s="6">
        <f>IFERROR(LN(Cotacao!AN153/Cotacao!AN152),T151)</f>
        <v>-3.1796774081999067E-2</v>
      </c>
      <c r="U152" s="6">
        <f>IFERROR(LN(Cotacao!AP153/Cotacao!AP152),U151)</f>
        <v>-1.8096142240421546E-2</v>
      </c>
      <c r="V152" s="6">
        <f>IFERROR(LN(Cotacao!AR153/Cotacao!AR152),V151)</f>
        <v>-3.2190687272051897E-2</v>
      </c>
      <c r="W152" s="6">
        <f>IFERROR(LN(Cotacao!AT153/Cotacao!AT152),W151)</f>
        <v>7.6330633810312308E-5</v>
      </c>
      <c r="X152" s="6">
        <f>IFERROR(LN(Cotacao!AV153/Cotacao!AV152),X151)</f>
        <v>-8.5547410759088446E-3</v>
      </c>
      <c r="Y152" s="6">
        <f>IFERROR(LN(Cotacao!AX153/Cotacao!AX152),Y151)</f>
        <v>-3.0479538603331011E-2</v>
      </c>
      <c r="Z152" s="6">
        <f>IFERROR(LN(Cotacao!AZ153/Cotacao!AZ152),Z151)</f>
        <v>7.5472056353829038E-3</v>
      </c>
      <c r="AA152" s="6">
        <f>IFERROR(LN(Cotacao!BB153/Cotacao!BB152),AA151)</f>
        <v>1.0438414308981804E-3</v>
      </c>
      <c r="AB152" s="6">
        <f>IFERROR(LN(Cotacao!BD153/Cotacao!BD152),AB151)</f>
        <v>5.3197452373240271E-2</v>
      </c>
      <c r="AC152" s="6">
        <f>IFERROR(LN(Cotacao!BF153/Cotacao!BF152),AC151)</f>
        <v>5.224635617043711E-2</v>
      </c>
      <c r="AD152" s="6">
        <f>IFERROR(LN(Cotacao!BH153/Cotacao!BH152),AD151)</f>
        <v>2.7839570907864306E-2</v>
      </c>
      <c r="AE152" s="6">
        <f>IFERROR(LN(Cotacao!BJ153/Cotacao!BJ152),AE151)</f>
        <v>5.5997950337825474E-3</v>
      </c>
      <c r="AF152" s="6">
        <f>IFERROR(LN(Cotacao!BL153/Cotacao!BL152),AF151)</f>
        <v>3.1471128712220874E-2</v>
      </c>
      <c r="AG152" s="6">
        <f>IFERROR(LN(Cotacao!BN153/Cotacao!BN152),AG151)</f>
        <v>3.846236631297089E-2</v>
      </c>
      <c r="AH152" s="6">
        <f>IFERROR(LN(Cotacao!BP153/Cotacao!BP152),AH151)</f>
        <v>-9.5356541018057905E-3</v>
      </c>
      <c r="AI152" s="6">
        <f>IFERROR(LN(Cotacao!BR153/Cotacao!BR152),AI151)</f>
        <v>8.3420234243254763E-4</v>
      </c>
      <c r="AJ152" s="6">
        <f>IFERROR(LN(Profit!C152/Profit!C151),AJ151)</f>
        <v>2.5673955052457334E-3</v>
      </c>
      <c r="AK152" s="6">
        <f>IFERROR(LN(Cotacao!BV153/Cotacao!BV152),AK151)</f>
        <v>7.6066817736314711E-3</v>
      </c>
      <c r="AL152" s="6">
        <f>IFERROR(LN(Cotacao!BX153/Cotacao!BX152),AL151)</f>
        <v>-3.1441597492148471E-4</v>
      </c>
    </row>
    <row r="153" spans="1:38">
      <c r="A153" s="3" t="str">
        <f>Cotacao!C153</f>
        <v>2/3/2020 16:56:00</v>
      </c>
      <c r="B153" s="6">
        <f>IFERROR(LN(Cotacao!D154/Cotacao!D153),B152)</f>
        <v>3.07219903697028E-3</v>
      </c>
      <c r="C153" s="6">
        <f>IFERROR(LN(Cotacao!F154/Cotacao!F153),C152)</f>
        <v>-1.3837061359072976E-2</v>
      </c>
      <c r="D153" s="6">
        <f>IFERROR(LN(Cotacao!H154/Cotacao!H153),D152)</f>
        <v>4.7415925725825319E-3</v>
      </c>
      <c r="E153" s="6">
        <f>IFERROR(LN(Cotacao!J154/Cotacao!J153),E152)</f>
        <v>1.9324272826402842E-2</v>
      </c>
      <c r="F153" s="6">
        <f>IFERROR(LN(Cotacao!L154/Cotacao!L153),F152)</f>
        <v>-1.9793916532724717E-2</v>
      </c>
      <c r="G153" s="6">
        <f>IFERROR(LN(Cotacao!N154/Cotacao!N153),G152)</f>
        <v>2.3319093349787427E-3</v>
      </c>
      <c r="H153" s="6">
        <f>IFERROR(LN(Cotacao!P154/Cotacao!P153),H152)</f>
        <v>6.7385699732092691E-3</v>
      </c>
      <c r="I153" s="6">
        <f>IFERROR(LN(Cotacao!R154/Cotacao!R153),I152)</f>
        <v>-6.760935403213434E-3</v>
      </c>
      <c r="J153" s="6">
        <f>IFERROR(LN(Cotacao!T154/Cotacao!T153),J152)</f>
        <v>2.7320175086383472E-2</v>
      </c>
      <c r="K153" s="6">
        <f>IFERROR(LN(Cotacao!V154/Cotacao!V153),K152)</f>
        <v>-4.4876664693880167E-3</v>
      </c>
      <c r="L153" s="6">
        <f>IFERROR(LN(Cotacao!X154/Cotacao!X153),L152)</f>
        <v>7.5717917660819882E-3</v>
      </c>
      <c r="M153" s="6">
        <f>IFERROR(LN(Profit!B153/Profit!B152),M152)</f>
        <v>8.6379274627948685E-3</v>
      </c>
      <c r="N153" s="6">
        <f>IFERROR(LN(Cotacao!AB154/Cotacao!AB153),N152)</f>
        <v>-9.7865549778736148E-3</v>
      </c>
      <c r="O153" s="6">
        <f>IFERROR(LN(Cotacao!AD154/Cotacao!AD153),O152)</f>
        <v>-3.4675434474633849E-3</v>
      </c>
      <c r="P153" s="6">
        <f>IFERROR(LN(Cotacao!AF154/Cotacao!AF153),P152)</f>
        <v>-3.7179003241754015E-2</v>
      </c>
      <c r="Q153" s="6">
        <f>IFERROR(LN(Cotacao!AH154/Cotacao!AH153),Q152)</f>
        <v>2.6363224810586033E-2</v>
      </c>
      <c r="R153" s="6">
        <f>IFERROR(LN(Cotacao!AJ154/Cotacao!AJ153),R152)</f>
        <v>-5.6700208604798571E-3</v>
      </c>
      <c r="S153" s="6">
        <f>IFERROR(LN(Cotacao!AL154/Cotacao!AL153),S152)</f>
        <v>1.1461319306225416E-3</v>
      </c>
      <c r="T153" s="6">
        <f>IFERROR(LN(Cotacao!AN154/Cotacao!AN153),T152)</f>
        <v>9.1884260544063904E-3</v>
      </c>
      <c r="U153" s="6">
        <f>IFERROR(LN(Cotacao!AP154/Cotacao!AP153),U152)</f>
        <v>8.3131756902046581E-3</v>
      </c>
      <c r="V153" s="6">
        <f>IFERROR(LN(Cotacao!AR154/Cotacao!AR153),V152)</f>
        <v>7.9260652724207226E-3</v>
      </c>
      <c r="W153" s="6">
        <f>IFERROR(LN(Cotacao!AT154/Cotacao!AT153),W152)</f>
        <v>6.5620304971104003E-4</v>
      </c>
      <c r="X153" s="6">
        <f>IFERROR(LN(Cotacao!AV154/Cotacao!AV153),X152)</f>
        <v>3.6752824853327273E-3</v>
      </c>
      <c r="Y153" s="6">
        <f>IFERROR(LN(Cotacao!AX154/Cotacao!AX153),Y152)</f>
        <v>-3.7657692028532277E-4</v>
      </c>
      <c r="Z153" s="6">
        <f>IFERROR(LN(Cotacao!AZ154/Cotacao!AZ153),Z152)</f>
        <v>-5.0251362026730428E-3</v>
      </c>
      <c r="AA153" s="6">
        <f>IFERROR(LN(Cotacao!BB154/Cotacao!BB153),AA152)</f>
        <v>-2.4716087044298025E-2</v>
      </c>
      <c r="AB153" s="6">
        <f>IFERROR(LN(Cotacao!BD154/Cotacao!BD153),AB152)</f>
        <v>1.197619104671562E-2</v>
      </c>
      <c r="AC153" s="6">
        <f>IFERROR(LN(Cotacao!BF154/Cotacao!BF153),AC152)</f>
        <v>1.4227121290131614E-2</v>
      </c>
      <c r="AD153" s="6">
        <f>IFERROR(LN(Cotacao!BH154/Cotacao!BH153),AD152)</f>
        <v>-5.9347355198145777E-3</v>
      </c>
      <c r="AE153" s="6">
        <f>IFERROR(LN(Cotacao!BJ154/Cotacao!BJ153),AE152)</f>
        <v>1.7503559878563071E-3</v>
      </c>
      <c r="AF153" s="6">
        <f>IFERROR(LN(Cotacao!BL154/Cotacao!BL153),AF152)</f>
        <v>-3.6950405386504781E-3</v>
      </c>
      <c r="AG153" s="6">
        <f>IFERROR(LN(Cotacao!BN154/Cotacao!BN153),AG152)</f>
        <v>-2.5987021121485782E-3</v>
      </c>
      <c r="AH153" s="6">
        <f>IFERROR(LN(Cotacao!BP154/Cotacao!BP153),AH152)</f>
        <v>1.5842612639489453E-2</v>
      </c>
      <c r="AI153" s="6">
        <f>IFERROR(LN(Cotacao!BR154/Cotacao!BR153),AI152)</f>
        <v>1.7154497345129006E-2</v>
      </c>
      <c r="AJ153" s="6">
        <f>IFERROR(LN(Profit!C153/Profit!C152),AJ152)</f>
        <v>1.4004048084016403E-2</v>
      </c>
      <c r="AK153" s="6">
        <f>IFERROR(LN(Cotacao!BV154/Cotacao!BV153),AK152)</f>
        <v>8.0587467693780581E-3</v>
      </c>
      <c r="AL153" s="6">
        <f>IFERROR(LN(Cotacao!BX154/Cotacao!BX153),AL152)</f>
        <v>1.5291294984052638E-2</v>
      </c>
    </row>
    <row r="154" spans="1:38">
      <c r="A154" s="3" t="str">
        <f>Cotacao!C154</f>
        <v>2/4/2020 16:56:00</v>
      </c>
      <c r="B154" s="6">
        <f>IFERROR(LN(Cotacao!D155/Cotacao!D154),B153)</f>
        <v>3.9945186046720559E-2</v>
      </c>
      <c r="C154" s="6">
        <f>IFERROR(LN(Cotacao!F155/Cotacao!F154),C153)</f>
        <v>5.2113609546629814E-3</v>
      </c>
      <c r="D154" s="6">
        <f>IFERROR(LN(Cotacao!H155/Cotacao!H154),D153)</f>
        <v>-9.4652160403093559E-4</v>
      </c>
      <c r="E154" s="6">
        <f>IFERROR(LN(Cotacao!J155/Cotacao!J154),E153)</f>
        <v>-4.1953912301027386E-3</v>
      </c>
      <c r="F154" s="6">
        <f>IFERROR(LN(Cotacao!L155/Cotacao!L154),F153)</f>
        <v>-2.6690407303776734E-3</v>
      </c>
      <c r="G154" s="6">
        <f>IFERROR(LN(Cotacao!N155/Cotacao!N154),G153)</f>
        <v>5.4200674693391133E-3</v>
      </c>
      <c r="H154" s="6">
        <f>IFERROR(LN(Cotacao!P155/Cotacao!P154),H153)</f>
        <v>1.3422820807294489E-3</v>
      </c>
      <c r="I154" s="6">
        <f>IFERROR(LN(Cotacao!R155/Cotacao!R154),I153)</f>
        <v>9.2464176721868488E-4</v>
      </c>
      <c r="J154" s="6">
        <f>IFERROR(LN(Cotacao!T155/Cotacao!T154),J153)</f>
        <v>2.1053409197832482E-2</v>
      </c>
      <c r="K154" s="6">
        <f>IFERROR(LN(Cotacao!V155/Cotacao!V154),K153)</f>
        <v>4.3995364844900124E-2</v>
      </c>
      <c r="L154" s="6">
        <f>IFERROR(LN(Cotacao!X155/Cotacao!X154),L153)</f>
        <v>1.2984366116219852E-2</v>
      </c>
      <c r="M154" s="6">
        <f>IFERROR(LN(Profit!B154/Profit!B153),M153)</f>
        <v>-7.3041493390908728E-3</v>
      </c>
      <c r="N154" s="6">
        <f>IFERROR(LN(Cotacao!AB155/Cotacao!AB154),N153)</f>
        <v>-7.6284866238045734E-3</v>
      </c>
      <c r="O154" s="6">
        <f>IFERROR(LN(Cotacao!AD155/Cotacao!AD154),O153)</f>
        <v>1.8735015578251722E-2</v>
      </c>
      <c r="P154" s="6">
        <f>IFERROR(LN(Cotacao!AF155/Cotacao!AF154),P153)</f>
        <v>2.8970220706012229E-2</v>
      </c>
      <c r="Q154" s="6">
        <f>IFERROR(LN(Cotacao!AH155/Cotacao!AH154),Q153)</f>
        <v>1.3680623779840303E-2</v>
      </c>
      <c r="R154" s="6">
        <f>IFERROR(LN(Cotacao!AJ155/Cotacao!AJ154),R153)</f>
        <v>-6.4651299538534927E-3</v>
      </c>
      <c r="S154" s="6">
        <f>IFERROR(LN(Cotacao!AL155/Cotacao!AL154),S153)</f>
        <v>2.7120306219194035E-2</v>
      </c>
      <c r="T154" s="6">
        <f>IFERROR(LN(Cotacao!AN155/Cotacao!AN154),T153)</f>
        <v>7.1895403604092288E-3</v>
      </c>
      <c r="U154" s="6">
        <f>IFERROR(LN(Cotacao!AP155/Cotacao!AP154),U153)</f>
        <v>-3.9747740916065083E-3</v>
      </c>
      <c r="V154" s="6">
        <f>IFERROR(LN(Cotacao!AR155/Cotacao!AR154),V153)</f>
        <v>6.9930354909706043E-3</v>
      </c>
      <c r="W154" s="6">
        <f>IFERROR(LN(Cotacao!AT155/Cotacao!AT154),W153)</f>
        <v>6.8188042857211346E-3</v>
      </c>
      <c r="X154" s="6">
        <f>IFERROR(LN(Cotacao!AV155/Cotacao!AV154),X153)</f>
        <v>1.0376135170478577E-2</v>
      </c>
      <c r="Y154" s="6">
        <f>IFERROR(LN(Cotacao!AX155/Cotacao!AX154),Y153)</f>
        <v>-3.1688573370900744E-3</v>
      </c>
      <c r="Z154" s="6">
        <f>IFERROR(LN(Cotacao!AZ155/Cotacao!AZ154),Z153)</f>
        <v>5.0251362026729795E-3</v>
      </c>
      <c r="AA154" s="6">
        <f>IFERROR(LN(Cotacao!BB155/Cotacao!BB154),AA153)</f>
        <v>-4.6090440132644569E-3</v>
      </c>
      <c r="AB154" s="6">
        <f>IFERROR(LN(Cotacao!BD155/Cotacao!BD154),AB153)</f>
        <v>1.9646997383796421E-2</v>
      </c>
      <c r="AC154" s="6">
        <f>IFERROR(LN(Cotacao!BF155/Cotacao!BF154),AC153)</f>
        <v>-1.5736555538985921E-2</v>
      </c>
      <c r="AD154" s="6">
        <f>IFERROR(LN(Cotacao!BH155/Cotacao!BH154),AD153)</f>
        <v>7.5901692666756528E-3</v>
      </c>
      <c r="AE154" s="6">
        <f>IFERROR(LN(Cotacao!BJ155/Cotacao!BJ154),AE153)</f>
        <v>-3.9974863626215636E-3</v>
      </c>
      <c r="AF154" s="6">
        <f>IFERROR(LN(Cotacao!BL155/Cotacao!BL154),AF153)</f>
        <v>2.0760301092837361E-2</v>
      </c>
      <c r="AG154" s="6">
        <f>IFERROR(LN(Cotacao!BN155/Cotacao!BN154),AG153)</f>
        <v>-1.2284919377886363E-2</v>
      </c>
      <c r="AH154" s="6">
        <f>IFERROR(LN(Cotacao!BP155/Cotacao!BP154),AH153)</f>
        <v>-8.4181486251437895E-3</v>
      </c>
      <c r="AI154" s="6">
        <f>IFERROR(LN(Cotacao!BR155/Cotacao!BR154),AI153)</f>
        <v>-1.6529301951210471E-2</v>
      </c>
      <c r="AJ154" s="6">
        <f>IFERROR(LN(Profit!C154/Profit!C153),AJ153)</f>
        <v>-2.0434938414306894E-2</v>
      </c>
      <c r="AK154" s="6">
        <f>IFERROR(LN(Cotacao!BV155/Cotacao!BV154),AK153)</f>
        <v>4.0724631773037092E-3</v>
      </c>
      <c r="AL154" s="6">
        <f>IFERROR(LN(Cotacao!BX155/Cotacao!BX154),AL153)</f>
        <v>2.1749976696296427E-2</v>
      </c>
    </row>
    <row r="155" spans="1:38">
      <c r="A155" s="3" t="str">
        <f>Cotacao!C155</f>
        <v>2/5/2020 16:56:00</v>
      </c>
      <c r="B155" s="6">
        <f>IFERROR(LN(Cotacao!D156/Cotacao!D155),B154)</f>
        <v>-5.3178727209160552E-2</v>
      </c>
      <c r="C155" s="6">
        <f>IFERROR(LN(Cotacao!F156/Cotacao!F155),C154)</f>
        <v>4.8970283660979127E-3</v>
      </c>
      <c r="D155" s="6">
        <f>IFERROR(LN(Cotacao!H156/Cotacao!H155),D154)</f>
        <v>-1.8928009885518796E-2</v>
      </c>
      <c r="E155" s="6">
        <f>IFERROR(LN(Cotacao!J156/Cotacao!J155),E154)</f>
        <v>-3.2349479347970458E-2</v>
      </c>
      <c r="F155" s="6">
        <f>IFERROR(LN(Cotacao!L156/Cotacao!L155),F154)</f>
        <v>-9.8478862121580031E-3</v>
      </c>
      <c r="G155" s="6">
        <f>IFERROR(LN(Cotacao!N156/Cotacao!N155),G154)</f>
        <v>-1.0089336653022687E-2</v>
      </c>
      <c r="H155" s="6">
        <f>IFERROR(LN(Cotacao!P156/Cotacao!P155),H154)</f>
        <v>-4.3690205609238607E-3</v>
      </c>
      <c r="I155" s="6">
        <f>IFERROR(LN(Cotacao!R156/Cotacao!R155),I154)</f>
        <v>-1.5210599014695118E-2</v>
      </c>
      <c r="J155" s="6">
        <f>IFERROR(LN(Cotacao!T156/Cotacao!T155),J154)</f>
        <v>-2.3420274208098498E-2</v>
      </c>
      <c r="K155" s="6">
        <f>IFERROR(LN(Cotacao!V156/Cotacao!V155),K154)</f>
        <v>-1.736657249829859E-2</v>
      </c>
      <c r="L155" s="6">
        <f>IFERROR(LN(Cotacao!X156/Cotacao!X155),L154)</f>
        <v>4.3196611445163796E-3</v>
      </c>
      <c r="M155" s="6">
        <f>IFERROR(LN(Profit!B155/Profit!B154),M154)</f>
        <v>3.3316675304015489E-4</v>
      </c>
      <c r="N155" s="6">
        <f>IFERROR(LN(Cotacao!AB156/Cotacao!AB155),N154)</f>
        <v>-1.6807118316381289E-2</v>
      </c>
      <c r="O155" s="6">
        <f>IFERROR(LN(Cotacao!AD156/Cotacao!AD155),O154)</f>
        <v>-4.5558165358605789E-3</v>
      </c>
      <c r="P155" s="6">
        <f>IFERROR(LN(Cotacao!AF156/Cotacao!AF155),P154)</f>
        <v>7.6246703696014433E-3</v>
      </c>
      <c r="Q155" s="6">
        <f>IFERROR(LN(Cotacao!AH156/Cotacao!AH155),Q154)</f>
        <v>5.4578097274630005E-3</v>
      </c>
      <c r="R155" s="6">
        <f>IFERROR(LN(Cotacao!AJ156/Cotacao!AJ155),R154)</f>
        <v>3.0476214064748693E-3</v>
      </c>
      <c r="S155" s="6">
        <f>IFERROR(LN(Cotacao!AL156/Cotacao!AL155),S154)</f>
        <v>-2.9413885206293341E-2</v>
      </c>
      <c r="T155" s="6">
        <f>IFERROR(LN(Cotacao!AN156/Cotacao!AN155),T154)</f>
        <v>1.6908011218651205E-2</v>
      </c>
      <c r="U155" s="6">
        <f>IFERROR(LN(Cotacao!AP156/Cotacao!AP155),U154)</f>
        <v>-4.3384015985981298E-3</v>
      </c>
      <c r="V155" s="6">
        <f>IFERROR(LN(Cotacao!AR156/Cotacao!AR155),V154)</f>
        <v>-1.4035318116383481E-2</v>
      </c>
      <c r="W155" s="6">
        <f>IFERROR(LN(Cotacao!AT156/Cotacao!AT155),W154)</f>
        <v>-7.5818718542236836E-3</v>
      </c>
      <c r="X155" s="6">
        <f>IFERROR(LN(Cotacao!AV156/Cotacao!AV155),X154)</f>
        <v>4.4749160159497535E-3</v>
      </c>
      <c r="Y155" s="6">
        <f>IFERROR(LN(Cotacao!AX156/Cotacao!AX155),Y154)</f>
        <v>-1.7995148191461089E-2</v>
      </c>
      <c r="Z155" s="6">
        <f>IFERROR(LN(Cotacao!AZ156/Cotacao!AZ155),Z154)</f>
        <v>-7.5472056353829663E-3</v>
      </c>
      <c r="AA155" s="6">
        <f>IFERROR(LN(Cotacao!BB156/Cotacao!BB155),AA154)</f>
        <v>-2.8109487728210484E-2</v>
      </c>
      <c r="AB155" s="6">
        <f>IFERROR(LN(Cotacao!BD156/Cotacao!BD155),AB154)</f>
        <v>-2.8815887609492274E-2</v>
      </c>
      <c r="AC155" s="6">
        <f>IFERROR(LN(Cotacao!BF156/Cotacao!BF155),AC154)</f>
        <v>-1.8293193047325487E-2</v>
      </c>
      <c r="AD155" s="6">
        <f>IFERROR(LN(Cotacao!BH156/Cotacao!BH155),AD154)</f>
        <v>-9.9739606219519349E-3</v>
      </c>
      <c r="AE155" s="6">
        <f>IFERROR(LN(Cotacao!BJ156/Cotacao!BJ155),AE154)</f>
        <v>-9.9256397999700433E-3</v>
      </c>
      <c r="AF155" s="6">
        <f>IFERROR(LN(Cotacao!BL156/Cotacao!BL155),AF154)</f>
        <v>3.4916265106228091E-2</v>
      </c>
      <c r="AG155" s="6">
        <f>IFERROR(LN(Cotacao!BN156/Cotacao!BN155),AG154)</f>
        <v>-1.346409568488109E-2</v>
      </c>
      <c r="AH155" s="6">
        <f>IFERROR(LN(Cotacao!BP156/Cotacao!BP155),AH154)</f>
        <v>2.7446572609759644E-2</v>
      </c>
      <c r="AI155" s="6">
        <f>IFERROR(LN(Cotacao!BR156/Cotacao!BR155),AI154)</f>
        <v>-2.2942965533729585E-3</v>
      </c>
      <c r="AJ155" s="6">
        <f>IFERROR(LN(Profit!C155/Profit!C154),AJ154)</f>
        <v>-7.7720598477029734E-3</v>
      </c>
      <c r="AK155" s="6">
        <f>IFERROR(LN(Cotacao!BV156/Cotacao!BV155),AK154)</f>
        <v>-7.2511898121077976E-3</v>
      </c>
      <c r="AL155" s="6">
        <f>IFERROR(LN(Cotacao!BX156/Cotacao!BX155),AL154)</f>
        <v>-9.1324835632724741E-3</v>
      </c>
    </row>
    <row r="156" spans="1:38">
      <c r="A156" s="3" t="str">
        <f>Cotacao!C156</f>
        <v>2/6/2020 16:56:00</v>
      </c>
      <c r="B156" s="6">
        <f>IFERROR(LN(Cotacao!D157/Cotacao!D156),B155)</f>
        <v>-2.5636663750309326E-2</v>
      </c>
      <c r="C156" s="6">
        <f>IFERROR(LN(Cotacao!F157/Cotacao!F156),C155)</f>
        <v>1.596385098901399E-2</v>
      </c>
      <c r="D156" s="6">
        <f>IFERROR(LN(Cotacao!H157/Cotacao!H156),D155)</f>
        <v>-2.9180568434511906E-2</v>
      </c>
      <c r="E156" s="6">
        <f>IFERROR(LN(Cotacao!J157/Cotacao!J156),E155)</f>
        <v>-5.4825711222171405E-2</v>
      </c>
      <c r="F156" s="6">
        <f>IFERROR(LN(Cotacao!L157/Cotacao!L156),F155)</f>
        <v>-3.3389792842488074E-2</v>
      </c>
      <c r="G156" s="6">
        <f>IFERROR(LN(Cotacao!N157/Cotacao!N156),G155)</f>
        <v>-2.3428359017727183E-3</v>
      </c>
      <c r="H156" s="6">
        <f>IFERROR(LN(Cotacao!P157/Cotacao!P156),H155)</f>
        <v>2.690886252016589E-3</v>
      </c>
      <c r="I156" s="6">
        <f>IFERROR(LN(Cotacao!R157/Cotacao!R156),I155)</f>
        <v>-2.2458638078419427E-2</v>
      </c>
      <c r="J156" s="6">
        <f>IFERROR(LN(Cotacao!T157/Cotacao!T156),J155)</f>
        <v>-5.2041890804293951E-2</v>
      </c>
      <c r="K156" s="6">
        <f>IFERROR(LN(Cotacao!V157/Cotacao!V156),K155)</f>
        <v>-1.1747565349950305E-2</v>
      </c>
      <c r="L156" s="6">
        <f>IFERROR(LN(Cotacao!X157/Cotacao!X156),L155)</f>
        <v>1.709443335930004E-2</v>
      </c>
      <c r="M156" s="6">
        <f>IFERROR(LN(Profit!B156/Profit!B155),M155)</f>
        <v>9.9883477590063724E-4</v>
      </c>
      <c r="N156" s="6">
        <f>IFERROR(LN(Cotacao!AB157/Cotacao!AB156),N155)</f>
        <v>-4.1312888687890983E-3</v>
      </c>
      <c r="O156" s="6">
        <f>IFERROR(LN(Cotacao!AD157/Cotacao!AD156),O155)</f>
        <v>-4.2361103251890894E-2</v>
      </c>
      <c r="P156" s="6">
        <f>IFERROR(LN(Cotacao!AF157/Cotacao!AF156),P155)</f>
        <v>-2.4546552559439223E-2</v>
      </c>
      <c r="Q156" s="6">
        <f>IFERROR(LN(Cotacao!AH157/Cotacao!AH156),Q155)</f>
        <v>-2.2396077472812477E-2</v>
      </c>
      <c r="R156" s="6">
        <f>IFERROR(LN(Cotacao!AJ157/Cotacao!AJ156),R155)</f>
        <v>-1.3017029129892171E-2</v>
      </c>
      <c r="S156" s="6">
        <f>IFERROR(LN(Cotacao!AL157/Cotacao!AL156),S155)</f>
        <v>-2.0882429360823834E-2</v>
      </c>
      <c r="T156" s="6">
        <f>IFERROR(LN(Cotacao!AN157/Cotacao!AN156),T155)</f>
        <v>3.6639145805308763E-3</v>
      </c>
      <c r="U156" s="6">
        <f>IFERROR(LN(Cotacao!AP157/Cotacao!AP156),U155)</f>
        <v>-8.6994350853999633E-4</v>
      </c>
      <c r="V156" s="6">
        <f>IFERROR(LN(Cotacao!AR157/Cotacao!AR156),V155)</f>
        <v>5.2863559231480246E-3</v>
      </c>
      <c r="W156" s="6">
        <f>IFERROR(LN(Cotacao!AT157/Cotacao!AT156),W155)</f>
        <v>-7.6365028529733333E-4</v>
      </c>
      <c r="X156" s="6">
        <f>IFERROR(LN(Cotacao!AV157/Cotacao!AV156),X155)</f>
        <v>-7.897867372034361E-3</v>
      </c>
      <c r="Y156" s="6">
        <f>IFERROR(LN(Cotacao!AX157/Cotacao!AX156),Y155)</f>
        <v>-1.7228425509683235E-2</v>
      </c>
      <c r="Z156" s="6">
        <f>IFERROR(LN(Cotacao!AZ157/Cotacao!AZ156),Z155)</f>
        <v>-3.8614836127779543E-2</v>
      </c>
      <c r="AA156" s="6">
        <f>IFERROR(LN(Cotacao!BB157/Cotacao!BB156),AA155)</f>
        <v>1.931834463085603E-3</v>
      </c>
      <c r="AB156" s="6">
        <f>IFERROR(LN(Cotacao!BD157/Cotacao!BD156),AB155)</f>
        <v>-3.8372054543304224E-2</v>
      </c>
      <c r="AC156" s="6">
        <f>IFERROR(LN(Cotacao!BF157/Cotacao!BF156),AC155)</f>
        <v>-2.3347363996991177E-2</v>
      </c>
      <c r="AD156" s="6">
        <f>IFERROR(LN(Cotacao!BH157/Cotacao!BH156),AD155)</f>
        <v>-4.7846981233361585E-3</v>
      </c>
      <c r="AE156" s="6">
        <f>IFERROR(LN(Cotacao!BJ157/Cotacao!BJ156),AE155)</f>
        <v>5.5401663466926837E-4</v>
      </c>
      <c r="AF156" s="6">
        <f>IFERROR(LN(Cotacao!BL157/Cotacao!BL156),AF155)</f>
        <v>-4.146412407735918E-2</v>
      </c>
      <c r="AG156" s="6">
        <f>IFERROR(LN(Cotacao!BN157/Cotacao!BN156),AG155)</f>
        <v>-8.0421095360825607E-3</v>
      </c>
      <c r="AH156" s="6">
        <f>IFERROR(LN(Cotacao!BP157/Cotacao!BP156),AH155)</f>
        <v>-8.6044241065958427E-3</v>
      </c>
      <c r="AI156" s="6">
        <f>IFERROR(LN(Cotacao!BR157/Cotacao!BR156),AI155)</f>
        <v>8.7318642117972314E-3</v>
      </c>
      <c r="AJ156" s="6">
        <f>IFERROR(LN(Profit!C156/Profit!C155),AJ155)</f>
        <v>2.3137278911759297E-2</v>
      </c>
      <c r="AK156" s="6">
        <f>IFERROR(LN(Cotacao!BV157/Cotacao!BV156),AK155)</f>
        <v>-1.2401262948357304E-2</v>
      </c>
      <c r="AL156" s="6">
        <f>IFERROR(LN(Cotacao!BX157/Cotacao!BX156),AL155)</f>
        <v>5.7935822977577206E-3</v>
      </c>
    </row>
    <row r="157" spans="1:38">
      <c r="A157" s="3" t="str">
        <f>Cotacao!C157</f>
        <v>2/7/2020 16:56:00</v>
      </c>
      <c r="B157" s="6">
        <f>IFERROR(LN(Cotacao!D158/Cotacao!D157),B156)</f>
        <v>-3.2880943147442311E-2</v>
      </c>
      <c r="C157" s="6">
        <f>IFERROR(LN(Cotacao!F158/Cotacao!F157),C156)</f>
        <v>1.2925158863122989E-2</v>
      </c>
      <c r="D157" s="6">
        <f>IFERROR(LN(Cotacao!H158/Cotacao!H157),D156)</f>
        <v>-7.7805878796671727E-3</v>
      </c>
      <c r="E157" s="6">
        <f>IFERROR(LN(Cotacao!J158/Cotacao!J157),E156)</f>
        <v>1.3097578820635101E-3</v>
      </c>
      <c r="F157" s="6">
        <f>IFERROR(LN(Cotacao!L158/Cotacao!L157),F156)</f>
        <v>-1.1225562219815166E-2</v>
      </c>
      <c r="G157" s="6">
        <f>IFERROR(LN(Cotacao!N158/Cotacao!N157),G156)</f>
        <v>2.0124518177951235E-2</v>
      </c>
      <c r="H157" s="6">
        <f>IFERROR(LN(Cotacao!P158/Cotacao!P157),H156)</f>
        <v>9.3614859535315065E-3</v>
      </c>
      <c r="I157" s="6">
        <f>IFERROR(LN(Cotacao!R158/Cotacao!R157),I156)</f>
        <v>-3.1191612478007169E-2</v>
      </c>
      <c r="J157" s="6">
        <f>IFERROR(LN(Cotacao!T158/Cotacao!T157),J156)</f>
        <v>-1.1549211977237387E-2</v>
      </c>
      <c r="K157" s="6">
        <f>IFERROR(LN(Cotacao!V158/Cotacao!V157),K156)</f>
        <v>-1.3383099375629197E-2</v>
      </c>
      <c r="L157" s="6">
        <f>IFERROR(LN(Cotacao!X158/Cotacao!X157),L156)</f>
        <v>-2.9760517499953437E-2</v>
      </c>
      <c r="M157" s="6">
        <f>IFERROR(LN(Profit!B157/Profit!B156),M156)</f>
        <v>-8.3542674698578127E-3</v>
      </c>
      <c r="N157" s="6">
        <f>IFERROR(LN(Cotacao!AB158/Cotacao!AB157),N156)</f>
        <v>1.9134980186019751E-2</v>
      </c>
      <c r="O157" s="6">
        <f>IFERROR(LN(Cotacao!AD158/Cotacao!AD157),O156)</f>
        <v>-5.8022808992416311E-2</v>
      </c>
      <c r="P157" s="6">
        <f>IFERROR(LN(Cotacao!AF158/Cotacao!AF157),P156)</f>
        <v>-7.4568695497508497E-2</v>
      </c>
      <c r="Q157" s="6">
        <f>IFERROR(LN(Cotacao!AH158/Cotacao!AH157),Q156)</f>
        <v>-3.7349145092479052E-2</v>
      </c>
      <c r="R157" s="6">
        <f>IFERROR(LN(Cotacao!AJ158/Cotacao!AJ157),R156)</f>
        <v>1.5402390415011717E-3</v>
      </c>
      <c r="S157" s="6">
        <f>IFERROR(LN(Cotacao!AL158/Cotacao!AL157),S156)</f>
        <v>-2.3474189183048965E-3</v>
      </c>
      <c r="T157" s="6">
        <f>IFERROR(LN(Cotacao!AN158/Cotacao!AN157),T156)</f>
        <v>-5.2524772656686218E-3</v>
      </c>
      <c r="U157" s="6">
        <f>IFERROR(LN(Cotacao!AP158/Cotacao!AP157),U156)</f>
        <v>-1.40230168207494E-2</v>
      </c>
      <c r="V157" s="6">
        <f>IFERROR(LN(Cotacao!AR158/Cotacao!AR157),V156)</f>
        <v>-3.5211303985789363E-3</v>
      </c>
      <c r="W157" s="6">
        <f>IFERROR(LN(Cotacao!AT158/Cotacao!AT157),W156)</f>
        <v>-1.1924601250973498E-3</v>
      </c>
      <c r="X157" s="6">
        <f>IFERROR(LN(Cotacao!AV158/Cotacao!AV157),X156)</f>
        <v>-6.9531838143939567E-3</v>
      </c>
      <c r="Y157" s="6">
        <f>IFERROR(LN(Cotacao!AX158/Cotacao!AX157),Y156)</f>
        <v>-1.3952064890030792E-2</v>
      </c>
      <c r="Z157" s="6">
        <f>IFERROR(LN(Cotacao!AZ158/Cotacao!AZ157),Z156)</f>
        <v>-2.9296369488430823E-2</v>
      </c>
      <c r="AA157" s="6">
        <f>IFERROR(LN(Cotacao!BB158/Cotacao!BB157),AA156)</f>
        <v>-1.3043059888156386E-2</v>
      </c>
      <c r="AB157" s="6">
        <f>IFERROR(LN(Cotacao!BD158/Cotacao!BD157),AB156)</f>
        <v>-3.7308269216134594E-2</v>
      </c>
      <c r="AC157" s="6">
        <f>IFERROR(LN(Cotacao!BF158/Cotacao!BF157),AC156)</f>
        <v>-6.5904282761855032E-2</v>
      </c>
      <c r="AD157" s="6">
        <f>IFERROR(LN(Cotacao!BH158/Cotacao!BH157),AD156)</f>
        <v>-2.8818463748890378E-3</v>
      </c>
      <c r="AE157" s="6">
        <f>IFERROR(LN(Cotacao!BJ158/Cotacao!BJ157),AE156)</f>
        <v>-1.3662557427850911E-2</v>
      </c>
      <c r="AF157" s="6">
        <f>IFERROR(LN(Cotacao!BL158/Cotacao!BL157),AF156)</f>
        <v>1.0407936140473313E-2</v>
      </c>
      <c r="AG157" s="6">
        <f>IFERROR(LN(Cotacao!BN158/Cotacao!BN157),AG156)</f>
        <v>6.8090637571674465E-3</v>
      </c>
      <c r="AH157" s="6">
        <f>IFERROR(LN(Cotacao!BP158/Cotacao!BP157),AH156)</f>
        <v>6.8894519832994059E-3</v>
      </c>
      <c r="AI157" s="6">
        <f>IFERROR(LN(Cotacao!BR158/Cotacao!BR157),AI156)</f>
        <v>-0.10143529628070422</v>
      </c>
      <c r="AJ157" s="6">
        <f>IFERROR(LN(Profit!C157/Profit!C156),AJ156)</f>
        <v>-3.2281692730756921E-2</v>
      </c>
      <c r="AK157" s="6">
        <f>IFERROR(LN(Cotacao!BV158/Cotacao!BV157),AK156)</f>
        <v>-1.0603500179148887E-2</v>
      </c>
      <c r="AL157" s="6">
        <f>IFERROR(LN(Cotacao!BX158/Cotacao!BX157),AL156)</f>
        <v>-2.18235186367285E-2</v>
      </c>
    </row>
    <row r="158" spans="1:38">
      <c r="A158" s="3" t="str">
        <f>Cotacao!C158</f>
        <v>2/10/2020 16:56:00</v>
      </c>
      <c r="B158" s="6">
        <f>IFERROR(LN(Cotacao!D159/Cotacao!D158),B157)</f>
        <v>1.4489620176018915E-2</v>
      </c>
      <c r="C158" s="6">
        <f>IFERROR(LN(Cotacao!F159/Cotacao!F158),C157)</f>
        <v>2.8891815613487422E-2</v>
      </c>
      <c r="D158" s="6">
        <f>IFERROR(LN(Cotacao!H159/Cotacao!H158),D157)</f>
        <v>1.8651334322155606E-2</v>
      </c>
      <c r="E158" s="6">
        <f>IFERROR(LN(Cotacao!J159/Cotacao!J158),E157)</f>
        <v>3.5993602647905451E-2</v>
      </c>
      <c r="F158" s="6">
        <f>IFERROR(LN(Cotacao!L159/Cotacao!L158),F157)</f>
        <v>4.6926411781922249E-3</v>
      </c>
      <c r="G158" s="6">
        <f>IFERROR(LN(Cotacao!N159/Cotacao!N158),G157)</f>
        <v>1.7471010279585218E-2</v>
      </c>
      <c r="H158" s="6">
        <f>IFERROR(LN(Cotacao!P159/Cotacao!P158),H157)</f>
        <v>4.107487435709762E-2</v>
      </c>
      <c r="I158" s="6">
        <f>IFERROR(LN(Cotacao!R159/Cotacao!R158),I157)</f>
        <v>2.965894413378248E-3</v>
      </c>
      <c r="J158" s="6">
        <f>IFERROR(LN(Cotacao!T159/Cotacao!T158),J157)</f>
        <v>1.8018505502678212E-2</v>
      </c>
      <c r="K158" s="6">
        <f>IFERROR(LN(Cotacao!V159/Cotacao!V158),K157)</f>
        <v>2.9500664396698056E-2</v>
      </c>
      <c r="L158" s="6">
        <f>IFERROR(LN(Cotacao!X159/Cotacao!X158),L157)</f>
        <v>-6.6573476432099698E-3</v>
      </c>
      <c r="M158" s="6">
        <f>IFERROR(LN(Profit!B158/Profit!B157),M157)</f>
        <v>-2.0339684237122787E-2</v>
      </c>
      <c r="N158" s="6">
        <f>IFERROR(LN(Cotacao!AB159/Cotacao!AB158),N157)</f>
        <v>1.0325568731580324E-2</v>
      </c>
      <c r="O158" s="6">
        <f>IFERROR(LN(Cotacao!AD159/Cotacao!AD158),O157)</f>
        <v>5.8725000981308152E-3</v>
      </c>
      <c r="P158" s="6">
        <f>IFERROR(LN(Cotacao!AF159/Cotacao!AF158),P157)</f>
        <v>4.7252884850545511E-2</v>
      </c>
      <c r="Q158" s="6">
        <f>IFERROR(LN(Cotacao!AH159/Cotacao!AH158),Q157)</f>
        <v>3.6388991394135518E-2</v>
      </c>
      <c r="R158" s="6">
        <f>IFERROR(LN(Cotacao!AJ159/Cotacao!AJ158),R157)</f>
        <v>1.7544309650909525E-2</v>
      </c>
      <c r="S158" s="6">
        <f>IFERROR(LN(Cotacao!AL159/Cotacao!AL158),S157)</f>
        <v>1.6317378358505212E-2</v>
      </c>
      <c r="T158" s="6">
        <f>IFERROR(LN(Cotacao!AN159/Cotacao!AN158),T157)</f>
        <v>-1.8958389170899106E-2</v>
      </c>
      <c r="U158" s="6">
        <f>IFERROR(LN(Cotacao!AP159/Cotacao!AP158),U157)</f>
        <v>8.8257358514493855E-5</v>
      </c>
      <c r="V158" s="6">
        <f>IFERROR(LN(Cotacao!AR159/Cotacao!AR158),V157)</f>
        <v>3.5211303985789606E-3</v>
      </c>
      <c r="W158" s="6">
        <f>IFERROR(LN(Cotacao!AT159/Cotacao!AT158),W157)</f>
        <v>-1.7304526384595485E-2</v>
      </c>
      <c r="X158" s="6">
        <f>IFERROR(LN(Cotacao!AV159/Cotacao!AV158),X157)</f>
        <v>-3.7474820449467229E-3</v>
      </c>
      <c r="Y158" s="6">
        <f>IFERROR(LN(Cotacao!AX159/Cotacao!AX158),Y157)</f>
        <v>1.4343377749651363E-2</v>
      </c>
      <c r="Z158" s="6">
        <f>IFERROR(LN(Cotacao!AZ159/Cotacao!AZ158),Z157)</f>
        <v>2.139118998131756E-2</v>
      </c>
      <c r="AA158" s="6">
        <f>IFERROR(LN(Cotacao!BB159/Cotacao!BB158),AA157)</f>
        <v>1.9857396307886639E-2</v>
      </c>
      <c r="AB158" s="6">
        <f>IFERROR(LN(Cotacao!BD159/Cotacao!BD158),AB157)</f>
        <v>2.3902119545071172E-2</v>
      </c>
      <c r="AC158" s="6">
        <f>IFERROR(LN(Cotacao!BF159/Cotacao!BF158),AC157)</f>
        <v>3.0236306277385348E-2</v>
      </c>
      <c r="AD158" s="6">
        <f>IFERROR(LN(Cotacao!BH159/Cotacao!BH158),AD157)</f>
        <v>4.0533352578577209E-2</v>
      </c>
      <c r="AE158" s="6">
        <f>IFERROR(LN(Cotacao!BJ159/Cotacao!BJ158),AE157)</f>
        <v>-1.1235956238264547E-3</v>
      </c>
      <c r="AF158" s="6">
        <f>IFERROR(LN(Cotacao!BL159/Cotacao!BL158),AF157)</f>
        <v>3.5946173231077565E-2</v>
      </c>
      <c r="AG158" s="6">
        <f>IFERROR(LN(Cotacao!BN159/Cotacao!BN158),AG157)</f>
        <v>5.5367720651318926E-3</v>
      </c>
      <c r="AH158" s="6">
        <f>IFERROR(LN(Cotacao!BP159/Cotacao!BP158),AH157)</f>
        <v>1.1943496349792575E-2</v>
      </c>
      <c r="AI158" s="6">
        <f>IFERROR(LN(Cotacao!BR159/Cotacao!BR158),AI157)</f>
        <v>4.1289239296301579E-2</v>
      </c>
      <c r="AJ158" s="6">
        <f>IFERROR(LN(Profit!C158/Profit!C157),AJ157)</f>
        <v>-2.457778978643654E-2</v>
      </c>
      <c r="AK158" s="6">
        <f>IFERROR(LN(Cotacao!BV159/Cotacao!BV158),AK157)</f>
        <v>2.4571726890015536E-2</v>
      </c>
      <c r="AL158" s="6">
        <f>IFERROR(LN(Cotacao!BX159/Cotacao!BX158),AL157)</f>
        <v>4.0200297266783674E-2</v>
      </c>
    </row>
    <row r="159" spans="1:38">
      <c r="A159" s="3" t="str">
        <f>Cotacao!C159</f>
        <v>2/11/2020 16:56:00</v>
      </c>
      <c r="B159" s="6">
        <f>IFERROR(LN(Cotacao!D160/Cotacao!D159),B158)</f>
        <v>6.0143600216885579E-3</v>
      </c>
      <c r="C159" s="6">
        <f>IFERROR(LN(Cotacao!F160/Cotacao!F159),C158)</f>
        <v>7.5655589177151183E-3</v>
      </c>
      <c r="D159" s="6">
        <f>IFERROR(LN(Cotacao!H160/Cotacao!H159),D158)</f>
        <v>-1.3770042502374163E-3</v>
      </c>
      <c r="E159" s="6">
        <f>IFERROR(LN(Cotacao!J160/Cotacao!J159),E158)</f>
        <v>1.565957461801205E-2</v>
      </c>
      <c r="F159" s="6">
        <f>IFERROR(LN(Cotacao!L160/Cotacao!L159),F158)</f>
        <v>1.0710230434721949E-2</v>
      </c>
      <c r="G159" s="6">
        <f>IFERROR(LN(Cotacao!N160/Cotacao!N159),G158)</f>
        <v>6.7542470655639905E-3</v>
      </c>
      <c r="H159" s="6">
        <f>IFERROR(LN(Cotacao!P160/Cotacao!P159),H158)</f>
        <v>5.0971757380012814E-3</v>
      </c>
      <c r="I159" s="6">
        <f>IFERROR(LN(Cotacao!R160/Cotacao!R159),I158)</f>
        <v>2.3737092381489192E-2</v>
      </c>
      <c r="J159" s="6">
        <f>IFERROR(LN(Cotacao!T160/Cotacao!T159),J158)</f>
        <v>1.4282439285642944E-2</v>
      </c>
      <c r="K159" s="6">
        <f>IFERROR(LN(Cotacao!V160/Cotacao!V159),K158)</f>
        <v>1.7291497110061043E-2</v>
      </c>
      <c r="L159" s="6">
        <f>IFERROR(LN(Cotacao!X160/Cotacao!X159),L158)</f>
        <v>2.0194045231270675E-3</v>
      </c>
      <c r="M159" s="6">
        <f>IFERROR(LN(Profit!B159/Profit!B158),M158)</f>
        <v>5.1238369998694664E-3</v>
      </c>
      <c r="N159" s="6">
        <f>IFERROR(LN(Cotacao!AB160/Cotacao!AB159),N158)</f>
        <v>-5.3739493413872772E-3</v>
      </c>
      <c r="O159" s="6">
        <f>IFERROR(LN(Cotacao!AD160/Cotacao!AD159),O158)</f>
        <v>1.6715423866908185E-3</v>
      </c>
      <c r="P159" s="6">
        <f>IFERROR(LN(Cotacao!AF160/Cotacao!AF159),P158)</f>
        <v>-1.2384059199721555E-2</v>
      </c>
      <c r="Q159" s="6">
        <f>IFERROR(LN(Cotacao!AH160/Cotacao!AH159),Q158)</f>
        <v>1.9407001778825827E-2</v>
      </c>
      <c r="R159" s="6">
        <f>IFERROR(LN(Cotacao!AJ160/Cotacao!AJ159),R158)</f>
        <v>1.8885746878681546E-3</v>
      </c>
      <c r="S159" s="6">
        <f>IFERROR(LN(Cotacao!AL160/Cotacao!AL159),S158)</f>
        <v>-8.1254074439170917E-3</v>
      </c>
      <c r="T159" s="6">
        <f>IFERROR(LN(Cotacao!AN160/Cotacao!AN159),T158)</f>
        <v>2.1538523578332004E-2</v>
      </c>
      <c r="U159" s="6">
        <f>IFERROR(LN(Cotacao!AP160/Cotacao!AP159),U158)</f>
        <v>7.3859475833293643E-3</v>
      </c>
      <c r="V159" s="6">
        <f>IFERROR(LN(Cotacao!AR160/Cotacao!AR159),V158)</f>
        <v>5.2585572534668296E-3</v>
      </c>
      <c r="W159" s="6">
        <f>IFERROR(LN(Cotacao!AT160/Cotacao!AT159),W158)</f>
        <v>-1.1749599947570159E-2</v>
      </c>
      <c r="X159" s="6">
        <f>IFERROR(LN(Cotacao!AV160/Cotacao!AV159),X158)</f>
        <v>1.077209698191104E-2</v>
      </c>
      <c r="Y159" s="6">
        <f>IFERROR(LN(Cotacao!AX160/Cotacao!AX159),Y158)</f>
        <v>-1.2527405333916432E-3</v>
      </c>
      <c r="Z159" s="6">
        <f>IFERROR(LN(Cotacao!AZ160/Cotacao!AZ159),Z158)</f>
        <v>3.6367644170874791E-2</v>
      </c>
      <c r="AA159" s="6">
        <f>IFERROR(LN(Cotacao!BB160/Cotacao!BB159),AA158)</f>
        <v>1.8503471564559726E-2</v>
      </c>
      <c r="AB159" s="6">
        <f>IFERROR(LN(Cotacao!BD160/Cotacao!BD159),AB158)</f>
        <v>7.9815588601508079E-3</v>
      </c>
      <c r="AC159" s="6">
        <f>IFERROR(LN(Cotacao!BF160/Cotacao!BF159),AC158)</f>
        <v>4.4292098928567003E-2</v>
      </c>
      <c r="AD159" s="6">
        <f>IFERROR(LN(Cotacao!BH160/Cotacao!BH159),AD158)</f>
        <v>0</v>
      </c>
      <c r="AE159" s="6">
        <f>IFERROR(LN(Cotacao!BJ160/Cotacao!BJ159),AE158)</f>
        <v>8.6192955401634443E-3</v>
      </c>
      <c r="AF159" s="6">
        <f>IFERROR(LN(Cotacao!BL160/Cotacao!BL159),AF158)</f>
        <v>3.447436474528897E-2</v>
      </c>
      <c r="AG159" s="6">
        <f>IFERROR(LN(Cotacao!BN160/Cotacao!BN159),AG158)</f>
        <v>1.9842724331009393E-2</v>
      </c>
      <c r="AH159" s="6">
        <f>IFERROR(LN(Cotacao!BP160/Cotacao!BP159),AH158)</f>
        <v>2.1809285821073943E-2</v>
      </c>
      <c r="AI159" s="6">
        <f>IFERROR(LN(Cotacao!BR160/Cotacao!BR159),AI158)</f>
        <v>-7.5022417189184176E-3</v>
      </c>
      <c r="AJ159" s="6">
        <f>IFERROR(LN(Profit!C159/Profit!C158),AJ158)</f>
        <v>-4.0431321923562026E-3</v>
      </c>
      <c r="AK159" s="6">
        <f>IFERROR(LN(Cotacao!BV160/Cotacao!BV159),AK158)</f>
        <v>1.1235192936220257E-2</v>
      </c>
      <c r="AL159" s="6">
        <f>IFERROR(LN(Cotacao!BX160/Cotacao!BX159),AL158)</f>
        <v>3.2782029059935667E-3</v>
      </c>
    </row>
    <row r="160" spans="1:38">
      <c r="A160" s="3" t="str">
        <f>Cotacao!C160</f>
        <v>2/12/2020 16:56:00</v>
      </c>
      <c r="B160" s="6">
        <f>IFERROR(LN(Cotacao!D161/Cotacao!D160),B159)</f>
        <v>-2.7713643603831479E-3</v>
      </c>
      <c r="C160" s="6">
        <f>IFERROR(LN(Cotacao!F161/Cotacao!F160),C159)</f>
        <v>2.4196812450982125E-3</v>
      </c>
      <c r="D160" s="6">
        <f>IFERROR(LN(Cotacao!H161/Cotacao!H160),D159)</f>
        <v>-8.8977354198647787E-3</v>
      </c>
      <c r="E160" s="6">
        <f>IFERROR(LN(Cotacao!J161/Cotacao!J160),E159)</f>
        <v>-2.3900508736761961E-2</v>
      </c>
      <c r="F160" s="6">
        <f>IFERROR(LN(Cotacao!L161/Cotacao!L160),F159)</f>
        <v>1.3885676843461922E-3</v>
      </c>
      <c r="G160" s="6">
        <f>IFERROR(LN(Cotacao!N161/Cotacao!N160),G159)</f>
        <v>-1.5071875358662121E-2</v>
      </c>
      <c r="H160" s="6">
        <f>IFERROR(LN(Cotacao!P161/Cotacao!P160),H159)</f>
        <v>-1.7954954932290507E-2</v>
      </c>
      <c r="I160" s="6">
        <f>IFERROR(LN(Cotacao!R161/Cotacao!R160),I159)</f>
        <v>-1.8486013692586525E-2</v>
      </c>
      <c r="J160" s="6">
        <f>IFERROR(LN(Cotacao!T161/Cotacao!T160),J159)</f>
        <v>3.4171378137580373E-3</v>
      </c>
      <c r="K160" s="6">
        <f>IFERROR(LN(Cotacao!V161/Cotacao!V160),K159)</f>
        <v>3.0944803849421491E-2</v>
      </c>
      <c r="L160" s="6">
        <f>IFERROR(LN(Cotacao!X161/Cotacao!X160),L159)</f>
        <v>9.4282671347712139E-3</v>
      </c>
      <c r="M160" s="6">
        <f>IFERROR(LN(Profit!B160/Profit!B159),M159)</f>
        <v>3.0617475865699698E-3</v>
      </c>
      <c r="N160" s="6">
        <f>IFERROR(LN(Cotacao!AB161/Cotacao!AB160),N159)</f>
        <v>-2.2476970577922977E-3</v>
      </c>
      <c r="O160" s="6">
        <f>IFERROR(LN(Cotacao!AD161/Cotacao!AD160),O159)</f>
        <v>-1.0493275715838768E-2</v>
      </c>
      <c r="P160" s="6">
        <f>IFERROR(LN(Cotacao!AF161/Cotacao!AF160),P159)</f>
        <v>-9.7042552132589228E-3</v>
      </c>
      <c r="Q160" s="6">
        <f>IFERROR(LN(Cotacao!AH161/Cotacao!AH160),Q159)</f>
        <v>-1.7679388334447894E-2</v>
      </c>
      <c r="R160" s="6">
        <f>IFERROR(LN(Cotacao!AJ161/Cotacao!AJ160),R159)</f>
        <v>2.1650715051897626E-2</v>
      </c>
      <c r="S160" s="6">
        <f>IFERROR(LN(Cotacao!AL161/Cotacao!AL160),S159)</f>
        <v>2.3282897595911681E-3</v>
      </c>
      <c r="T160" s="6">
        <f>IFERROR(LN(Cotacao!AN161/Cotacao!AN160),T159)</f>
        <v>-9.0597463718053526E-3</v>
      </c>
      <c r="U160" s="6">
        <f>IFERROR(LN(Cotacao!AP161/Cotacao!AP160),U159)</f>
        <v>8.7565679850944232E-4</v>
      </c>
      <c r="V160" s="6">
        <f>IFERROR(LN(Cotacao!AR161/Cotacao!AR160),V159)</f>
        <v>1.7467253349418002E-3</v>
      </c>
      <c r="W160" s="6">
        <f>IFERROR(LN(Cotacao!AT161/Cotacao!AT160),W159)</f>
        <v>9.4044580279784191E-3</v>
      </c>
      <c r="X160" s="6">
        <f>IFERROR(LN(Cotacao!AV161/Cotacao!AV160),X159)</f>
        <v>-1.7873105740957515E-3</v>
      </c>
      <c r="Y160" s="6">
        <f>IFERROR(LN(Cotacao!AX161/Cotacao!AX160),Y159)</f>
        <v>5.9365898458181776E-3</v>
      </c>
      <c r="Z160" s="6">
        <f>IFERROR(LN(Cotacao!AZ161/Cotacao!AZ160),Z159)</f>
        <v>0</v>
      </c>
      <c r="AA160" s="6">
        <f>IFERROR(LN(Cotacao!BB161/Cotacao!BB160),AA159)</f>
        <v>-1.6130333126349047E-4</v>
      </c>
      <c r="AB160" s="6">
        <f>IFERROR(LN(Cotacao!BD161/Cotacao!BD160),AB159)</f>
        <v>-8.3717041306365862E-4</v>
      </c>
      <c r="AC160" s="6">
        <f>IFERROR(LN(Cotacao!BF161/Cotacao!BF160),AC159)</f>
        <v>-4.6948443042077294E-3</v>
      </c>
      <c r="AD160" s="6">
        <f>IFERROR(LN(Cotacao!BH161/Cotacao!BH160),AD159)</f>
        <v>-1.2783439625674926E-2</v>
      </c>
      <c r="AE160" s="6">
        <f>IFERROR(LN(Cotacao!BJ161/Cotacao!BJ160),AE159)</f>
        <v>3.1159606782575474E-3</v>
      </c>
      <c r="AF160" s="6">
        <f>IFERROR(LN(Cotacao!BL161/Cotacao!BL160),AF159)</f>
        <v>2.2413009656762597E-2</v>
      </c>
      <c r="AG160" s="6">
        <f>IFERROR(LN(Cotacao!BN161/Cotacao!BN160),AG159)</f>
        <v>-6.0325942047913745E-3</v>
      </c>
      <c r="AH160" s="6">
        <f>IFERROR(LN(Cotacao!BP161/Cotacao!BP160),AH159)</f>
        <v>-1.37011332926514E-2</v>
      </c>
      <c r="AI160" s="6">
        <f>IFERROR(LN(Cotacao!BR161/Cotacao!BR160),AI159)</f>
        <v>-6.6666913581892341E-3</v>
      </c>
      <c r="AJ160" s="6">
        <f>IFERROR(LN(Profit!C160/Profit!C159),AJ159)</f>
        <v>1.6739594092040171E-2</v>
      </c>
      <c r="AK160" s="6">
        <f>IFERROR(LN(Cotacao!BV161/Cotacao!BV160),AK159)</f>
        <v>-8.7092322075207809E-3</v>
      </c>
      <c r="AL160" s="6">
        <f>IFERROR(LN(Cotacao!BX161/Cotacao!BX160),AL159)</f>
        <v>9.1811691866881002E-3</v>
      </c>
    </row>
    <row r="161" spans="1:38">
      <c r="A161" s="3" t="str">
        <f>Cotacao!C161</f>
        <v>2/13/2020 16:56:00</v>
      </c>
      <c r="B161" s="6">
        <f>IFERROR(LN(Cotacao!D162/Cotacao!D161),B160)</f>
        <v>-1.9146043634471175E-2</v>
      </c>
      <c r="C161" s="6">
        <f>IFERROR(LN(Cotacao!F162/Cotacao!F161),C160)</f>
        <v>-7.7004006613374129E-2</v>
      </c>
      <c r="D161" s="6">
        <f>IFERROR(LN(Cotacao!H162/Cotacao!H161),D160)</f>
        <v>-2.9835924668877123E-3</v>
      </c>
      <c r="E161" s="6">
        <f>IFERROR(LN(Cotacao!J162/Cotacao!J161),E160)</f>
        <v>-2.3181978234323664E-2</v>
      </c>
      <c r="F161" s="6">
        <f>IFERROR(LN(Cotacao!L162/Cotacao!L161),F160)</f>
        <v>-4.6360769174786567E-3</v>
      </c>
      <c r="G161" s="6">
        <f>IFERROR(LN(Cotacao!N162/Cotacao!N161),G160)</f>
        <v>-1.2992158293652887E-2</v>
      </c>
      <c r="H161" s="6">
        <f>IFERROR(LN(Cotacao!P162/Cotacao!P161),H160)</f>
        <v>-1.3025257415446594E-2</v>
      </c>
      <c r="I161" s="6">
        <f>IFERROR(LN(Cotacao!R162/Cotacao!R161),I160)</f>
        <v>-1.9501526968585602E-2</v>
      </c>
      <c r="J161" s="6">
        <f>IFERROR(LN(Cotacao!T162/Cotacao!T161),J160)</f>
        <v>-2.7669749419250753E-2</v>
      </c>
      <c r="K161" s="6">
        <f>IFERROR(LN(Cotacao!V162/Cotacao!V161),K160)</f>
        <v>1.3840832659385552E-3</v>
      </c>
      <c r="L161" s="6">
        <f>IFERROR(LN(Cotacao!X162/Cotacao!X161),L160)</f>
        <v>2.4970193485264972E-2</v>
      </c>
      <c r="M161" s="6">
        <f>IFERROR(LN(Profit!B161/Profit!B160),M160)</f>
        <v>1.1146881167009556E-2</v>
      </c>
      <c r="N161" s="6">
        <f>IFERROR(LN(Cotacao!AB162/Cotacao!AB161),N160)</f>
        <v>2.0490694648067326E-2</v>
      </c>
      <c r="O161" s="6">
        <f>IFERROR(LN(Cotacao!AD162/Cotacao!AD161),O160)</f>
        <v>-8.4423812528053614E-4</v>
      </c>
      <c r="P161" s="6">
        <f>IFERROR(LN(Cotacao!AF162/Cotacao!AF161),P160)</f>
        <v>-6.9444723528110461E-3</v>
      </c>
      <c r="Q161" s="6">
        <f>IFERROR(LN(Cotacao!AH162/Cotacao!AH161),Q160)</f>
        <v>-2.2106775781029864E-2</v>
      </c>
      <c r="R161" s="6">
        <f>IFERROR(LN(Cotacao!AJ162/Cotacao!AJ161),R160)</f>
        <v>-2.429571942787637E-2</v>
      </c>
      <c r="S161" s="6">
        <f>IFERROR(LN(Cotacao!AL162/Cotacao!AL161),S160)</f>
        <v>0</v>
      </c>
      <c r="T161" s="6">
        <f>IFERROR(LN(Cotacao!AN162/Cotacao!AN161),T160)</f>
        <v>-4.9125368232108583E-3</v>
      </c>
      <c r="U161" s="6">
        <f>IFERROR(LN(Cotacao!AP162/Cotacao!AP161),U160)</f>
        <v>2.3699431285195961E-2</v>
      </c>
      <c r="V161" s="6">
        <f>IFERROR(LN(Cotacao!AR162/Cotacao!AR161),V160)</f>
        <v>2.614380574070672E-3</v>
      </c>
      <c r="W161" s="6">
        <f>IFERROR(LN(Cotacao!AT162/Cotacao!AT161),W160)</f>
        <v>-1.3349236318994779E-2</v>
      </c>
      <c r="X161" s="6">
        <f>IFERROR(LN(Cotacao!AV162/Cotacao!AV161),X160)</f>
        <v>-7.1558910903850648E-5</v>
      </c>
      <c r="Y161" s="6">
        <f>IFERROR(LN(Cotacao!AX162/Cotacao!AX161),Y160)</f>
        <v>1.2384059199721622E-2</v>
      </c>
      <c r="Z161" s="6">
        <f>IFERROR(LN(Cotacao!AZ162/Cotacao!AZ161),Z160)</f>
        <v>7.6239251106593664E-3</v>
      </c>
      <c r="AA161" s="6">
        <f>IFERROR(LN(Cotacao!BB162/Cotacao!BB161),AA160)</f>
        <v>1.3883920356893448E-2</v>
      </c>
      <c r="AB161" s="6">
        <f>IFERROR(LN(Cotacao!BD162/Cotacao!BD161),AB160)</f>
        <v>-9.6781735864593394E-3</v>
      </c>
      <c r="AC161" s="6">
        <f>IFERROR(LN(Cotacao!BF162/Cotacao!BF161),AC160)</f>
        <v>-1.3820555618632312E-2</v>
      </c>
      <c r="AD161" s="6">
        <f>IFERROR(LN(Cotacao!BH162/Cotacao!BH161),AD160)</f>
        <v>-4.6893403633861712E-3</v>
      </c>
      <c r="AE161" s="6">
        <f>IFERROR(LN(Cotacao!BJ162/Cotacao!BJ161),AE160)</f>
        <v>-6.6889881507965401E-3</v>
      </c>
      <c r="AF161" s="6">
        <f>IFERROR(LN(Cotacao!BL162/Cotacao!BL161),AF160)</f>
        <v>0</v>
      </c>
      <c r="AG161" s="6">
        <f>IFERROR(LN(Cotacao!BN162/Cotacao!BN161),AG160)</f>
        <v>1.2427500090639084E-2</v>
      </c>
      <c r="AH161" s="6">
        <f>IFERROR(LN(Cotacao!BP162/Cotacao!BP161),AH160)</f>
        <v>-1.0145504676266846E-2</v>
      </c>
      <c r="AI161" s="6">
        <f>IFERROR(LN(Cotacao!BR162/Cotacao!BR161),AI160)</f>
        <v>1.4388737452099671E-2</v>
      </c>
      <c r="AJ161" s="6">
        <f>IFERROR(LN(Profit!C161/Profit!C160),AJ160)</f>
        <v>1.7769470511975222E-2</v>
      </c>
      <c r="AK161" s="6">
        <f>IFERROR(LN(Cotacao!BV162/Cotacao!BV161),AK160)</f>
        <v>-1.1143157143498882E-2</v>
      </c>
      <c r="AL161" s="6">
        <f>IFERROR(LN(Cotacao!BX162/Cotacao!BX161),AL160)</f>
        <v>2.3557136924589835E-3</v>
      </c>
    </row>
    <row r="162" spans="1:38">
      <c r="A162" s="3" t="str">
        <f>Cotacao!C162</f>
        <v>2/14/2020 16:56:00</v>
      </c>
      <c r="B162" s="6">
        <f>IFERROR(LN(Cotacao!D163/Cotacao!D162),B161)</f>
        <v>1.1251876797434847E-2</v>
      </c>
      <c r="C162" s="6">
        <f>IFERROR(LN(Cotacao!F163/Cotacao!F162),C161)</f>
        <v>-2.1991796721933441E-2</v>
      </c>
      <c r="D162" s="6">
        <f>IFERROR(LN(Cotacao!H163/Cotacao!H162),D161)</f>
        <v>7.9365495957363415E-3</v>
      </c>
      <c r="E162" s="6">
        <f>IFERROR(LN(Cotacao!J163/Cotacao!J162),E161)</f>
        <v>5.8207447197740167E-2</v>
      </c>
      <c r="F162" s="6">
        <f>IFERROR(LN(Cotacao!L163/Cotacao!L162),F161)</f>
        <v>9.2893643465881469E-4</v>
      </c>
      <c r="G162" s="6">
        <f>IFERROR(LN(Cotacao!N163/Cotacao!N162),G161)</f>
        <v>0</v>
      </c>
      <c r="H162" s="6">
        <f>IFERROR(LN(Cotacao!P163/Cotacao!P162),H161)</f>
        <v>-5.2579812230709559E-3</v>
      </c>
      <c r="I162" s="6">
        <f>IFERROR(LN(Cotacao!R163/Cotacao!R162),I161)</f>
        <v>1.7863524964347205E-2</v>
      </c>
      <c r="J162" s="6">
        <f>IFERROR(LN(Cotacao!T163/Cotacao!T162),J161)</f>
        <v>2.0020026706729687E-3</v>
      </c>
      <c r="K162" s="6">
        <f>IFERROR(LN(Cotacao!V163/Cotacao!V162),K161)</f>
        <v>1.3821702269516739E-3</v>
      </c>
      <c r="L162" s="6">
        <f>IFERROR(LN(Cotacao!X163/Cotacao!X162),L161)</f>
        <v>-1.0392801610273214E-2</v>
      </c>
      <c r="M162" s="6">
        <f>IFERROR(LN(Profit!B162/Profit!B161),M161)</f>
        <v>3.3534572003334384E-3</v>
      </c>
      <c r="N162" s="6">
        <f>IFERROR(LN(Cotacao!AB163/Cotacao!AB162),N161)</f>
        <v>-2.6490081715768417E-3</v>
      </c>
      <c r="O162" s="6">
        <f>IFERROR(LN(Cotacao!AD163/Cotacao!AD162),O161)</f>
        <v>2.3373351185308804E-2</v>
      </c>
      <c r="P162" s="6">
        <f>IFERROR(LN(Cotacao!AF163/Cotacao!AF162),P161)</f>
        <v>-1.3714136164048013E-2</v>
      </c>
      <c r="Q162" s="6">
        <f>IFERROR(LN(Cotacao!AH163/Cotacao!AH162),Q161)</f>
        <v>4.6172361627353053E-2</v>
      </c>
      <c r="R162" s="6">
        <f>IFERROR(LN(Cotacao!AJ163/Cotacao!AJ162),R161)</f>
        <v>3.0222916847364133E-3</v>
      </c>
      <c r="S162" s="6">
        <f>IFERROR(LN(Cotacao!AL163/Cotacao!AL162),S161)</f>
        <v>1.1560822401076006E-2</v>
      </c>
      <c r="T162" s="6">
        <f>IFERROR(LN(Cotacao!AN163/Cotacao!AN162),T161)</f>
        <v>-2.5962262475886285E-2</v>
      </c>
      <c r="U162" s="6">
        <f>IFERROR(LN(Cotacao!AP163/Cotacao!AP162),U161)</f>
        <v>-4.1971880537548158E-3</v>
      </c>
      <c r="V162" s="6">
        <f>IFERROR(LN(Cotacao!AR163/Cotacao!AR162),V161)</f>
        <v>-1.1378678567659043E-2</v>
      </c>
      <c r="W162" s="6">
        <f>IFERROR(LN(Cotacao!AT163/Cotacao!AT162),W161)</f>
        <v>-2.3191763143984506E-2</v>
      </c>
      <c r="X162" s="6">
        <f>IFERROR(LN(Cotacao!AV163/Cotacao!AV162),X161)</f>
        <v>-2.8628686138862554E-4</v>
      </c>
      <c r="Y162" s="6">
        <f>IFERROR(LN(Cotacao!AX163/Cotacao!AX162),Y161)</f>
        <v>3.8387763071656669E-3</v>
      </c>
      <c r="Z162" s="6">
        <f>IFERROR(LN(Cotacao!AZ163/Cotacao!AZ162),Z161)</f>
        <v>1.2578782206859965E-2</v>
      </c>
      <c r="AA162" s="6">
        <f>IFERROR(LN(Cotacao!BB163/Cotacao!BB162),AA161)</f>
        <v>9.5409739030291368E-4</v>
      </c>
      <c r="AB162" s="6">
        <f>IFERROR(LN(Cotacao!BD163/Cotacao!BD162),AB161)</f>
        <v>-1.6927638405203982E-3</v>
      </c>
      <c r="AC162" s="6">
        <f>IFERROR(LN(Cotacao!BF163/Cotacao!BF162),AC161)</f>
        <v>1.6952899604948481E-2</v>
      </c>
      <c r="AD162" s="6">
        <f>IFERROR(LN(Cotacao!BH163/Cotacao!BH162),AD161)</f>
        <v>2.6668247082161489E-2</v>
      </c>
      <c r="AE162" s="6">
        <f>IFERROR(LN(Cotacao!BJ163/Cotacao!BJ162),AE161)</f>
        <v>4.4642931286853075E-3</v>
      </c>
      <c r="AF162" s="6">
        <f>IFERROR(LN(Cotacao!BL163/Cotacao!BL162),AF161)</f>
        <v>4.5977092486295494E-3</v>
      </c>
      <c r="AG162" s="6">
        <f>IFERROR(LN(Cotacao!BN163/Cotacao!BN162),AG161)</f>
        <v>2.924931251026432E-2</v>
      </c>
      <c r="AH162" s="6">
        <f>IFERROR(LN(Cotacao!BP163/Cotacao!BP162),AH161)</f>
        <v>-2.0415114269766847E-3</v>
      </c>
      <c r="AI162" s="6">
        <f>IFERROR(LN(Cotacao!BR163/Cotacao!BR162),AI161)</f>
        <v>-1.1049836186584935E-2</v>
      </c>
      <c r="AJ162" s="6">
        <f>IFERROR(LN(Profit!C162/Profit!C161),AJ161)</f>
        <v>7.1498517129072988E-3</v>
      </c>
      <c r="AK162" s="6">
        <f>IFERROR(LN(Cotacao!BV163/Cotacao!BV162),AK161)</f>
        <v>8.083729411621032E-3</v>
      </c>
      <c r="AL162" s="6">
        <f>IFERROR(LN(Cotacao!BX163/Cotacao!BX162),AL161)</f>
        <v>1.8359833798169228E-2</v>
      </c>
    </row>
    <row r="163" spans="1:38">
      <c r="A163" s="3" t="str">
        <f>Cotacao!C163</f>
        <v>2/17/2020 16:56:00</v>
      </c>
      <c r="B163" s="6">
        <f>IFERROR(LN(Cotacao!D164/Cotacao!D163),B162)</f>
        <v>-1.9774655659417432E-2</v>
      </c>
      <c r="C163" s="6">
        <f>IFERROR(LN(Cotacao!F164/Cotacao!F163),C162)</f>
        <v>-1.1929756753910482E-2</v>
      </c>
      <c r="D163" s="6">
        <f>IFERROR(LN(Cotacao!H164/Cotacao!H163),D162)</f>
        <v>4.9285462011491796E-3</v>
      </c>
      <c r="E163" s="6">
        <f>IFERROR(LN(Cotacao!J164/Cotacao!J163),E162)</f>
        <v>-1.8610959004025259E-2</v>
      </c>
      <c r="F163" s="6">
        <f>IFERROR(LN(Cotacao!L164/Cotacao!L163),F162)</f>
        <v>2.7816429618769921E-3</v>
      </c>
      <c r="G163" s="6">
        <f>IFERROR(LN(Cotacao!N164/Cotacao!N163),G162)</f>
        <v>1.4509609267686355E-2</v>
      </c>
      <c r="H163" s="6">
        <f>IFERROR(LN(Cotacao!P164/Cotacao!P163),H162)</f>
        <v>-9.8895673133641052E-4</v>
      </c>
      <c r="I163" s="6">
        <f>IFERROR(LN(Cotacao!R164/Cotacao!R163),I162)</f>
        <v>-1.6862690852448278E-2</v>
      </c>
      <c r="J163" s="6">
        <f>IFERROR(LN(Cotacao!T164/Cotacao!T163),J162)</f>
        <v>9.4551587707551975E-3</v>
      </c>
      <c r="K163" s="6">
        <f>IFERROR(LN(Cotacao!V164/Cotacao!V163),K162)</f>
        <v>-5.5401803756153561E-3</v>
      </c>
      <c r="L163" s="6">
        <f>IFERROR(LN(Cotacao!X164/Cotacao!X163),L162)</f>
        <v>1.8821119423646443E-3</v>
      </c>
      <c r="M163" s="6">
        <f>IFERROR(LN(Profit!B163/Profit!B162),M162)</f>
        <v>-3.3534572003334926E-3</v>
      </c>
      <c r="N163" s="6">
        <f>IFERROR(LN(Cotacao!AB164/Cotacao!AB163),N162)</f>
        <v>7.9260652724207226E-3</v>
      </c>
      <c r="O163" s="6">
        <f>IFERROR(LN(Cotacao!AD164/Cotacao!AD163),O162)</f>
        <v>-1.957987982901109E-2</v>
      </c>
      <c r="P163" s="6">
        <f>IFERROR(LN(Cotacao!AF164/Cotacao!AF163),P162)</f>
        <v>-1.2853472206637586E-3</v>
      </c>
      <c r="Q163" s="6">
        <f>IFERROR(LN(Cotacao!AH164/Cotacao!AH163),Q162)</f>
        <v>-1.148680363946309E-2</v>
      </c>
      <c r="R163" s="6">
        <f>IFERROR(LN(Cotacao!AJ164/Cotacao!AJ163),R162)</f>
        <v>-2.7535200407680881E-2</v>
      </c>
      <c r="S163" s="6">
        <f>IFERROR(LN(Cotacao!AL164/Cotacao!AL163),S162)</f>
        <v>5.7306747089850745E-3</v>
      </c>
      <c r="T163" s="6">
        <f>IFERROR(LN(Cotacao!AN164/Cotacao!AN163),T162)</f>
        <v>5.1559681472204959E-4</v>
      </c>
      <c r="U163" s="6">
        <f>IFERROR(LN(Cotacao!AP164/Cotacao!AP163),U162)</f>
        <v>-1.7182134811365277E-3</v>
      </c>
      <c r="V163" s="6">
        <f>IFERROR(LN(Cotacao!AR164/Cotacao!AR163),V162)</f>
        <v>-6.1810351314347169E-3</v>
      </c>
      <c r="W163" s="6">
        <f>IFERROR(LN(Cotacao!AT164/Cotacao!AT163),W162)</f>
        <v>-8.0938895555847292E-4</v>
      </c>
      <c r="X163" s="6">
        <f>IFERROR(LN(Cotacao!AV164/Cotacao!AV163),X162)</f>
        <v>0</v>
      </c>
      <c r="Y163" s="6">
        <f>IFERROR(LN(Cotacao!AX164/Cotacao!AX163),Y162)</f>
        <v>-3.0698412442886026E-3</v>
      </c>
      <c r="Z163" s="6">
        <f>IFERROR(LN(Cotacao!AZ164/Cotacao!AZ163),Z162)</f>
        <v>0</v>
      </c>
      <c r="AA163" s="6">
        <f>IFERROR(LN(Cotacao!BB164/Cotacao!BB163),AA162)</f>
        <v>-1.3279841035622362E-2</v>
      </c>
      <c r="AB163" s="6">
        <f>IFERROR(LN(Cotacao!BD164/Cotacao!BD163),AB162)</f>
        <v>1.2208107840043362E-2</v>
      </c>
      <c r="AC163" s="6">
        <f>IFERROR(LN(Cotacao!BF164/Cotacao!BF163),AC162)</f>
        <v>6.6238309590486901E-3</v>
      </c>
      <c r="AD163" s="6">
        <f>IFERROR(LN(Cotacao!BH164/Cotacao!BH163),AD162)</f>
        <v>3.4266167166475134E-3</v>
      </c>
      <c r="AE163" s="6">
        <f>IFERROR(LN(Cotacao!BJ164/Cotacao!BJ163),AE162)</f>
        <v>-5.2055511890959374E-2</v>
      </c>
      <c r="AF163" s="6">
        <f>IFERROR(LN(Cotacao!BL164/Cotacao!BL163),AF162)</f>
        <v>-2.3873812904897474E-2</v>
      </c>
      <c r="AG163" s="6">
        <f>IFERROR(LN(Cotacao!BN164/Cotacao!BN163),AG162)</f>
        <v>-1.089293011603999E-2</v>
      </c>
      <c r="AH163" s="6">
        <f>IFERROR(LN(Cotacao!BP164/Cotacao!BP163),AH162)</f>
        <v>1.319592824532395E-2</v>
      </c>
      <c r="AI163" s="6">
        <f>IFERROR(LN(Cotacao!BR164/Cotacao!BR163),AI162)</f>
        <v>4.2420715883952263E-2</v>
      </c>
      <c r="AJ163" s="6">
        <f>IFERROR(LN(Profit!C163/Profit!C162),AJ162)</f>
        <v>-1.9448952646057365E-3</v>
      </c>
      <c r="AK163" s="6">
        <f>IFERROR(LN(Cotacao!BV164/Cotacao!BV163),AK162)</f>
        <v>-2.8815446574566215E-3</v>
      </c>
      <c r="AL163" s="6">
        <f>IFERROR(LN(Cotacao!BX164/Cotacao!BX163),AL162)</f>
        <v>2.199146172539812E-2</v>
      </c>
    </row>
    <row r="164" spans="1:38">
      <c r="A164" s="3" t="str">
        <f>Cotacao!C164</f>
        <v>2/18/2020 16:56:00</v>
      </c>
      <c r="B164" s="6">
        <f>IFERROR(LN(Cotacao!D165/Cotacao!D164),B163)</f>
        <v>2.7668822496453815E-2</v>
      </c>
      <c r="C164" s="6">
        <f>IFERROR(LN(Cotacao!F165/Cotacao!F164),C163)</f>
        <v>1.9314223924137688E-2</v>
      </c>
      <c r="D164" s="6">
        <f>IFERROR(LN(Cotacao!H165/Cotacao!H164),D163)</f>
        <v>7.8631810617232651E-4</v>
      </c>
      <c r="E164" s="6">
        <f>IFERROR(LN(Cotacao!J165/Cotacao!J164),E163)</f>
        <v>2.5015647817023426E-3</v>
      </c>
      <c r="F164" s="6">
        <f>IFERROR(LN(Cotacao!L165/Cotacao!L164),F163)</f>
        <v>2.2431702741906336E-2</v>
      </c>
      <c r="G164" s="6">
        <f>IFERROR(LN(Cotacao!N165/Cotacao!N164),G163)</f>
        <v>1.130807375825456E-2</v>
      </c>
      <c r="H164" s="6">
        <f>IFERROR(LN(Cotacao!P165/Cotacao!P164),H163)</f>
        <v>9.8458294553668436E-3</v>
      </c>
      <c r="I164" s="6">
        <f>IFERROR(LN(Cotacao!R165/Cotacao!R164),I163)</f>
        <v>4.9892004374317905E-3</v>
      </c>
      <c r="J164" s="6">
        <f>IFERROR(LN(Cotacao!T165/Cotacao!T164),J163)</f>
        <v>9.8571522616176452E-3</v>
      </c>
      <c r="K164" s="6">
        <f>IFERROR(LN(Cotacao!V165/Cotacao!V164),K163)</f>
        <v>1.9257816604414519E-2</v>
      </c>
      <c r="L164" s="6">
        <f>IFERROR(LN(Cotacao!X165/Cotacao!X164),L163)</f>
        <v>-1.2470598077366453E-2</v>
      </c>
      <c r="M164" s="6">
        <f>IFERROR(LN(Profit!B164/Profit!B163),M163)</f>
        <v>4.691697614171716E-3</v>
      </c>
      <c r="N164" s="6">
        <f>IFERROR(LN(Cotacao!AB165/Cotacao!AB164),N163)</f>
        <v>-1.859283307661597E-2</v>
      </c>
      <c r="O164" s="6">
        <f>IFERROR(LN(Cotacao!AD165/Cotacao!AD164),O163)</f>
        <v>1.5031598264837706E-2</v>
      </c>
      <c r="P164" s="6">
        <f>IFERROR(LN(Cotacao!AF165/Cotacao!AF164),P163)</f>
        <v>2.8528083614538031E-2</v>
      </c>
      <c r="Q164" s="6">
        <f>IFERROR(LN(Cotacao!AH165/Cotacao!AH164),Q163)</f>
        <v>1.8937600662605224E-4</v>
      </c>
      <c r="R164" s="6">
        <f>IFERROR(LN(Cotacao!AJ165/Cotacao!AJ164),R163)</f>
        <v>5.6065879101101189E-3</v>
      </c>
      <c r="S164" s="6">
        <f>IFERROR(LN(Cotacao!AL165/Cotacao!AL164),S163)</f>
        <v>1.1363758650315003E-2</v>
      </c>
      <c r="T164" s="6">
        <f>IFERROR(LN(Cotacao!AN165/Cotacao!AN164),T163)</f>
        <v>3.2656791028195693E-2</v>
      </c>
      <c r="U164" s="6">
        <f>IFERROR(LN(Cotacao!AP165/Cotacao!AP164),U163)</f>
        <v>0</v>
      </c>
      <c r="V164" s="6">
        <f>IFERROR(LN(Cotacao!AR165/Cotacao!AR164),V163)</f>
        <v>-9.7909104346175276E-3</v>
      </c>
      <c r="W164" s="6">
        <f>IFERROR(LN(Cotacao!AT165/Cotacao!AT164),W163)</f>
        <v>2.4262041824637975E-3</v>
      </c>
      <c r="X164" s="6">
        <f>IFERROR(LN(Cotacao!AV165/Cotacao!AV164),X163)</f>
        <v>-1.0795354929346572E-2</v>
      </c>
      <c r="Y164" s="6">
        <f>IFERROR(LN(Cotacao!AX165/Cotacao!AX164),Y163)</f>
        <v>-7.6893506287716788E-4</v>
      </c>
      <c r="Z164" s="6">
        <f>IFERROR(LN(Cotacao!AZ165/Cotacao!AZ164),Z163)</f>
        <v>-1.0050335853501451E-2</v>
      </c>
      <c r="AA164" s="6">
        <f>IFERROR(LN(Cotacao!BB165/Cotacao!BB164),AA163)</f>
        <v>-2.8646515827685921E-2</v>
      </c>
      <c r="AB164" s="6">
        <f>IFERROR(LN(Cotacao!BD165/Cotacao!BD164),AB163)</f>
        <v>1.2474174225175818E-2</v>
      </c>
      <c r="AC164" s="6">
        <f>IFERROR(LN(Cotacao!BF165/Cotacao!BF164),AC163)</f>
        <v>5.8085707610501996E-2</v>
      </c>
      <c r="AD164" s="6">
        <f>IFERROR(LN(Cotacao!BH165/Cotacao!BH164),AD163)</f>
        <v>2.5887770952127784E-2</v>
      </c>
      <c r="AE164" s="6">
        <f>IFERROR(LN(Cotacao!BJ165/Cotacao!BJ164),AE163)</f>
        <v>-2.2780839223391112E-2</v>
      </c>
      <c r="AF164" s="6">
        <f>IFERROR(LN(Cotacao!BL165/Cotacao!BL164),AF163)</f>
        <v>8.8166563345290841E-2</v>
      </c>
      <c r="AG164" s="6">
        <f>IFERROR(LN(Cotacao!BN165/Cotacao!BN164),AG163)</f>
        <v>3.8370331370943978E-2</v>
      </c>
      <c r="AH164" s="6">
        <f>IFERROR(LN(Cotacao!BP165/Cotacao!BP164),AH163)</f>
        <v>2.6535553625965685E-2</v>
      </c>
      <c r="AI164" s="6">
        <f>IFERROR(LN(Cotacao!BR165/Cotacao!BR164),AI163)</f>
        <v>2.1276603771166066E-3</v>
      </c>
      <c r="AJ164" s="6">
        <f>IFERROR(LN(Profit!C164/Profit!C163),AJ163)</f>
        <v>-6.4913991244087597E-4</v>
      </c>
      <c r="AK164" s="6">
        <f>IFERROR(LN(Cotacao!BV165/Cotacao!BV164),AK163)</f>
        <v>1.3307618131828848E-2</v>
      </c>
      <c r="AL164" s="6">
        <f>IFERROR(LN(Cotacao!BX165/Cotacao!BX164),AL163)</f>
        <v>-7.0872018830548745E-3</v>
      </c>
    </row>
    <row r="165" spans="1:38">
      <c r="A165" s="3" t="str">
        <f>Cotacao!C165</f>
        <v>2/19/2020 16:56:00</v>
      </c>
      <c r="B165" s="6">
        <f>IFERROR(LN(Cotacao!D166/Cotacao!D165),B164)</f>
        <v>3.6934483353515089E-3</v>
      </c>
      <c r="C165" s="6">
        <f>IFERROR(LN(Cotacao!F166/Cotacao!F165),C164)</f>
        <v>-1.6019328027285073E-2</v>
      </c>
      <c r="D165" s="6">
        <f>IFERROR(LN(Cotacao!H166/Cotacao!H165),D164)</f>
        <v>-3.0323488329969828E-2</v>
      </c>
      <c r="E165" s="6">
        <f>IFERROR(LN(Cotacao!J166/Cotacao!J165),E164)</f>
        <v>3.1963384824309493E-2</v>
      </c>
      <c r="F165" s="6">
        <f>IFERROR(LN(Cotacao!L166/Cotacao!L165),F164)</f>
        <v>-2.9400372057999849E-2</v>
      </c>
      <c r="G165" s="6">
        <f>IFERROR(LN(Cotacao!N166/Cotacao!N165),G164)</f>
        <v>-6.7694880552464816E-3</v>
      </c>
      <c r="H165" s="6">
        <f>IFERROR(LN(Cotacao!P166/Cotacao!P165),H164)</f>
        <v>-9.8023206672566226E-4</v>
      </c>
      <c r="I165" s="6">
        <f>IFERROR(LN(Cotacao!R166/Cotacao!R165),I164)</f>
        <v>3.3123581129828744E-3</v>
      </c>
      <c r="J165" s="6">
        <f>IFERROR(LN(Cotacao!T166/Cotacao!T165),J164)</f>
        <v>3.4271759371165673E-3</v>
      </c>
      <c r="K165" s="6">
        <f>IFERROR(LN(Cotacao!V166/Cotacao!V165),K164)</f>
        <v>-9.5825510809963016E-3</v>
      </c>
      <c r="L165" s="6">
        <f>IFERROR(LN(Cotacao!X166/Cotacao!X165),L164)</f>
        <v>-4.7712083571396103E-3</v>
      </c>
      <c r="M165" s="6">
        <f>IFERROR(LN(Profit!B165/Profit!B164),M164)</f>
        <v>1.88778581765888E-2</v>
      </c>
      <c r="N165" s="6">
        <f>IFERROR(LN(Cotacao!AB166/Cotacao!AB165),N164)</f>
        <v>3.1229113044840911E-3</v>
      </c>
      <c r="O165" s="6">
        <f>IFERROR(LN(Cotacao!AD166/Cotacao!AD165),O164)</f>
        <v>2.1726618099257859E-2</v>
      </c>
      <c r="P165" s="6">
        <f>IFERROR(LN(Cotacao!AF166/Cotacao!AF165),P164)</f>
        <v>-4.0707743704814729E-3</v>
      </c>
      <c r="Q165" s="6">
        <f>IFERROR(LN(Cotacao!AH166/Cotacao!AH165),Q164)</f>
        <v>-1.1618071830248766E-2</v>
      </c>
      <c r="R165" s="6">
        <f>IFERROR(LN(Cotacao!AJ166/Cotacao!AJ165),R164)</f>
        <v>-1.378261165266687E-2</v>
      </c>
      <c r="S165" s="6">
        <f>IFERROR(LN(Cotacao!AL166/Cotacao!AL165),S164)</f>
        <v>-7.9410513728129187E-3</v>
      </c>
      <c r="T165" s="6">
        <f>IFERROR(LN(Cotacao!AN166/Cotacao!AN165),T164)</f>
        <v>-2.1975835434872183E-3</v>
      </c>
      <c r="U165" s="6">
        <f>IFERROR(LN(Cotacao!AP166/Cotacao!AP165),U164)</f>
        <v>-2.5828684182540775E-3</v>
      </c>
      <c r="V165" s="6">
        <f>IFERROR(LN(Cotacao!AR166/Cotacao!AR165),V164)</f>
        <v>5.3523767385920606E-3</v>
      </c>
      <c r="W165" s="6">
        <f>IFERROR(LN(Cotacao!AT166/Cotacao!AT165),W164)</f>
        <v>2.1416832650720731E-2</v>
      </c>
      <c r="X165" s="6">
        <f>IFERROR(LN(Cotacao!AV166/Cotacao!AV165),X164)</f>
        <v>-2.1731265343132382E-3</v>
      </c>
      <c r="Y165" s="6">
        <f>IFERROR(LN(Cotacao!AX166/Cotacao!AX165),Y164)</f>
        <v>-1.2384059199721555E-2</v>
      </c>
      <c r="Z165" s="6">
        <f>IFERROR(LN(Cotacao!AZ166/Cotacao!AZ165),Z164)</f>
        <v>-1.5267472130788421E-2</v>
      </c>
      <c r="AA165" s="6">
        <f>IFERROR(LN(Cotacao!BB166/Cotacao!BB165),AA164)</f>
        <v>-1.1111225425070722E-2</v>
      </c>
      <c r="AB165" s="6">
        <f>IFERROR(LN(Cotacao!BD166/Cotacao!BD165),AB164)</f>
        <v>-2.0455733085326545E-2</v>
      </c>
      <c r="AC165" s="6">
        <f>IFERROR(LN(Cotacao!BF166/Cotacao!BF165),AC164)</f>
        <v>-3.7712141103837311E-2</v>
      </c>
      <c r="AD165" s="6">
        <f>IFERROR(LN(Cotacao!BH166/Cotacao!BH165),AD164)</f>
        <v>-1.5677812719229904E-2</v>
      </c>
      <c r="AE165" s="6">
        <f>IFERROR(LN(Cotacao!BJ166/Cotacao!BJ165),AE164)</f>
        <v>-9.0049533325020626E-4</v>
      </c>
      <c r="AF165" s="6">
        <f>IFERROR(LN(Cotacao!BL166/Cotacao!BL165),AF164)</f>
        <v>-2.7620902403783489E-2</v>
      </c>
      <c r="AG165" s="6">
        <f>IFERROR(LN(Cotacao!BN166/Cotacao!BN165),AG164)</f>
        <v>-1.5554183080332195E-2</v>
      </c>
      <c r="AH165" s="6">
        <f>IFERROR(LN(Cotacao!BP166/Cotacao!BP165),AH164)</f>
        <v>-2.0837532511327857E-2</v>
      </c>
      <c r="AI165" s="6">
        <f>IFERROR(LN(Cotacao!BR166/Cotacao!BR165),AI164)</f>
        <v>1.957339138015984E-2</v>
      </c>
      <c r="AJ165" s="6">
        <f>IFERROR(LN(Profit!C165/Profit!C164),AJ164)</f>
        <v>1.2903404835907782E-2</v>
      </c>
      <c r="AK165" s="6">
        <f>IFERROR(LN(Cotacao!BV166/Cotacao!BV165),AK164)</f>
        <v>-1.6714521469155259E-2</v>
      </c>
      <c r="AL165" s="6">
        <f>IFERROR(LN(Cotacao!BX166/Cotacao!BX165),AL164)</f>
        <v>-1.2884931303860288E-2</v>
      </c>
    </row>
    <row r="166" spans="1:38">
      <c r="A166" s="3" t="str">
        <f>Cotacao!C166</f>
        <v>2/20/2020 16:56:00</v>
      </c>
      <c r="B166" s="6">
        <f>IFERROR(LN(Cotacao!D167/Cotacao!D166),B165)</f>
        <v>-1.3454157944822369E-2</v>
      </c>
      <c r="C166" s="6">
        <f>IFERROR(LN(Cotacao!F167/Cotacao!F166),C165)</f>
        <v>-1.3245226750020567E-2</v>
      </c>
      <c r="D166" s="6">
        <f>IFERROR(LN(Cotacao!H167/Cotacao!H166),D165)</f>
        <v>1.5476140459375901E-2</v>
      </c>
      <c r="E166" s="6">
        <f>IFERROR(LN(Cotacao!J167/Cotacao!J166),E165)</f>
        <v>4.2257835295647968E-3</v>
      </c>
      <c r="F166" s="6">
        <f>IFERROR(LN(Cotacao!L167/Cotacao!L166),F165)</f>
        <v>9.7425961988186205E-3</v>
      </c>
      <c r="G166" s="6">
        <f>IFERROR(LN(Cotacao!N167/Cotacao!N166),G165)</f>
        <v>-3.3771436523588355E-2</v>
      </c>
      <c r="H166" s="6">
        <f>IFERROR(LN(Cotacao!P167/Cotacao!P166),H165)</f>
        <v>-4.035898741708091E-2</v>
      </c>
      <c r="I166" s="6">
        <f>IFERROR(LN(Cotacao!R167/Cotacao!R166),I165)</f>
        <v>-4.9726606693783768E-3</v>
      </c>
      <c r="J166" s="6">
        <f>IFERROR(LN(Cotacao!T167/Cotacao!T166),J165)</f>
        <v>2.440811560808818E-3</v>
      </c>
      <c r="K166" s="6">
        <f>IFERROR(LN(Cotacao!V167/Cotacao!V166),K165)</f>
        <v>8.2192243531321058E-3</v>
      </c>
      <c r="L166" s="6">
        <f>IFERROR(LN(Cotacao!X167/Cotacao!X166),L165)</f>
        <v>-8.7336799687545534E-3</v>
      </c>
      <c r="M166" s="6">
        <f>IFERROR(LN(Profit!B166/Profit!B165),M165)</f>
        <v>1.9171992586510551E-2</v>
      </c>
      <c r="N166" s="6">
        <f>IFERROR(LN(Cotacao!AB167/Cotacao!AB166),N165)</f>
        <v>-3.1217192200521271E-2</v>
      </c>
      <c r="O166" s="6">
        <f>IFERROR(LN(Cotacao!AD167/Cotacao!AD166),O165)</f>
        <v>-6.1013001961769692E-3</v>
      </c>
      <c r="P166" s="6">
        <f>IFERROR(LN(Cotacao!AF167/Cotacao!AF166),P165)</f>
        <v>-1.9645752246834527E-2</v>
      </c>
      <c r="Q166" s="6">
        <f>IFERROR(LN(Cotacao!AH167/Cotacao!AH166),Q165)</f>
        <v>-4.0462863613181022E-2</v>
      </c>
      <c r="R166" s="6">
        <f>IFERROR(LN(Cotacao!AJ167/Cotacao!AJ166),R165)</f>
        <v>2.7568010890610936E-2</v>
      </c>
      <c r="S166" s="6">
        <f>IFERROR(LN(Cotacao!AL167/Cotacao!AL166),S165)</f>
        <v>-1.4917086703237267E-2</v>
      </c>
      <c r="T166" s="6">
        <f>IFERROR(LN(Cotacao!AN167/Cotacao!AN166),T165)</f>
        <v>1.0841023177874987E-2</v>
      </c>
      <c r="U166" s="6">
        <f>IFERROR(LN(Cotacao!AP167/Cotacao!AP166),U165)</f>
        <v>1.722653311446156E-3</v>
      </c>
      <c r="V166" s="6">
        <f>IFERROR(LN(Cotacao!AR167/Cotacao!AR166),V165)</f>
        <v>1.2378584232639971E-2</v>
      </c>
      <c r="W166" s="6">
        <f>IFERROR(LN(Cotacao!AT167/Cotacao!AT166),W165)</f>
        <v>-1.4241635447710796E-3</v>
      </c>
      <c r="X166" s="6">
        <f>IFERROR(LN(Cotacao!AV167/Cotacao!AV166),X165)</f>
        <v>5.2797287510285128E-3</v>
      </c>
      <c r="Y166" s="6">
        <f>IFERROR(LN(Cotacao!AX167/Cotacao!AX166),Y165)</f>
        <v>1.2384059199721622E-2</v>
      </c>
      <c r="Z166" s="6">
        <f>IFERROR(LN(Cotacao!AZ167/Cotacao!AZ166),Z165)</f>
        <v>1.7789541563498459E-2</v>
      </c>
      <c r="AA166" s="6">
        <f>IFERROR(LN(Cotacao!BB167/Cotacao!BB166),AA165)</f>
        <v>-2.7972046210612538E-3</v>
      </c>
      <c r="AB166" s="6">
        <f>IFERROR(LN(Cotacao!BD167/Cotacao!BD166),AB165)</f>
        <v>2.5273812947883998E-3</v>
      </c>
      <c r="AC166" s="6">
        <f>IFERROR(LN(Cotacao!BF167/Cotacao!BF166),AC165)</f>
        <v>1.3605652055778678E-2</v>
      </c>
      <c r="AD166" s="6">
        <f>IFERROR(LN(Cotacao!BH167/Cotacao!BH166),AD165)</f>
        <v>-1.0209958232897868E-2</v>
      </c>
      <c r="AE166" s="6">
        <f>IFERROR(LN(Cotacao!BJ167/Cotacao!BJ166),AE165)</f>
        <v>2.3270668979311227E-2</v>
      </c>
      <c r="AF166" s="6">
        <f>IFERROR(LN(Cotacao!BL167/Cotacao!BL166),AF165)</f>
        <v>4.7495821469576677E-2</v>
      </c>
      <c r="AG166" s="6">
        <f>IFERROR(LN(Cotacao!BN167/Cotacao!BN166),AG165)</f>
        <v>-4.9827623215418834E-3</v>
      </c>
      <c r="AH166" s="6">
        <f>IFERROR(LN(Cotacao!BP167/Cotacao!BP166),AH165)</f>
        <v>-2.6415352339217772E-2</v>
      </c>
      <c r="AI166" s="6">
        <f>IFERROR(LN(Cotacao!BR167/Cotacao!BR166),AI165)</f>
        <v>-4.1692725223490054E-4</v>
      </c>
      <c r="AJ166" s="6">
        <f>IFERROR(LN(Profit!C166/Profit!C165),AJ165)</f>
        <v>3.0305349495328843E-2</v>
      </c>
      <c r="AK166" s="6">
        <f>IFERROR(LN(Cotacao!BV167/Cotacao!BV166),AK165)</f>
        <v>-7.9277523494461835E-3</v>
      </c>
      <c r="AL166" s="6">
        <f>IFERROR(LN(Cotacao!BX167/Cotacao!BX166),AL165)</f>
        <v>-2.5970293055606695E-3</v>
      </c>
    </row>
    <row r="167" spans="1:38">
      <c r="A167" s="3" t="str">
        <f>Cotacao!C167</f>
        <v>2/21/2020 16:56:00</v>
      </c>
      <c r="B167" s="6">
        <f>IFERROR(LN(Cotacao!D168/Cotacao!D167),B166)</f>
        <v>-6.2640898817030777E-2</v>
      </c>
      <c r="C167" s="6">
        <f>IFERROR(LN(Cotacao!F168/Cotacao!F167),C166)</f>
        <v>-3.9244955871376004E-2</v>
      </c>
      <c r="D167" s="6">
        <f>IFERROR(LN(Cotacao!H168/Cotacao!H167),D166)</f>
        <v>-4.3826436859993094E-2</v>
      </c>
      <c r="E167" s="6">
        <f>IFERROR(LN(Cotacao!J168/Cotacao!J167),E166)</f>
        <v>-0.17105990668510776</v>
      </c>
      <c r="F167" s="6">
        <f>IFERROR(LN(Cotacao!L168/Cotacao!L167),F166)</f>
        <v>-4.0514254865572218E-2</v>
      </c>
      <c r="G167" s="6">
        <f>IFERROR(LN(Cotacao!N168/Cotacao!N167),G166)</f>
        <v>-5.9503080799202815E-2</v>
      </c>
      <c r="H167" s="6">
        <f>IFERROR(LN(Cotacao!P168/Cotacao!P167),H166)</f>
        <v>-4.1346865619709947E-2</v>
      </c>
      <c r="I167" s="6">
        <f>IFERROR(LN(Cotacao!R168/Cotacao!R167),I166)</f>
        <v>-6.7356268140188441E-2</v>
      </c>
      <c r="J167" s="6">
        <f>IFERROR(LN(Cotacao!T168/Cotacao!T167),J166)</f>
        <v>-6.6523262064680691E-2</v>
      </c>
      <c r="K167" s="6">
        <f>IFERROR(LN(Cotacao!V168/Cotacao!V167),K166)</f>
        <v>-5.0360291126127714E-2</v>
      </c>
      <c r="L167" s="6">
        <f>IFERROR(LN(Cotacao!X168/Cotacao!X167),L166)</f>
        <v>-3.3810811691044912E-2</v>
      </c>
      <c r="M167" s="6">
        <f>IFERROR(LN(Profit!B167/Profit!B166),M166)</f>
        <v>-6.1339982483806944E-3</v>
      </c>
      <c r="N167" s="6">
        <f>IFERROR(LN(Cotacao!AB168/Cotacao!AB167),N166)</f>
        <v>-2.3004380975414226E-3</v>
      </c>
      <c r="O167" s="6">
        <f>IFERROR(LN(Cotacao!AD168/Cotacao!AD167),O166)</f>
        <v>-7.4516052143061826E-2</v>
      </c>
      <c r="P167" s="6">
        <f>IFERROR(LN(Cotacao!AF168/Cotacao!AF167),P166)</f>
        <v>-5.0872330373756547E-2</v>
      </c>
      <c r="Q167" s="6">
        <f>IFERROR(LN(Cotacao!AH168/Cotacao!AH167),Q166)</f>
        <v>-0.10020945471426648</v>
      </c>
      <c r="R167" s="6">
        <f>IFERROR(LN(Cotacao!AJ168/Cotacao!AJ167),R166)</f>
        <v>-4.0552651319938779E-2</v>
      </c>
      <c r="S167" s="6">
        <f>IFERROR(LN(Cotacao!AL168/Cotacao!AL167),S166)</f>
        <v>-7.8117779263952039E-2</v>
      </c>
      <c r="T167" s="6">
        <f>IFERROR(LN(Cotacao!AN168/Cotacao!AN167),T166)</f>
        <v>-2.8190661512987904E-2</v>
      </c>
      <c r="U167" s="6">
        <f>IFERROR(LN(Cotacao!AP168/Cotacao!AP167),U166)</f>
        <v>-2.2629338130759985E-2</v>
      </c>
      <c r="V167" s="6">
        <f>IFERROR(LN(Cotacao!AR168/Cotacao!AR167),V166)</f>
        <v>-1.9521471745020069E-2</v>
      </c>
      <c r="W167" s="6">
        <f>IFERROR(LN(Cotacao!AT168/Cotacao!AT167),W166)</f>
        <v>-2.2337904906522536E-2</v>
      </c>
      <c r="X167" s="6">
        <f>IFERROR(LN(Cotacao!AV168/Cotacao!AV167),X166)</f>
        <v>-2.2836873230529076E-2</v>
      </c>
      <c r="Y167" s="6">
        <f>IFERROR(LN(Cotacao!AX168/Cotacao!AX167),Y166)</f>
        <v>-2.7292142288007512E-2</v>
      </c>
      <c r="Z167" s="6">
        <f>IFERROR(LN(Cotacao!AZ168/Cotacao!AZ167),Z166)</f>
        <v>-2.5511587657408619E-2</v>
      </c>
      <c r="AA167" s="6">
        <f>IFERROR(LN(Cotacao!BB168/Cotacao!BB167),AA166)</f>
        <v>-3.5356548323077553E-3</v>
      </c>
      <c r="AB167" s="6">
        <f>IFERROR(LN(Cotacao!BD168/Cotacao!BD167),AB166)</f>
        <v>-7.6019120557850692E-2</v>
      </c>
      <c r="AC167" s="6">
        <f>IFERROR(LN(Cotacao!BF168/Cotacao!BF167),AC166)</f>
        <v>-0.10477676882058527</v>
      </c>
      <c r="AD167" s="6">
        <f>IFERROR(LN(Cotacao!BH168/Cotacao!BH167),AD166)</f>
        <v>-5.2674551550974419E-2</v>
      </c>
      <c r="AE167" s="6">
        <f>IFERROR(LN(Cotacao!BJ168/Cotacao!BJ167),AE166)</f>
        <v>-3.0559497219234863E-3</v>
      </c>
      <c r="AF167" s="6">
        <f>IFERROR(LN(Cotacao!BL168/Cotacao!BL167),AF166)</f>
        <v>-6.1490960835156865E-2</v>
      </c>
      <c r="AG167" s="6">
        <f>IFERROR(LN(Cotacao!BN168/Cotacao!BN167),AG166)</f>
        <v>-8.2045993731530514E-2</v>
      </c>
      <c r="AH167" s="6">
        <f>IFERROR(LN(Cotacao!BP168/Cotacao!BP167),AH166)</f>
        <v>-0.10597078343174383</v>
      </c>
      <c r="AI167" s="6">
        <f>IFERROR(LN(Cotacao!BR168/Cotacao!BR167),AI166)</f>
        <v>-0.15923726711055744</v>
      </c>
      <c r="AJ167" s="6">
        <f>IFERROR(LN(Profit!C167/Profit!C166),AJ166)</f>
        <v>-1.8674141747952507E-3</v>
      </c>
      <c r="AK167" s="6">
        <f>IFERROR(LN(Cotacao!BV168/Cotacao!BV167),AK166)</f>
        <v>-7.262206011029583E-2</v>
      </c>
      <c r="AL167" s="6">
        <f>IFERROR(LN(Cotacao!BX168/Cotacao!BX167),AL166)</f>
        <v>-3.9787183882471364E-2</v>
      </c>
    </row>
    <row r="168" spans="1:38">
      <c r="A168" s="3" t="str">
        <f>Cotacao!C168</f>
        <v>2/26/2020 16:56:00</v>
      </c>
      <c r="B168" s="6">
        <f>IFERROR(LN(Cotacao!D169/Cotacao!D168),B167)</f>
        <v>-2.4158195496190991E-2</v>
      </c>
      <c r="C168" s="6">
        <f>IFERROR(LN(Cotacao!F169/Cotacao!F168),C167)</f>
        <v>-8.2278945187887892E-3</v>
      </c>
      <c r="D168" s="6">
        <f>IFERROR(LN(Cotacao!H169/Cotacao!H168),D167)</f>
        <v>-3.369319663794465E-2</v>
      </c>
      <c r="E168" s="6">
        <f>IFERROR(LN(Cotacao!J169/Cotacao!J168),E167)</f>
        <v>-3.343334649469324E-2</v>
      </c>
      <c r="F168" s="6">
        <f>IFERROR(LN(Cotacao!L169/Cotacao!L168),F167)</f>
        <v>-3.4730807880429232E-2</v>
      </c>
      <c r="G168" s="6">
        <f>IFERROR(LN(Cotacao!N169/Cotacao!N168),G167)</f>
        <v>-1.6708826487863534E-2</v>
      </c>
      <c r="H168" s="6">
        <f>IFERROR(LN(Cotacao!P169/Cotacao!P168),H167)</f>
        <v>-7.0972323773998481E-4</v>
      </c>
      <c r="I168" s="6">
        <f>IFERROR(LN(Cotacao!R169/Cotacao!R168),I167)</f>
        <v>-2.7754529747415699E-2</v>
      </c>
      <c r="J168" s="6">
        <f>IFERROR(LN(Cotacao!T169/Cotacao!T168),J167)</f>
        <v>-5.4617427611528643E-2</v>
      </c>
      <c r="K168" s="6">
        <f>IFERROR(LN(Cotacao!V169/Cotacao!V168),K167)</f>
        <v>-3.3555299848216813E-2</v>
      </c>
      <c r="L168" s="6">
        <f>IFERROR(LN(Cotacao!X169/Cotacao!X168),L167)</f>
        <v>3.5324523847838243E-3</v>
      </c>
      <c r="M168" s="6">
        <f>IFERROR(LN(Profit!B168/Profit!B167),M167)</f>
        <v>4.2010079557821683E-3</v>
      </c>
      <c r="N168" s="6">
        <f>IFERROR(LN(Cotacao!AB169/Cotacao!AB168),N167)</f>
        <v>1.5086000394513186E-2</v>
      </c>
      <c r="O168" s="6">
        <f>IFERROR(LN(Cotacao!AD169/Cotacao!AD168),O167)</f>
        <v>-2.6727648905814794E-2</v>
      </c>
      <c r="P168" s="6">
        <f>IFERROR(LN(Cotacao!AF169/Cotacao!AF168),P167)</f>
        <v>-5.7158413839948519E-2</v>
      </c>
      <c r="Q168" s="6">
        <f>IFERROR(LN(Cotacao!AH169/Cotacao!AH168),Q167)</f>
        <v>-1.9595372038540636E-2</v>
      </c>
      <c r="R168" s="6">
        <f>IFERROR(LN(Cotacao!AJ169/Cotacao!AJ168),R167)</f>
        <v>-4.9523105972991213E-2</v>
      </c>
      <c r="S168" s="6">
        <f>IFERROR(LN(Cotacao!AL169/Cotacao!AL168),S167)</f>
        <v>-1.765493523872071E-2</v>
      </c>
      <c r="T168" s="6">
        <f>IFERROR(LN(Cotacao!AN169/Cotacao!AN168),T167)</f>
        <v>2.2360005250648971E-3</v>
      </c>
      <c r="U168" s="6">
        <f>IFERROR(LN(Cotacao!AP169/Cotacao!AP168),U167)</f>
        <v>-7.0447343526375489E-4</v>
      </c>
      <c r="V168" s="6">
        <f>IFERROR(LN(Cotacao!AR169/Cotacao!AR168),V167)</f>
        <v>3.5778213478839024E-3</v>
      </c>
      <c r="W168" s="6">
        <f>IFERROR(LN(Cotacao!AT169/Cotacao!AT168),W167)</f>
        <v>3.9997629228256202E-3</v>
      </c>
      <c r="X168" s="6">
        <f>IFERROR(LN(Cotacao!AV169/Cotacao!AV168),X167)</f>
        <v>2.9476808373423971E-3</v>
      </c>
      <c r="Y168" s="6">
        <f>IFERROR(LN(Cotacao!AX169/Cotacao!AX168),Y167)</f>
        <v>3.9447782910163251E-3</v>
      </c>
      <c r="Z168" s="6">
        <f>IFERROR(LN(Cotacao!AZ169/Cotacao!AZ168),Z167)</f>
        <v>-7.7821404420549628E-3</v>
      </c>
      <c r="AA168" s="6">
        <f>IFERROR(LN(Cotacao!BB169/Cotacao!BB168),AA167)</f>
        <v>1.9096837976219914E-3</v>
      </c>
      <c r="AB168" s="6">
        <f>IFERROR(LN(Cotacao!BD169/Cotacao!BD168),AB167)</f>
        <v>-2.9481637719937486E-2</v>
      </c>
      <c r="AC168" s="6">
        <f>IFERROR(LN(Cotacao!BF169/Cotacao!BF168),AC167)</f>
        <v>-4.4319140345048989E-2</v>
      </c>
      <c r="AD168" s="6">
        <f>IFERROR(LN(Cotacao!BH169/Cotacao!BH168),AD167)</f>
        <v>-4.9271049006782794E-2</v>
      </c>
      <c r="AE168" s="6">
        <f>IFERROR(LN(Cotacao!BJ169/Cotacao!BJ168),AE167)</f>
        <v>1.6466717435249475E-3</v>
      </c>
      <c r="AF168" s="6">
        <f>IFERROR(LN(Cotacao!BL169/Cotacao!BL168),AF167)</f>
        <v>-6.3016440002731614E-2</v>
      </c>
      <c r="AG168" s="6">
        <f>IFERROR(LN(Cotacao!BN169/Cotacao!BN168),AG167)</f>
        <v>-4.064821747576542E-2</v>
      </c>
      <c r="AH168" s="6">
        <f>IFERROR(LN(Cotacao!BP169/Cotacao!BP168),AH167)</f>
        <v>-3.5336621601840451E-2</v>
      </c>
      <c r="AI168" s="6">
        <f>IFERROR(LN(Cotacao!BR169/Cotacao!BR168),AI167)</f>
        <v>-2.7263150758364111E-2</v>
      </c>
      <c r="AJ168" s="6">
        <f>IFERROR(LN(Profit!C168/Profit!C167),AJ167)</f>
        <v>1.5456258236691672E-2</v>
      </c>
      <c r="AK168" s="6">
        <f>IFERROR(LN(Cotacao!BV169/Cotacao!BV168),AK167)</f>
        <v>-2.6208745169831207E-2</v>
      </c>
      <c r="AL168" s="6">
        <f>IFERROR(LN(Cotacao!BX169/Cotacao!BX168),AL167)</f>
        <v>-2.3115384429089773E-2</v>
      </c>
    </row>
    <row r="169" spans="1:38">
      <c r="A169" s="3" t="str">
        <f>Cotacao!C169</f>
        <v>2/27/2020 16:56:00</v>
      </c>
      <c r="B169" s="6">
        <f>IFERROR(LN(Cotacao!D170/Cotacao!D169),B168)</f>
        <v>1.7672764932037854E-2</v>
      </c>
      <c r="C169" s="6">
        <f>IFERROR(LN(Cotacao!F170/Cotacao!F169),C168)</f>
        <v>1.2002670941857011E-2</v>
      </c>
      <c r="D169" s="6">
        <f>IFERROR(LN(Cotacao!H170/Cotacao!H169),D168)</f>
        <v>2.4061631393708469E-2</v>
      </c>
      <c r="E169" s="6">
        <f>IFERROR(LN(Cotacao!J170/Cotacao!J169),E168)</f>
        <v>-1.7897569457542676E-2</v>
      </c>
      <c r="F169" s="6">
        <f>IFERROR(LN(Cotacao!L170/Cotacao!L169),F168)</f>
        <v>1.6782230002687692E-2</v>
      </c>
      <c r="G169" s="6">
        <f>IFERROR(LN(Cotacao!N170/Cotacao!N169),G168)</f>
        <v>1.1725427470315507E-2</v>
      </c>
      <c r="H169" s="6">
        <f>IFERROR(LN(Cotacao!P170/Cotacao!P169),H168)</f>
        <v>1.5498725173737666E-2</v>
      </c>
      <c r="I169" s="6">
        <f>IFERROR(LN(Cotacao!R170/Cotacao!R169),I168)</f>
        <v>-1.5098795399343534E-2</v>
      </c>
      <c r="J169" s="6">
        <f>IFERROR(LN(Cotacao!T170/Cotacao!T169),J168)</f>
        <v>7.0129631111389423E-2</v>
      </c>
      <c r="K169" s="6">
        <f>IFERROR(LN(Cotacao!V170/Cotacao!V169),K168)</f>
        <v>-2.0990275891835858E-2</v>
      </c>
      <c r="L169" s="6">
        <f>IFERROR(LN(Cotacao!X170/Cotacao!X169),L168)</f>
        <v>-1.8099552452394191E-3</v>
      </c>
      <c r="M169" s="6">
        <f>IFERROR(LN(Profit!B169/Profit!B168),M168)</f>
        <v>6.7491819749283298E-3</v>
      </c>
      <c r="N169" s="6">
        <f>IFERROR(LN(Cotacao!AB170/Cotacao!AB169),N168)</f>
        <v>1.5308718599065461E-2</v>
      </c>
      <c r="O169" s="6">
        <f>IFERROR(LN(Cotacao!AD170/Cotacao!AD169),O168)</f>
        <v>-1.1807584956372987E-2</v>
      </c>
      <c r="P169" s="6">
        <f>IFERROR(LN(Cotacao!AF170/Cotacao!AF169),P168)</f>
        <v>-4.5586744451894319E-2</v>
      </c>
      <c r="Q169" s="6">
        <f>IFERROR(LN(Cotacao!AH170/Cotacao!AH169),Q168)</f>
        <v>-3.6044193112069289E-3</v>
      </c>
      <c r="R169" s="6">
        <f>IFERROR(LN(Cotacao!AJ170/Cotacao!AJ169),R168)</f>
        <v>1.1173300598125255E-2</v>
      </c>
      <c r="S169" s="6">
        <f>IFERROR(LN(Cotacao!AL170/Cotacao!AL169),S168)</f>
        <v>5.0761530318605679E-3</v>
      </c>
      <c r="T169" s="6">
        <f>IFERROR(LN(Cotacao!AN170/Cotacao!AN169),T168)</f>
        <v>-3.3558784736131986E-3</v>
      </c>
      <c r="U169" s="6">
        <f>IFERROR(LN(Cotacao!AP170/Cotacao!AP169),U168)</f>
        <v>6.322465739487108E-3</v>
      </c>
      <c r="V169" s="6">
        <f>IFERROR(LN(Cotacao!AR170/Cotacao!AR169),V168)</f>
        <v>0</v>
      </c>
      <c r="W169" s="6">
        <f>IFERROR(LN(Cotacao!AT170/Cotacao!AT169),W168)</f>
        <v>-2.4626079743063508E-3</v>
      </c>
      <c r="X169" s="6">
        <f>IFERROR(LN(Cotacao!AV170/Cotacao!AV169),X168)</f>
        <v>1.6909903672837137E-3</v>
      </c>
      <c r="Y169" s="6">
        <f>IFERROR(LN(Cotacao!AX170/Cotacao!AX169),Y168)</f>
        <v>9.4044580279781988E-3</v>
      </c>
      <c r="Z169" s="6">
        <f>IFERROR(LN(Cotacao!AZ170/Cotacao!AZ169),Z168)</f>
        <v>-3.4440489980291679E-2</v>
      </c>
      <c r="AA169" s="6">
        <f>IFERROR(LN(Cotacao!BB170/Cotacao!BB169),AA168)</f>
        <v>-6.5869344422137778E-3</v>
      </c>
      <c r="AB169" s="6">
        <f>IFERROR(LN(Cotacao!BD170/Cotacao!BD169),AB168)</f>
        <v>-1.0810916104215617E-2</v>
      </c>
      <c r="AC169" s="6">
        <f>IFERROR(LN(Cotacao!BF170/Cotacao!BF169),AC168)</f>
        <v>-1.9358281587913143E-2</v>
      </c>
      <c r="AD169" s="6">
        <f>IFERROR(LN(Cotacao!BH170/Cotacao!BH169),AD168)</f>
        <v>3.4742948443872837E-2</v>
      </c>
      <c r="AE169" s="6">
        <f>IFERROR(LN(Cotacao!BJ170/Cotacao!BJ169),AE168)</f>
        <v>4.5144156638989618E-3</v>
      </c>
      <c r="AF169" s="6">
        <f>IFERROR(LN(Cotacao!BL170/Cotacao!BL169),AF168)</f>
        <v>-1.8825165663281806E-2</v>
      </c>
      <c r="AG169" s="6">
        <f>IFERROR(LN(Cotacao!BN170/Cotacao!BN169),AG168)</f>
        <v>4.1690427054209021E-2</v>
      </c>
      <c r="AH169" s="6">
        <f>IFERROR(LN(Cotacao!BP170/Cotacao!BP169),AH168)</f>
        <v>1.5797791595184333E-3</v>
      </c>
      <c r="AI169" s="6">
        <f>IFERROR(LN(Cotacao!BR170/Cotacao!BR169),AI168)</f>
        <v>-1.0101095986503821E-2</v>
      </c>
      <c r="AJ169" s="6">
        <f>IFERROR(LN(Profit!C169/Profit!C168),AJ168)</f>
        <v>2.0644327580345765E-2</v>
      </c>
      <c r="AK169" s="6">
        <f>IFERROR(LN(Cotacao!BV170/Cotacao!BV169),AK168)</f>
        <v>1.1470081766413242E-2</v>
      </c>
      <c r="AL169" s="6">
        <f>IFERROR(LN(Cotacao!BX170/Cotacao!BX169),AL168)</f>
        <v>3.07219903697028E-3</v>
      </c>
    </row>
    <row r="170" spans="1:38">
      <c r="A170" s="3" t="str">
        <f>Cotacao!C170</f>
        <v>2/28/2020 16:56:00</v>
      </c>
      <c r="B170" s="6">
        <f>IFERROR(LN(Cotacao!D171/Cotacao!D170),B169)</f>
        <v>-8.5449125099479849E-3</v>
      </c>
      <c r="C170" s="6">
        <f>IFERROR(LN(Cotacao!F171/Cotacao!F170),C169)</f>
        <v>-7.8802614253059757E-3</v>
      </c>
      <c r="D170" s="6">
        <f>IFERROR(LN(Cotacao!H171/Cotacao!H170),D169)</f>
        <v>2.0202707317519469E-2</v>
      </c>
      <c r="E170" s="6">
        <f>IFERROR(LN(Cotacao!J171/Cotacao!J170),E169)</f>
        <v>2.3792943938220828E-2</v>
      </c>
      <c r="F170" s="6">
        <f>IFERROR(LN(Cotacao!L171/Cotacao!L170),F169)</f>
        <v>1.9869808055635488E-2</v>
      </c>
      <c r="G170" s="6">
        <f>IFERROR(LN(Cotacao!N171/Cotacao!N170),G169)</f>
        <v>2.467230410446996E-2</v>
      </c>
      <c r="H170" s="6">
        <f>IFERROR(LN(Cotacao!P171/Cotacao!P170),H169)</f>
        <v>-3.4958923621189914E-4</v>
      </c>
      <c r="I170" s="6">
        <f>IFERROR(LN(Cotacao!R171/Cotacao!R170),I169)</f>
        <v>4.0361777319308748E-2</v>
      </c>
      <c r="J170" s="6">
        <f>IFERROR(LN(Cotacao!T171/Cotacao!T170),J169)</f>
        <v>-8.7606847350973922E-3</v>
      </c>
      <c r="K170" s="6">
        <f>IFERROR(LN(Cotacao!V171/Cotacao!V170),K169)</f>
        <v>5.5979267741901283E-2</v>
      </c>
      <c r="L170" s="6">
        <f>IFERROR(LN(Cotacao!X171/Cotacao!X170),L169)</f>
        <v>-1.2853998941774721E-2</v>
      </c>
      <c r="M170" s="6">
        <f>IFERROR(LN(Profit!B170/Profit!B169),M169)</f>
        <v>-5.7822197722679726E-3</v>
      </c>
      <c r="N170" s="6">
        <f>IFERROR(LN(Cotacao!AB171/Cotacao!AB170),N169)</f>
        <v>-8.5259659392764794E-3</v>
      </c>
      <c r="O170" s="6">
        <f>IFERROR(LN(Cotacao!AD171/Cotacao!AD170),O169)</f>
        <v>5.4669840035988316E-3</v>
      </c>
      <c r="P170" s="6">
        <f>IFERROR(LN(Cotacao!AF171/Cotacao!AF170),P169)</f>
        <v>8.6451518805742394E-2</v>
      </c>
      <c r="Q170" s="6">
        <f>IFERROR(LN(Cotacao!AH171/Cotacao!AH170),Q169)</f>
        <v>4.5226633260152839E-2</v>
      </c>
      <c r="R170" s="6">
        <f>IFERROR(LN(Cotacao!AJ171/Cotacao!AJ170),R169)</f>
        <v>5.6014641554671306E-2</v>
      </c>
      <c r="S170" s="6">
        <f>IFERROR(LN(Cotacao!AL171/Cotacao!AL170),S169)</f>
        <v>2.8698164086743565E-2</v>
      </c>
      <c r="T170" s="6">
        <f>IFERROR(LN(Cotacao!AN171/Cotacao!AN170),T169)</f>
        <v>1.3456974460117111E-2</v>
      </c>
      <c r="U170" s="6">
        <f>IFERROR(LN(Cotacao!AP171/Cotacao!AP170),U169)</f>
        <v>2.273324403020075E-3</v>
      </c>
      <c r="V170" s="6">
        <f>IFERROR(LN(Cotacao!AR171/Cotacao!AR170),V169)</f>
        <v>-3.5778213478838551E-3</v>
      </c>
      <c r="W170" s="6">
        <f>IFERROR(LN(Cotacao!AT171/Cotacao!AT170),W169)</f>
        <v>-4.0421114488476623E-3</v>
      </c>
      <c r="X170" s="6">
        <f>IFERROR(LN(Cotacao!AV171/Cotacao!AV170),X169)</f>
        <v>8.0480387571599896E-3</v>
      </c>
      <c r="Y170" s="6">
        <f>IFERROR(LN(Cotacao!AX171/Cotacao!AX170),Y169)</f>
        <v>-9.4044580279782942E-3</v>
      </c>
      <c r="Z170" s="6">
        <f>IFERROR(LN(Cotacao!AZ171/Cotacao!AZ170),Z169)</f>
        <v>3.7041271680349076E-2</v>
      </c>
      <c r="AA170" s="6">
        <f>IFERROR(LN(Cotacao!BB171/Cotacao!BB170),AA169)</f>
        <v>7.1479128031611732E-3</v>
      </c>
      <c r="AB170" s="6">
        <f>IFERROR(LN(Cotacao!BD171/Cotacao!BD170),AB169)</f>
        <v>1.0343298606800522E-2</v>
      </c>
      <c r="AC170" s="6">
        <f>IFERROR(LN(Cotacao!BF171/Cotacao!BF170),AC169)</f>
        <v>3.4493705653014045E-2</v>
      </c>
      <c r="AD170" s="6">
        <f>IFERROR(LN(Cotacao!BH171/Cotacao!BH170),AD169)</f>
        <v>7.8540642051280765E-2</v>
      </c>
      <c r="AE170" s="6">
        <f>IFERROR(LN(Cotacao!BJ171/Cotacao!BJ170),AE169)</f>
        <v>2.9244041734961134E-4</v>
      </c>
      <c r="AF170" s="6">
        <f>IFERROR(LN(Cotacao!BL171/Cotacao!BL170),AF169)</f>
        <v>8.5252395585287424E-2</v>
      </c>
      <c r="AG170" s="6">
        <f>IFERROR(LN(Cotacao!BN171/Cotacao!BN170),AG169)</f>
        <v>4.08219945202552E-2</v>
      </c>
      <c r="AH170" s="6">
        <f>IFERROR(LN(Cotacao!BP171/Cotacao!BP170),AH169)</f>
        <v>4.5891993256655335E-2</v>
      </c>
      <c r="AI170" s="6">
        <f>IFERROR(LN(Cotacao!BR171/Cotacao!BR170),AI169)</f>
        <v>7.1021269748344204E-2</v>
      </c>
      <c r="AJ170" s="6">
        <f>IFERROR(LN(Profit!C170/Profit!C169),AJ169)</f>
        <v>-1.2092045765028633E-2</v>
      </c>
      <c r="AK170" s="6">
        <f>IFERROR(LN(Cotacao!BV171/Cotacao!BV170),AK169)</f>
        <v>2.3282599656007093E-2</v>
      </c>
      <c r="AL170" s="6">
        <f>IFERROR(LN(Cotacao!BX171/Cotacao!BX170),AL169)</f>
        <v>4.0576565632043267E-2</v>
      </c>
    </row>
    <row r="171" spans="1:38">
      <c r="A171" s="3" t="str">
        <f>Cotacao!C171</f>
        <v>3/2/2020 16:56:00</v>
      </c>
      <c r="B171" s="6">
        <f>IFERROR(LN(Cotacao!D172/Cotacao!D171),B170)</f>
        <v>-2.0913794641177104E-2</v>
      </c>
      <c r="C171" s="6">
        <f>IFERROR(LN(Cotacao!F172/Cotacao!F171),C170)</f>
        <v>-3.1177199748182605E-2</v>
      </c>
      <c r="D171" s="6">
        <f>IFERROR(LN(Cotacao!H172/Cotacao!H171),D170)</f>
        <v>6.1836547368743677E-4</v>
      </c>
      <c r="E171" s="6">
        <f>IFERROR(LN(Cotacao!J172/Cotacao!J171),E170)</f>
        <v>-2.2066945328245696E-3</v>
      </c>
      <c r="F171" s="6">
        <f>IFERROR(LN(Cotacao!L172/Cotacao!L171),F170)</f>
        <v>-2.0849240063412704E-2</v>
      </c>
      <c r="G171" s="6">
        <f>IFERROR(LN(Cotacao!N172/Cotacao!N171),G170)</f>
        <v>-1.4730217240403329E-2</v>
      </c>
      <c r="H171" s="6">
        <f>IFERROR(LN(Cotacao!P172/Cotacao!P171),H170)</f>
        <v>-1.0191618701998769E-2</v>
      </c>
      <c r="I171" s="6">
        <f>IFERROR(LN(Cotacao!R172/Cotacao!R171),I170)</f>
        <v>-9.3090539777234121E-3</v>
      </c>
      <c r="J171" s="6">
        <f>IFERROR(LN(Cotacao!T172/Cotacao!T171),J170)</f>
        <v>-3.422287123074063E-2</v>
      </c>
      <c r="K171" s="6">
        <f>IFERROR(LN(Cotacao!V172/Cotacao!V171),K170)</f>
        <v>5.7143012634386352E-3</v>
      </c>
      <c r="L171" s="6">
        <f>IFERROR(LN(Cotacao!X172/Cotacao!X171),L170)</f>
        <v>3.8461585874783148E-3</v>
      </c>
      <c r="M171" s="6">
        <f>IFERROR(LN(Profit!B171/Profit!B170),M170)</f>
        <v>-1.6239395524531679E-2</v>
      </c>
      <c r="N171" s="6">
        <f>IFERROR(LN(Cotacao!AB172/Cotacao!AB171),N170)</f>
        <v>5.7358684205610647E-2</v>
      </c>
      <c r="O171" s="6">
        <f>IFERROR(LN(Cotacao!AD172/Cotacao!AD171),O170)</f>
        <v>-1.8803580848250959E-2</v>
      </c>
      <c r="P171" s="6">
        <f>IFERROR(LN(Cotacao!AF172/Cotacao!AF171),P170)</f>
        <v>-2.1446688496746479E-2</v>
      </c>
      <c r="Q171" s="6">
        <f>IFERROR(LN(Cotacao!AH172/Cotacao!AH171),Q170)</f>
        <v>-2.157264596867091E-4</v>
      </c>
      <c r="R171" s="6">
        <f>IFERROR(LN(Cotacao!AJ172/Cotacao!AJ171),R170)</f>
        <v>9.6806177107234964E-3</v>
      </c>
      <c r="S171" s="6">
        <f>IFERROR(LN(Cotacao!AL172/Cotacao!AL171),S170)</f>
        <v>-2.8698164086743475E-2</v>
      </c>
      <c r="T171" s="6">
        <f>IFERROR(LN(Cotacao!AN172/Cotacao!AN171),T170)</f>
        <v>3.8118212470253515E-3</v>
      </c>
      <c r="U171" s="6">
        <f>IFERROR(LN(Cotacao!AP172/Cotacao!AP171),U170)</f>
        <v>-3.8501972659015136E-3</v>
      </c>
      <c r="V171" s="6">
        <f>IFERROR(LN(Cotacao!AR172/Cotacao!AR171),V170)</f>
        <v>1.3351333174864196E-2</v>
      </c>
      <c r="W171" s="6">
        <f>IFERROR(LN(Cotacao!AT172/Cotacao!AT171),W170)</f>
        <v>9.6850123554844854E-3</v>
      </c>
      <c r="X171" s="6">
        <f>IFERROR(LN(Cotacao!AV172/Cotacao!AV171),X170)</f>
        <v>1.9655668250841392E-3</v>
      </c>
      <c r="Y171" s="6">
        <f>IFERROR(LN(Cotacao!AX172/Cotacao!AX171),Y170)</f>
        <v>7.6869152527228876E-3</v>
      </c>
      <c r="Z171" s="6">
        <f>IFERROR(LN(Cotacao!AZ172/Cotacao!AZ171),Z170)</f>
        <v>-1.3072081567352888E-2</v>
      </c>
      <c r="AA171" s="6">
        <f>IFERROR(LN(Cotacao!BB172/Cotacao!BB171),AA170)</f>
        <v>5.8155954323363375E-3</v>
      </c>
      <c r="AB171" s="6">
        <f>IFERROR(LN(Cotacao!BD172/Cotacao!BD171),AB170)</f>
        <v>-3.4740586189857377E-2</v>
      </c>
      <c r="AC171" s="6">
        <f>IFERROR(LN(Cotacao!BF172/Cotacao!BF171),AC170)</f>
        <v>-1.7316450011461045E-2</v>
      </c>
      <c r="AD171" s="6">
        <f>IFERROR(LN(Cotacao!BH172/Cotacao!BH171),AD170)</f>
        <v>-5.6826881827496491E-2</v>
      </c>
      <c r="AE171" s="6">
        <f>IFERROR(LN(Cotacao!BJ172/Cotacao!BJ171),AE170)</f>
        <v>1.1338978880517806E-2</v>
      </c>
      <c r="AF171" s="6">
        <f>IFERROR(LN(Cotacao!BL172/Cotacao!BL171),AF170)</f>
        <v>1.9598140692469613E-2</v>
      </c>
      <c r="AG171" s="6">
        <f>IFERROR(LN(Cotacao!BN172/Cotacao!BN171),AG170)</f>
        <v>-7.8305791151885643E-3</v>
      </c>
      <c r="AH171" s="6">
        <f>IFERROR(LN(Cotacao!BP172/Cotacao!BP171),AH170)</f>
        <v>-1.8258399950272362E-2</v>
      </c>
      <c r="AI171" s="6">
        <f>IFERROR(LN(Cotacao!BR172/Cotacao!BR171),AI170)</f>
        <v>-1.2369329923812464E-2</v>
      </c>
      <c r="AJ171" s="6">
        <f>IFERROR(LN(Profit!C171/Profit!C170),AJ170)</f>
        <v>-5.1165245216494064E-2</v>
      </c>
      <c r="AK171" s="6">
        <f>IFERROR(LN(Cotacao!BV172/Cotacao!BV171),AK170)</f>
        <v>-1.0258922176496489E-2</v>
      </c>
      <c r="AL171" s="6">
        <f>IFERROR(LN(Cotacao!BX172/Cotacao!BX171),AL170)</f>
        <v>4.7017424258492119E-3</v>
      </c>
    </row>
    <row r="172" spans="1:38">
      <c r="A172" s="3" t="str">
        <f>Cotacao!C172</f>
        <v>3/3/2020 16:56:00</v>
      </c>
      <c r="B172" s="6">
        <f>IFERROR(LN(Cotacao!D173/Cotacao!D172),B171)</f>
        <v>-5.1679701584424493E-3</v>
      </c>
      <c r="C172" s="6">
        <f>IFERROR(LN(Cotacao!F173/Cotacao!F172),C171)</f>
        <v>1.3296774470334193E-2</v>
      </c>
      <c r="D172" s="6">
        <f>IFERROR(LN(Cotacao!H173/Cotacao!H172),D171)</f>
        <v>4.5714191167311263E-2</v>
      </c>
      <c r="E172" s="6">
        <f>IFERROR(LN(Cotacao!J173/Cotacao!J172),E171)</f>
        <v>-4.3648764669013289E-2</v>
      </c>
      <c r="F172" s="6">
        <f>IFERROR(LN(Cotacao!L173/Cotacao!L172),F171)</f>
        <v>5.1097292818910615E-2</v>
      </c>
      <c r="G172" s="6">
        <f>IFERROR(LN(Cotacao!N173/Cotacao!N172),G171)</f>
        <v>5.7542287832520987E-3</v>
      </c>
      <c r="H172" s="6">
        <f>IFERROR(LN(Cotacao!P173/Cotacao!P172),H171)</f>
        <v>1.019161870199871E-2</v>
      </c>
      <c r="I172" s="6">
        <f>IFERROR(LN(Cotacao!R173/Cotacao!R172),I171)</f>
        <v>2.1353124470568842E-2</v>
      </c>
      <c r="J172" s="6">
        <f>IFERROR(LN(Cotacao!T173/Cotacao!T172),J171)</f>
        <v>1.9624071809587796E-2</v>
      </c>
      <c r="K172" s="6">
        <f>IFERROR(LN(Cotacao!V173/Cotacao!V172),K171)</f>
        <v>4.5937095187025608E-2</v>
      </c>
      <c r="L172" s="6">
        <f>IFERROR(LN(Cotacao!X173/Cotacao!X172),L171)</f>
        <v>1.8922297411474893E-2</v>
      </c>
      <c r="M172" s="6">
        <f>IFERROR(LN(Profit!B172/Profit!B171),M171)</f>
        <v>1.4949904694659908E-2</v>
      </c>
      <c r="N172" s="6">
        <f>IFERROR(LN(Cotacao!AB173/Cotacao!AB172),N171)</f>
        <v>-3.684056922107036E-2</v>
      </c>
      <c r="O172" s="6">
        <f>IFERROR(LN(Cotacao!AD173/Cotacao!AD172),O171)</f>
        <v>2.7398974188114347E-2</v>
      </c>
      <c r="P172" s="6">
        <f>IFERROR(LN(Cotacao!AF173/Cotacao!AF172),P171)</f>
        <v>-5.2585572534670508E-3</v>
      </c>
      <c r="Q172" s="6">
        <f>IFERROR(LN(Cotacao!AH173/Cotacao!AH172),Q171)</f>
        <v>4.6784764345789175E-2</v>
      </c>
      <c r="R172" s="6">
        <f>IFERROR(LN(Cotacao!AJ173/Cotacao!AJ172),R171)</f>
        <v>3.3535396016894592E-2</v>
      </c>
      <c r="S172" s="6">
        <f>IFERROR(LN(Cotacao!AL173/Cotacao!AL172),S171)</f>
        <v>5.0505157860685716E-3</v>
      </c>
      <c r="T172" s="6">
        <f>IFERROR(LN(Cotacao!AN173/Cotacao!AN172),T171)</f>
        <v>-4.3144601115911512E-3</v>
      </c>
      <c r="U172" s="6">
        <f>IFERROR(LN(Cotacao!AP173/Cotacao!AP172),U171)</f>
        <v>6.2926269518238107E-3</v>
      </c>
      <c r="V172" s="6">
        <f>IFERROR(LN(Cotacao!AR173/Cotacao!AR172),V171)</f>
        <v>-8.8456440973421803E-4</v>
      </c>
      <c r="W172" s="6">
        <f>IFERROR(LN(Cotacao!AT173/Cotacao!AT172),W171)</f>
        <v>1.1095769904238538E-2</v>
      </c>
      <c r="X172" s="6">
        <f>IFERROR(LN(Cotacao!AV173/Cotacao!AV172),X171)</f>
        <v>-2.9133305383573405E-3</v>
      </c>
      <c r="Y172" s="6">
        <f>IFERROR(LN(Cotacao!AX173/Cotacao!AX172),Y171)</f>
        <v>-6.113350805292456E-3</v>
      </c>
      <c r="Z172" s="6">
        <f>IFERROR(LN(Cotacao!AZ173/Cotacao!AZ172),Z171)</f>
        <v>-2.6350476380050023E-3</v>
      </c>
      <c r="AA172" s="6">
        <f>IFERROR(LN(Cotacao!BB173/Cotacao!BB172),AA171)</f>
        <v>1.7136958904165087E-2</v>
      </c>
      <c r="AB172" s="6">
        <f>IFERROR(LN(Cotacao!BD173/Cotacao!BD172),AB171)</f>
        <v>4.4977995283077589E-2</v>
      </c>
      <c r="AC172" s="6">
        <f>IFERROR(LN(Cotacao!BF173/Cotacao!BF172),AC171)</f>
        <v>-4.3677659571855884E-4</v>
      </c>
      <c r="AD172" s="6">
        <f>IFERROR(LN(Cotacao!BH173/Cotacao!BH172),AD171)</f>
        <v>-8.8697692854298703E-3</v>
      </c>
      <c r="AE172" s="6">
        <f>IFERROR(LN(Cotacao!BJ173/Cotacao!BJ172),AE171)</f>
        <v>-9.2942870625598792E-3</v>
      </c>
      <c r="AF172" s="6">
        <f>IFERROR(LN(Cotacao!BL173/Cotacao!BL172),AF171)</f>
        <v>1.120576158118583E-2</v>
      </c>
      <c r="AG172" s="6">
        <f>IFERROR(LN(Cotacao!BN173/Cotacao!BN172),AG171)</f>
        <v>3.6217343411337841E-3</v>
      </c>
      <c r="AH172" s="6">
        <f>IFERROR(LN(Cotacao!BP173/Cotacao!BP172),AH171)</f>
        <v>3.1736702081397429E-2</v>
      </c>
      <c r="AI172" s="6">
        <f>IFERROR(LN(Cotacao!BR173/Cotacao!BR172),AI171)</f>
        <v>-1.0829127604778801E-2</v>
      </c>
      <c r="AJ172" s="6">
        <f>IFERROR(LN(Profit!C172/Profit!C171),AJ171)</f>
        <v>2.0279528950529088E-2</v>
      </c>
      <c r="AK172" s="6">
        <f>IFERROR(LN(Cotacao!BV173/Cotacao!BV172),AK171)</f>
        <v>1.5859227073537645E-2</v>
      </c>
      <c r="AL172" s="6">
        <f>IFERROR(LN(Cotacao!BX173/Cotacao!BX172),AL171)</f>
        <v>4.4719402940245769E-2</v>
      </c>
    </row>
    <row r="173" spans="1:38">
      <c r="A173" s="3" t="str">
        <f>Cotacao!C173</f>
        <v>3/4/2020 16:56:00</v>
      </c>
      <c r="B173" s="6">
        <f>IFERROR(LN(Cotacao!D174/Cotacao!D173),B172)</f>
        <v>-5.0475521410260543E-2</v>
      </c>
      <c r="C173" s="6">
        <f>IFERROR(LN(Cotacao!F174/Cotacao!F173),C172)</f>
        <v>-1.9519162321532845E-2</v>
      </c>
      <c r="D173" s="6">
        <f>IFERROR(LN(Cotacao!H174/Cotacao!H173),D172)</f>
        <v>-4.0166041725334757E-2</v>
      </c>
      <c r="E173" s="6">
        <f>IFERROR(LN(Cotacao!J174/Cotacao!J173),E172)</f>
        <v>8.4259403140717962E-3</v>
      </c>
      <c r="F173" s="6">
        <f>IFERROR(LN(Cotacao!L174/Cotacao!L173),F172)</f>
        <v>-3.1688629235120974E-2</v>
      </c>
      <c r="G173" s="6">
        <f>IFERROR(LN(Cotacao!N174/Cotacao!N173),G172)</f>
        <v>-3.0797273748915419E-2</v>
      </c>
      <c r="H173" s="6">
        <f>IFERROR(LN(Cotacao!P174/Cotacao!P173),H172)</f>
        <v>-1.6925650883342781E-2</v>
      </c>
      <c r="I173" s="6">
        <f>IFERROR(LN(Cotacao!R174/Cotacao!R173),I172)</f>
        <v>-8.0248127831845331E-2</v>
      </c>
      <c r="J173" s="6">
        <f>IFERROR(LN(Cotacao!T174/Cotacao!T173),J172)</f>
        <v>-9.7571137204632022E-2</v>
      </c>
      <c r="K173" s="6">
        <f>IFERROR(LN(Cotacao!V174/Cotacao!V173),K172)</f>
        <v>-2.6190332252191001E-2</v>
      </c>
      <c r="L173" s="6">
        <f>IFERROR(LN(Cotacao!X174/Cotacao!X173),L172)</f>
        <v>-4.4943895878393264E-3</v>
      </c>
      <c r="M173" s="6">
        <f>IFERROR(LN(Profit!B173/Profit!B172),M172)</f>
        <v>-6.4725145056174788E-3</v>
      </c>
      <c r="N173" s="6">
        <f>IFERROR(LN(Cotacao!AB174/Cotacao!AB173),N172)</f>
        <v>-8.8692377407796601E-3</v>
      </c>
      <c r="O173" s="6">
        <f>IFERROR(LN(Cotacao!AD174/Cotacao!AD173),O172)</f>
        <v>-5.8431083435842822E-2</v>
      </c>
      <c r="P173" s="6">
        <f>IFERROR(LN(Cotacao!AF174/Cotacao!AF173),P172)</f>
        <v>-7.1003427580163342E-2</v>
      </c>
      <c r="Q173" s="6">
        <f>IFERROR(LN(Cotacao!AH174/Cotacao!AH173),Q172)</f>
        <v>-3.6055047673222193E-2</v>
      </c>
      <c r="R173" s="6">
        <f>IFERROR(LN(Cotacao!AJ174/Cotacao!AJ173),R172)</f>
        <v>-2.7963280533415673E-2</v>
      </c>
      <c r="S173" s="6">
        <f>IFERROR(LN(Cotacao!AL174/Cotacao!AL173),S172)</f>
        <v>-8.67824130504498E-2</v>
      </c>
      <c r="T173" s="6">
        <f>IFERROR(LN(Cotacao!AN174/Cotacao!AN173),T172)</f>
        <v>-4.5351551653912622E-3</v>
      </c>
      <c r="U173" s="6">
        <f>IFERROR(LN(Cotacao!AP174/Cotacao!AP173),U172)</f>
        <v>-6.8188042857210349E-3</v>
      </c>
      <c r="V173" s="6">
        <f>IFERROR(LN(Cotacao!AR174/Cotacao!AR173),V172)</f>
        <v>-8.888947417246152E-3</v>
      </c>
      <c r="W173" s="6">
        <f>IFERROR(LN(Cotacao!AT174/Cotacao!AT173),W172)</f>
        <v>-1.4877344234746489E-3</v>
      </c>
      <c r="X173" s="6">
        <f>IFERROR(LN(Cotacao!AV174/Cotacao!AV173),X172)</f>
        <v>-1.1001211061973456E-2</v>
      </c>
      <c r="Y173" s="6">
        <f>IFERROR(LN(Cotacao!AX174/Cotacao!AX173),Y172)</f>
        <v>-7.1006215495764274E-3</v>
      </c>
      <c r="Z173" s="6">
        <f>IFERROR(LN(Cotacao!AZ174/Cotacao!AZ173),Z172)</f>
        <v>-2.403319944415622E-2</v>
      </c>
      <c r="AA173" s="6">
        <f>IFERROR(LN(Cotacao!BB174/Cotacao!BB173),AA172)</f>
        <v>-1.0745385109520963E-2</v>
      </c>
      <c r="AB173" s="6">
        <f>IFERROR(LN(Cotacao!BD174/Cotacao!BD173),AB172)</f>
        <v>-6.4538521137571289E-2</v>
      </c>
      <c r="AC173" s="6">
        <f>IFERROR(LN(Cotacao!BF174/Cotacao!BF173),AC172)</f>
        <v>-8.6177696241052398E-2</v>
      </c>
      <c r="AD173" s="6">
        <f>IFERROR(LN(Cotacao!BH174/Cotacao!BH173),AD172)</f>
        <v>-7.7577653065909663E-2</v>
      </c>
      <c r="AE173" s="6">
        <f>IFERROR(LN(Cotacao!BJ174/Cotacao!BJ173),AE172)</f>
        <v>-1.8108010438827881E-3</v>
      </c>
      <c r="AF173" s="6">
        <f>IFERROR(LN(Cotacao!BL174/Cotacao!BL173),AF172)</f>
        <v>-3.6994550713528015E-2</v>
      </c>
      <c r="AG173" s="6">
        <f>IFERROR(LN(Cotacao!BN174/Cotacao!BN173),AG172)</f>
        <v>-5.5328867942141639E-2</v>
      </c>
      <c r="AH173" s="6">
        <f>IFERROR(LN(Cotacao!BP174/Cotacao!BP173),AH172)</f>
        <v>-6.1345409598899579E-2</v>
      </c>
      <c r="AI173" s="6">
        <f>IFERROR(LN(Cotacao!BR174/Cotacao!BR173),AI172)</f>
        <v>-4.4022934309978105E-2</v>
      </c>
      <c r="AJ173" s="6">
        <f>IFERROR(LN(Profit!C173/Profit!C172),AJ172)</f>
        <v>-1.5170961007806618E-2</v>
      </c>
      <c r="AK173" s="6">
        <f>IFERROR(LN(Cotacao!BV174/Cotacao!BV173),AK172)</f>
        <v>-4.7665286446108679E-2</v>
      </c>
      <c r="AL173" s="6">
        <f>IFERROR(LN(Cotacao!BX174/Cotacao!BX173),AL172)</f>
        <v>-4.1207546828706386E-2</v>
      </c>
    </row>
    <row r="174" spans="1:38">
      <c r="A174" s="3" t="str">
        <f>Cotacao!C174</f>
        <v>3/5/2020 16:56:00</v>
      </c>
      <c r="B174" s="6">
        <f>IFERROR(LN(Cotacao!D175/Cotacao!D174),B173)</f>
        <v>-1.9257816604414647E-2</v>
      </c>
      <c r="C174" s="6">
        <f>IFERROR(LN(Cotacao!F175/Cotacao!F174),C173)</f>
        <v>1.3131978249603929E-3</v>
      </c>
      <c r="D174" s="6">
        <f>IFERROR(LN(Cotacao!H175/Cotacao!H174),D173)</f>
        <v>-1.6529301951210471E-2</v>
      </c>
      <c r="E174" s="6">
        <f>IFERROR(LN(Cotacao!J175/Cotacao!J174),E173)</f>
        <v>-5.4872698559092568E-2</v>
      </c>
      <c r="F174" s="6">
        <f>IFERROR(LN(Cotacao!L175/Cotacao!L174),F173)</f>
        <v>-3.1237288439422518E-2</v>
      </c>
      <c r="G174" s="6">
        <f>IFERROR(LN(Cotacao!N175/Cotacao!N174),G173)</f>
        <v>-2.3087814746063907E-2</v>
      </c>
      <c r="H174" s="6">
        <f>IFERROR(LN(Cotacao!P175/Cotacao!P174),H173)</f>
        <v>-3.2896514147309271E-2</v>
      </c>
      <c r="I174" s="6">
        <f>IFERROR(LN(Cotacao!R175/Cotacao!R174),I173)</f>
        <v>-7.6599378747547976E-3</v>
      </c>
      <c r="J174" s="6">
        <f>IFERROR(LN(Cotacao!T175/Cotacao!T174),J173)</f>
        <v>1.7356093451461902E-3</v>
      </c>
      <c r="K174" s="6">
        <f>IFERROR(LN(Cotacao!V175/Cotacao!V174),K173)</f>
        <v>-6.1934837315917785E-2</v>
      </c>
      <c r="L174" s="6">
        <f>IFERROR(LN(Cotacao!X175/Cotacao!X174),L173)</f>
        <v>-3.203935374461666E-2</v>
      </c>
      <c r="M174" s="6">
        <f>IFERROR(LN(Profit!B174/Profit!B173),M173)</f>
        <v>-1.4059410921871376E-2</v>
      </c>
      <c r="N174" s="6">
        <f>IFERROR(LN(Cotacao!AB175/Cotacao!AB174),N173)</f>
        <v>-3.8597299498143861E-2</v>
      </c>
      <c r="O174" s="6">
        <f>IFERROR(LN(Cotacao!AD175/Cotacao!AD174),O173)</f>
        <v>-4.4430055764663898E-2</v>
      </c>
      <c r="P174" s="6">
        <f>IFERROR(LN(Cotacao!AF175/Cotacao!AF174),P173)</f>
        <v>1.1630219255691333E-2</v>
      </c>
      <c r="Q174" s="6">
        <f>IFERROR(LN(Cotacao!AH175/Cotacao!AH174),Q173)</f>
        <v>-4.8992959544257829E-2</v>
      </c>
      <c r="R174" s="6">
        <f>IFERROR(LN(Cotacao!AJ175/Cotacao!AJ174),R173)</f>
        <v>-2.0323935792281273E-2</v>
      </c>
      <c r="S174" s="6">
        <f>IFERROR(LN(Cotacao!AL175/Cotacao!AL174),S173)</f>
        <v>-2.7856954502966224E-2</v>
      </c>
      <c r="T174" s="6">
        <f>IFERROR(LN(Cotacao!AN175/Cotacao!AN174),T173)</f>
        <v>-5.5710450494553601E-3</v>
      </c>
      <c r="U174" s="6">
        <f>IFERROR(LN(Cotacao!AP175/Cotacao!AP174),U173)</f>
        <v>-7.9260652724207157E-3</v>
      </c>
      <c r="V174" s="6">
        <f>IFERROR(LN(Cotacao!AR175/Cotacao!AR174),V173)</f>
        <v>-1.7873105740957515E-3</v>
      </c>
      <c r="W174" s="6">
        <f>IFERROR(LN(Cotacao!AT175/Cotacao!AT174),W173)</f>
        <v>-2.7966850270562598E-2</v>
      </c>
      <c r="X174" s="6">
        <f>IFERROR(LN(Cotacao!AV175/Cotacao!AV174),X173)</f>
        <v>-1.1869575555383769E-2</v>
      </c>
      <c r="Y174" s="6">
        <f>IFERROR(LN(Cotacao!AX175/Cotacao!AX174),Y173)</f>
        <v>-1.034629205414426E-2</v>
      </c>
      <c r="Z174" s="6">
        <f>IFERROR(LN(Cotacao!AZ175/Cotacao!AZ174),Z173)</f>
        <v>-2.1858793812499073E-2</v>
      </c>
      <c r="AA174" s="6">
        <f>IFERROR(LN(Cotacao!BB175/Cotacao!BB174),AA173)</f>
        <v>-1.3722533625282094E-2</v>
      </c>
      <c r="AB174" s="6">
        <f>IFERROR(LN(Cotacao!BD175/Cotacao!BD174),AB173)</f>
        <v>-5.5852077925893195E-2</v>
      </c>
      <c r="AC174" s="6">
        <f>IFERROR(LN(Cotacao!BF175/Cotacao!BF174),AC173)</f>
        <v>-3.5873938902885615E-2</v>
      </c>
      <c r="AD174" s="6">
        <f>IFERROR(LN(Cotacao!BH175/Cotacao!BH174),AD173)</f>
        <v>-7.809449830713962E-4</v>
      </c>
      <c r="AE174" s="6">
        <f>IFERROR(LN(Cotacao!BJ175/Cotacao!BJ174),AE173)</f>
        <v>-3.2208032995951906E-3</v>
      </c>
      <c r="AF174" s="6">
        <f>IFERROR(LN(Cotacao!BL175/Cotacao!BL174),AF173)</f>
        <v>-5.9100088576536008E-2</v>
      </c>
      <c r="AG174" s="6">
        <f>IFERROR(LN(Cotacao!BN175/Cotacao!BN174),AG173)</f>
        <v>-1.3463180168294018E-2</v>
      </c>
      <c r="AH174" s="6">
        <f>IFERROR(LN(Cotacao!BP175/Cotacao!BP174),AH173)</f>
        <v>-0.10233360014016964</v>
      </c>
      <c r="AI174" s="6">
        <f>IFERROR(LN(Cotacao!BR175/Cotacao!BR174),AI173)</f>
        <v>-0.10972456847678265</v>
      </c>
      <c r="AJ174" s="6">
        <f>IFERROR(LN(Profit!C174/Profit!C173),AJ173)</f>
        <v>-1.2175735165814916E-2</v>
      </c>
      <c r="AK174" s="6">
        <f>IFERROR(LN(Cotacao!BV175/Cotacao!BV174),AK173)</f>
        <v>-4.2322350563701573E-2</v>
      </c>
      <c r="AL174" s="6">
        <f>IFERROR(LN(Cotacao!BX175/Cotacao!BX174),AL173)</f>
        <v>-2.4546552559439223E-2</v>
      </c>
    </row>
    <row r="175" spans="1:38">
      <c r="A175" s="3" t="str">
        <f>Cotacao!C175</f>
        <v>3/6/2020 16:56:00</v>
      </c>
      <c r="B175" s="6">
        <f>IFERROR(LN(Cotacao!D176/Cotacao!D175),B174)</f>
        <v>-0.11279549414534452</v>
      </c>
      <c r="C175" s="6">
        <f>IFERROR(LN(Cotacao!F176/Cotacao!F175),C174)</f>
        <v>-7.1033760333565649E-2</v>
      </c>
      <c r="D175" s="6">
        <f>IFERROR(LN(Cotacao!H176/Cotacao!H175),D174)</f>
        <v>-6.9662738655016737E-2</v>
      </c>
      <c r="E175" s="6">
        <f>IFERROR(LN(Cotacao!J176/Cotacao!J175),E174)</f>
        <v>-0.25154468386562129</v>
      </c>
      <c r="F175" s="6">
        <f>IFERROR(LN(Cotacao!L176/Cotacao!L175),F174)</f>
        <v>-5.6079932353792765E-2</v>
      </c>
      <c r="G175" s="6">
        <f>IFERROR(LN(Cotacao!N176/Cotacao!N175),G174)</f>
        <v>-6.5230802231332194E-2</v>
      </c>
      <c r="H175" s="6">
        <f>IFERROR(LN(Cotacao!P176/Cotacao!P175),H174)</f>
        <v>-4.5488014773672869E-2</v>
      </c>
      <c r="I175" s="6">
        <f>IFERROR(LN(Cotacao!R176/Cotacao!R175),I174)</f>
        <v>-9.5117964522618295E-2</v>
      </c>
      <c r="J175" s="6">
        <f>IFERROR(LN(Cotacao!T176/Cotacao!T175),J174)</f>
        <v>-0.11959102747052713</v>
      </c>
      <c r="K175" s="6">
        <f>IFERROR(LN(Cotacao!V176/Cotacao!V175),K174)</f>
        <v>-7.3993679908326393E-2</v>
      </c>
      <c r="L175" s="6">
        <f>IFERROR(LN(Cotacao!X176/Cotacao!X175),L174)</f>
        <v>-4.3733204727713526E-2</v>
      </c>
      <c r="M175" s="6">
        <f>IFERROR(LN(Profit!B175/Profit!B174),M174)</f>
        <v>-1.1924619605381666E-2</v>
      </c>
      <c r="N175" s="6">
        <f>IFERROR(LN(Cotacao!AB176/Cotacao!AB175),N174)</f>
        <v>-4.6307016340336852E-4</v>
      </c>
      <c r="O175" s="6">
        <f>IFERROR(LN(Cotacao!AD176/Cotacao!AD175),O174)</f>
        <v>-0.12084563375630211</v>
      </c>
      <c r="P175" s="6">
        <f>IFERROR(LN(Cotacao!AF176/Cotacao!AF175),P174)</f>
        <v>-0.14807690844369109</v>
      </c>
      <c r="Q175" s="6">
        <f>IFERROR(LN(Cotacao!AH176/Cotacao!AH175),Q174)</f>
        <v>-0.16485561049523556</v>
      </c>
      <c r="R175" s="6">
        <f>IFERROR(LN(Cotacao!AJ176/Cotacao!AJ175),R174)</f>
        <v>-7.0894225375941172E-2</v>
      </c>
      <c r="S175" s="6">
        <f>IFERROR(LN(Cotacao!AL176/Cotacao!AL175),S174)</f>
        <v>-0.11831283699327924</v>
      </c>
      <c r="T175" s="6">
        <f>IFERROR(LN(Cotacao!AN176/Cotacao!AN175),T174)</f>
        <v>-4.6254022815130726E-2</v>
      </c>
      <c r="U175" s="6">
        <f>IFERROR(LN(Cotacao!AP176/Cotacao!AP175),U174)</f>
        <v>-4.4291016709693515E-2</v>
      </c>
      <c r="V175" s="6">
        <f>IFERROR(LN(Cotacao!AR176/Cotacao!AR175),V174)</f>
        <v>-2.9961387740484572E-2</v>
      </c>
      <c r="W175" s="6">
        <f>IFERROR(LN(Cotacao!AT176/Cotacao!AT175),W174)</f>
        <v>-3.9088084009551771E-2</v>
      </c>
      <c r="X175" s="6">
        <f>IFERROR(LN(Cotacao!AV176/Cotacao!AV175),X174)</f>
        <v>-4.191089561563683E-2</v>
      </c>
      <c r="Y175" s="6">
        <f>IFERROR(LN(Cotacao!AX176/Cotacao!AX175),Y174)</f>
        <v>-4.9106214107952621E-2</v>
      </c>
      <c r="Z175" s="6">
        <f>IFERROR(LN(Cotacao!AZ176/Cotacao!AZ175),Z174)</f>
        <v>-1.6713480973740667E-2</v>
      </c>
      <c r="AA175" s="6">
        <f>IFERROR(LN(Cotacao!BB176/Cotacao!BB175),AA174)</f>
        <v>-5.5369274295091732E-2</v>
      </c>
      <c r="AB175" s="6">
        <f>IFERROR(LN(Cotacao!BD176/Cotacao!BD175),AB174)</f>
        <v>-0.14591661380358298</v>
      </c>
      <c r="AC175" s="6">
        <f>IFERROR(LN(Cotacao!BF176/Cotacao!BF175),AC174)</f>
        <v>-0.17308497741936782</v>
      </c>
      <c r="AD175" s="6">
        <f>IFERROR(LN(Cotacao!BH176/Cotacao!BH175),AD174)</f>
        <v>-2.9064132943911355E-2</v>
      </c>
      <c r="AE175" s="6">
        <f>IFERROR(LN(Cotacao!BJ176/Cotacao!BJ175),AE174)</f>
        <v>-4.308764400072039E-2</v>
      </c>
      <c r="AF175" s="6">
        <f>IFERROR(LN(Cotacao!BL176/Cotacao!BL175),AF174)</f>
        <v>-0.10203423499797479</v>
      </c>
      <c r="AG175" s="6">
        <f>IFERROR(LN(Cotacao!BN176/Cotacao!BN175),AG174)</f>
        <v>-0.12789204949489963</v>
      </c>
      <c r="AH175" s="6">
        <f>IFERROR(LN(Cotacao!BP176/Cotacao!BP175),AH174)</f>
        <v>-0.35236661096567917</v>
      </c>
      <c r="AI175" s="6">
        <f>IFERROR(LN(Cotacao!BR176/Cotacao!BR175),AI174)</f>
        <v>-0.45477035976565583</v>
      </c>
      <c r="AJ175" s="6">
        <f>IFERROR(LN(Profit!C175/Profit!C174),AJ174)</f>
        <v>-3.2102330852458734E-2</v>
      </c>
      <c r="AK175" s="6">
        <f>IFERROR(LN(Cotacao!BV176/Cotacao!BV175),AK174)</f>
        <v>-0.12980613247179201</v>
      </c>
      <c r="AL175" s="6">
        <f>IFERROR(LN(Cotacao!BX176/Cotacao!BX175),AL174)</f>
        <v>-0.10735851832049927</v>
      </c>
    </row>
    <row r="176" spans="1:38">
      <c r="A176" s="3" t="str">
        <f>Cotacao!C176</f>
        <v>3/9/2020 16:56:00</v>
      </c>
      <c r="B176" s="6">
        <f>IFERROR(LN(Cotacao!D177/Cotacao!D176),B175)</f>
        <v>3.7832455671889129E-2</v>
      </c>
      <c r="C176" s="6">
        <f>IFERROR(LN(Cotacao!F177/Cotacao!F176),C175)</f>
        <v>2.1258859501594212E-2</v>
      </c>
      <c r="D176" s="6">
        <f>IFERROR(LN(Cotacao!H177/Cotacao!H176),D175)</f>
        <v>4.8609329457184311E-2</v>
      </c>
      <c r="E176" s="6">
        <f>IFERROR(LN(Cotacao!J177/Cotacao!J176),E175)</f>
        <v>6.5185979884695544E-2</v>
      </c>
      <c r="F176" s="6">
        <f>IFERROR(LN(Cotacao!L177/Cotacao!L176),F175)</f>
        <v>1.8701843777020923E-2</v>
      </c>
      <c r="G176" s="6">
        <f>IFERROR(LN(Cotacao!N177/Cotacao!N176),G175)</f>
        <v>2.1014935081289515E-2</v>
      </c>
      <c r="H176" s="6">
        <f>IFERROR(LN(Cotacao!P177/Cotacao!P176),H175)</f>
        <v>2.431730765070643E-2</v>
      </c>
      <c r="I176" s="6">
        <f>IFERROR(LN(Cotacao!R177/Cotacao!R176),I175)</f>
        <v>3.1629769466926694E-2</v>
      </c>
      <c r="J176" s="6">
        <f>IFERROR(LN(Cotacao!T177/Cotacao!T176),J175)</f>
        <v>7.7081675673942709E-2</v>
      </c>
      <c r="K176" s="6">
        <f>IFERROR(LN(Cotacao!V177/Cotacao!V176),K175)</f>
        <v>5.6002190115284879E-2</v>
      </c>
      <c r="L176" s="6">
        <f>IFERROR(LN(Cotacao!X177/Cotacao!X176),L175)</f>
        <v>8.7425329770630825E-4</v>
      </c>
      <c r="M176" s="6">
        <f>IFERROR(LN(Profit!B176/Profit!B175),M175)</f>
        <v>6.3112649285480991E-3</v>
      </c>
      <c r="N176" s="6">
        <f>IFERROR(LN(Cotacao!AB177/Cotacao!AB176),N175)</f>
        <v>-4.161356911922319E-2</v>
      </c>
      <c r="O176" s="6">
        <f>IFERROR(LN(Cotacao!AD177/Cotacao!AD176),O175)</f>
        <v>3.4333383305609609E-2</v>
      </c>
      <c r="P176" s="6">
        <f>IFERROR(LN(Cotacao!AF177/Cotacao!AF176),P175)</f>
        <v>0.10967644812339492</v>
      </c>
      <c r="Q176" s="6">
        <f>IFERROR(LN(Cotacao!AH177/Cotacao!AH176),Q175)</f>
        <v>0.16932889015311378</v>
      </c>
      <c r="R176" s="6">
        <f>IFERROR(LN(Cotacao!AJ177/Cotacao!AJ176),R175)</f>
        <v>0.11619580783611379</v>
      </c>
      <c r="S176" s="6">
        <f>IFERROR(LN(Cotacao!AL177/Cotacao!AL176),S175)</f>
        <v>5.4150892775993331E-2</v>
      </c>
      <c r="T176" s="6">
        <f>IFERROR(LN(Cotacao!AN177/Cotacao!AN176),T175)</f>
        <v>2.4173536534075984E-2</v>
      </c>
      <c r="U176" s="6">
        <f>IFERROR(LN(Cotacao!AP177/Cotacao!AP176),U175)</f>
        <v>2.1034154545426297E-2</v>
      </c>
      <c r="V176" s="6">
        <f>IFERROR(LN(Cotacao!AR177/Cotacao!AR176),V175)</f>
        <v>2.0976601332669167E-2</v>
      </c>
      <c r="W176" s="6">
        <f>IFERROR(LN(Cotacao!AT177/Cotacao!AT176),W175)</f>
        <v>2.1436461276317438E-2</v>
      </c>
      <c r="X176" s="6">
        <f>IFERROR(LN(Cotacao!AV177/Cotacao!AV176),X175)</f>
        <v>2.7630307193005049E-2</v>
      </c>
      <c r="Y176" s="6">
        <f>IFERROR(LN(Cotacao!AX177/Cotacao!AX176),Y175)</f>
        <v>3.7033632873683331E-2</v>
      </c>
      <c r="Z176" s="6">
        <f>IFERROR(LN(Cotacao!AZ177/Cotacao!AZ176),Z175)</f>
        <v>6.2605474230395988E-2</v>
      </c>
      <c r="AA176" s="6">
        <f>IFERROR(LN(Cotacao!BB177/Cotacao!BB176),AA175)</f>
        <v>8.6887682010120901E-3</v>
      </c>
      <c r="AB176" s="6">
        <f>IFERROR(LN(Cotacao!BD177/Cotacao!BD176),AB175)</f>
        <v>0.10160725742291232</v>
      </c>
      <c r="AC176" s="6">
        <f>IFERROR(LN(Cotacao!BF177/Cotacao!BF176),AC175)</f>
        <v>9.2425100066301821E-2</v>
      </c>
      <c r="AD176" s="6">
        <f>IFERROR(LN(Cotacao!BH177/Cotacao!BH176),AD175)</f>
        <v>4.2514930668034571E-2</v>
      </c>
      <c r="AE176" s="6">
        <f>IFERROR(LN(Cotacao!BJ177/Cotacao!BJ176),AE175)</f>
        <v>6.0441589418259471E-3</v>
      </c>
      <c r="AF176" s="6">
        <f>IFERROR(LN(Cotacao!BL177/Cotacao!BL176),AF175)</f>
        <v>5.2914620836639177E-2</v>
      </c>
      <c r="AG176" s="6">
        <f>IFERROR(LN(Cotacao!BN177/Cotacao!BN176),AG175)</f>
        <v>0.11751133344033901</v>
      </c>
      <c r="AH176" s="6">
        <f>IFERROR(LN(Cotacao!BP177/Cotacao!BP176),AH175)</f>
        <v>8.9914738630945679E-2</v>
      </c>
      <c r="AI176" s="6">
        <f>IFERROR(LN(Cotacao!BR177/Cotacao!BR176),AI175)</f>
        <v>0.12678346528216822</v>
      </c>
      <c r="AJ176" s="6">
        <f>IFERROR(LN(Profit!C176/Profit!C175),AJ175)</f>
        <v>9.2777338782368927E-3</v>
      </c>
      <c r="AK176" s="6">
        <f>IFERROR(LN(Cotacao!BV177/Cotacao!BV176),AK175)</f>
        <v>6.8988673208259604E-2</v>
      </c>
      <c r="AL176" s="6">
        <f>IFERROR(LN(Cotacao!BX177/Cotacao!BX176),AL175)</f>
        <v>5.9211859631846032E-2</v>
      </c>
    </row>
    <row r="177" spans="1:38">
      <c r="A177" s="3" t="str">
        <f>Cotacao!C177</f>
        <v>3/10/2020 16:56:00</v>
      </c>
      <c r="B177" s="6">
        <f>IFERROR(LN(Cotacao!D178/Cotacao!D177),B176)</f>
        <v>-5.9203476433452216E-2</v>
      </c>
      <c r="C177" s="6">
        <f>IFERROR(LN(Cotacao!F178/Cotacao!F177),C176)</f>
        <v>-4.2979492660276314E-2</v>
      </c>
      <c r="D177" s="6">
        <f>IFERROR(LN(Cotacao!H178/Cotacao!H177),D176)</f>
        <v>-3.7503040262191312E-2</v>
      </c>
      <c r="E177" s="6">
        <f>IFERROR(LN(Cotacao!J178/Cotacao!J177),E176)</f>
        <v>-6.0018009726253041E-2</v>
      </c>
      <c r="F177" s="6">
        <f>IFERROR(LN(Cotacao!L178/Cotacao!L177),F176)</f>
        <v>-4.1508454131903565E-2</v>
      </c>
      <c r="G177" s="6">
        <f>IFERROR(LN(Cotacao!N178/Cotacao!N177),G176)</f>
        <v>-6.1529189946861795E-2</v>
      </c>
      <c r="H177" s="6">
        <f>IFERROR(LN(Cotacao!P178/Cotacao!P177),H176)</f>
        <v>-5.1609449938713844E-2</v>
      </c>
      <c r="I177" s="6">
        <f>IFERROR(LN(Cotacao!R178/Cotacao!R177),I176)</f>
        <v>-8.1477575194494251E-2</v>
      </c>
      <c r="J177" s="6">
        <f>IFERROR(LN(Cotacao!T178/Cotacao!T177),J176)</f>
        <v>-4.9453834289420656E-2</v>
      </c>
      <c r="K177" s="6">
        <f>IFERROR(LN(Cotacao!V178/Cotacao!V177),K176)</f>
        <v>-4.8034020466108045E-2</v>
      </c>
      <c r="L177" s="6">
        <f>IFERROR(LN(Cotacao!X178/Cotacao!X177),L176)</f>
        <v>-2.4474168638579898E-2</v>
      </c>
      <c r="M177" s="6">
        <f>IFERROR(LN(Profit!B177/Profit!B176),M176)</f>
        <v>-3.3118066207642188E-4</v>
      </c>
      <c r="N177" s="6">
        <f>IFERROR(LN(Cotacao!AB178/Cotacao!AB177),N176)</f>
        <v>-7.0511579496652946E-2</v>
      </c>
      <c r="O177" s="6">
        <f>IFERROR(LN(Cotacao!AD178/Cotacao!AD177),O176)</f>
        <v>-6.9887586891005798E-2</v>
      </c>
      <c r="P177" s="6">
        <f>IFERROR(LN(Cotacao!AF178/Cotacao!AF177),P176)</f>
        <v>-7.2320661579626133E-2</v>
      </c>
      <c r="Q177" s="6">
        <f>IFERROR(LN(Cotacao!AH178/Cotacao!AH177),Q176)</f>
        <v>-9.5220917999391863E-2</v>
      </c>
      <c r="R177" s="6">
        <f>IFERROR(LN(Cotacao!AJ178/Cotacao!AJ177),R176)</f>
        <v>-1.9055382725635155E-2</v>
      </c>
      <c r="S177" s="6">
        <f>IFERROR(LN(Cotacao!AL178/Cotacao!AL177),S176)</f>
        <v>-5.0976286935220758E-2</v>
      </c>
      <c r="T177" s="6">
        <f>IFERROR(LN(Cotacao!AN178/Cotacao!AN177),T176)</f>
        <v>-2.577055577156203E-2</v>
      </c>
      <c r="U177" s="6">
        <f>IFERROR(LN(Cotacao!AP178/Cotacao!AP177),U176)</f>
        <v>9.0456813042691462E-4</v>
      </c>
      <c r="V177" s="6">
        <f>IFERROR(LN(Cotacao!AR178/Cotacao!AR177),V176)</f>
        <v>-1.180222505662798E-2</v>
      </c>
      <c r="W177" s="6">
        <f>IFERROR(LN(Cotacao!AT178/Cotacao!AT177),W176)</f>
        <v>-1.6807118316381289E-2</v>
      </c>
      <c r="X177" s="6">
        <f>IFERROR(LN(Cotacao!AV178/Cotacao!AV177),X176)</f>
        <v>-2.150126826181779E-2</v>
      </c>
      <c r="Y177" s="6">
        <f>IFERROR(LN(Cotacao!AX178/Cotacao!AX177),Y176)</f>
        <v>-2.8582760506665101E-2</v>
      </c>
      <c r="Z177" s="6">
        <f>IFERROR(LN(Cotacao!AZ178/Cotacao!AZ177),Z176)</f>
        <v>-4.0382337445685694E-2</v>
      </c>
      <c r="AA177" s="6">
        <f>IFERROR(LN(Cotacao!BB178/Cotacao!BB177),AA176)</f>
        <v>-1.4344386788452856E-2</v>
      </c>
      <c r="AB177" s="6">
        <f>IFERROR(LN(Cotacao!BD178/Cotacao!BD177),AB176)</f>
        <v>-6.3083975426576885E-2</v>
      </c>
      <c r="AC177" s="6">
        <f>IFERROR(LN(Cotacao!BF178/Cotacao!BF177),AC176)</f>
        <v>-6.5787740538003139E-2</v>
      </c>
      <c r="AD177" s="6">
        <f>IFERROR(LN(Cotacao!BH178/Cotacao!BH177),AD176)</f>
        <v>-4.117534573897802E-2</v>
      </c>
      <c r="AE177" s="6">
        <f>IFERROR(LN(Cotacao!BJ178/Cotacao!BJ177),AE176)</f>
        <v>-7.8829581114831029E-3</v>
      </c>
      <c r="AF177" s="6">
        <f>IFERROR(LN(Cotacao!BL178/Cotacao!BL177),AF176)</f>
        <v>-6.6847715140563174E-2</v>
      </c>
      <c r="AG177" s="6">
        <f>IFERROR(LN(Cotacao!BN178/Cotacao!BN177),AG176)</f>
        <v>-7.7961541469711931E-2</v>
      </c>
      <c r="AH177" s="6">
        <f>IFERROR(LN(Cotacao!BP178/Cotacao!BP177),AH176)</f>
        <v>-0.10245408788368091</v>
      </c>
      <c r="AI177" s="6">
        <f>IFERROR(LN(Cotacao!BR178/Cotacao!BR177),AI176)</f>
        <v>-9.0971778205726758E-2</v>
      </c>
      <c r="AJ177" s="6">
        <f>IFERROR(LN(Profit!C177/Profit!C176),AJ176)</f>
        <v>2.6350476380050318E-3</v>
      </c>
      <c r="AK177" s="6">
        <f>IFERROR(LN(Cotacao!BV178/Cotacao!BV177),AK176)</f>
        <v>-7.9454533032742317E-2</v>
      </c>
      <c r="AL177" s="6">
        <f>IFERROR(LN(Cotacao!BX178/Cotacao!BX177),AL176)</f>
        <v>-8.9671067116554565E-2</v>
      </c>
    </row>
    <row r="178" spans="1:38">
      <c r="A178" s="3" t="str">
        <f>Cotacao!C178</f>
        <v>3/11/2020 16:56:00</v>
      </c>
      <c r="B178" s="6">
        <f>IFERROR(LN(Cotacao!D179/Cotacao!D178),B177)</f>
        <v>-0.12072573472188255</v>
      </c>
      <c r="C178" s="6">
        <f>IFERROR(LN(Cotacao!F179/Cotacao!F178),C177)</f>
        <v>-9.7075596126369262E-2</v>
      </c>
      <c r="D178" s="6">
        <f>IFERROR(LN(Cotacao!H179/Cotacao!H178),D177)</f>
        <v>-3.2097918808107161E-2</v>
      </c>
      <c r="E178" s="6">
        <f>IFERROR(LN(Cotacao!J179/Cotacao!J178),E177)</f>
        <v>-0.18645379407886495</v>
      </c>
      <c r="F178" s="6">
        <f>IFERROR(LN(Cotacao!L179/Cotacao!L178),F177)</f>
        <v>-0.13660170513778055</v>
      </c>
      <c r="G178" s="6">
        <f>IFERROR(LN(Cotacao!N179/Cotacao!N178),G177)</f>
        <v>-0.11502242656956325</v>
      </c>
      <c r="H178" s="6">
        <f>IFERROR(LN(Cotacao!P179/Cotacao!P178),H177)</f>
        <v>-0.1062392503365151</v>
      </c>
      <c r="I178" s="6">
        <f>IFERROR(LN(Cotacao!R179/Cotacao!R178),I177)</f>
        <v>-0.11428914640212766</v>
      </c>
      <c r="J178" s="6">
        <f>IFERROR(LN(Cotacao!T179/Cotacao!T178),J177)</f>
        <v>-0.22504650146029581</v>
      </c>
      <c r="K178" s="6">
        <f>IFERROR(LN(Cotacao!V179/Cotacao!V178),K177)</f>
        <v>-0.11957034623047927</v>
      </c>
      <c r="L178" s="6">
        <f>IFERROR(LN(Cotacao!X179/Cotacao!X178),L177)</f>
        <v>-7.7558234345874499E-2</v>
      </c>
      <c r="M178" s="6">
        <f>IFERROR(LN(Profit!B178/Profit!B177),M177)</f>
        <v>6.9318646934284174E-3</v>
      </c>
      <c r="N178" s="6">
        <f>IFERROR(LN(Cotacao!AB179/Cotacao!AB178),N177)</f>
        <v>4.8543402909697539E-2</v>
      </c>
      <c r="O178" s="6">
        <f>IFERROR(LN(Cotacao!AD179/Cotacao!AD178),O177)</f>
        <v>-0.16186669212891494</v>
      </c>
      <c r="P178" s="6">
        <f>IFERROR(LN(Cotacao!AF179/Cotacao!AF178),P177)</f>
        <v>-0.17733401528291554</v>
      </c>
      <c r="Q178" s="6">
        <f>IFERROR(LN(Cotacao!AH179/Cotacao!AH178),Q177)</f>
        <v>-0.14191201845607795</v>
      </c>
      <c r="R178" s="6">
        <f>IFERROR(LN(Cotacao!AJ179/Cotacao!AJ178),R177)</f>
        <v>-7.1035773116751771E-2</v>
      </c>
      <c r="S178" s="6">
        <f>IFERROR(LN(Cotacao!AL179/Cotacao!AL178),S177)</f>
        <v>-0.20119909705965033</v>
      </c>
      <c r="T178" s="6">
        <f>IFERROR(LN(Cotacao!AN179/Cotacao!AN178),T177)</f>
        <v>-6.8346151665274149E-2</v>
      </c>
      <c r="U178" s="6">
        <f>IFERROR(LN(Cotacao!AP179/Cotacao!AP178),U177)</f>
        <v>-8.0947275803963339E-2</v>
      </c>
      <c r="V178" s="6">
        <f>IFERROR(LN(Cotacao!AR179/Cotacao!AR178),V177)</f>
        <v>-9.0754363268464075E-2</v>
      </c>
      <c r="W178" s="6">
        <f>IFERROR(LN(Cotacao!AT179/Cotacao!AT178),W177)</f>
        <v>-9.7416634110376585E-2</v>
      </c>
      <c r="X178" s="6">
        <f>IFERROR(LN(Cotacao!AV179/Cotacao!AV178),X177)</f>
        <v>-7.4566200484415826E-2</v>
      </c>
      <c r="Y178" s="6">
        <f>IFERROR(LN(Cotacao!AX179/Cotacao!AX178),Y177)</f>
        <v>-5.5855558639909403E-2</v>
      </c>
      <c r="Z178" s="6">
        <f>IFERROR(LN(Cotacao!AZ179/Cotacao!AZ178),Z177)</f>
        <v>-0.19337139298053965</v>
      </c>
      <c r="AA178" s="6">
        <f>IFERROR(LN(Cotacao!BB179/Cotacao!BB178),AA177)</f>
        <v>-8.3381608939051138E-2</v>
      </c>
      <c r="AB178" s="6">
        <f>IFERROR(LN(Cotacao!BD179/Cotacao!BD178),AB177)</f>
        <v>-0.27996002635787059</v>
      </c>
      <c r="AC178" s="6">
        <f>IFERROR(LN(Cotacao!BF179/Cotacao!BF178),AC177)</f>
        <v>-0.13631076169892734</v>
      </c>
      <c r="AD178" s="6">
        <f>IFERROR(LN(Cotacao!BH179/Cotacao!BH178),AD177)</f>
        <v>-0.21381636843907098</v>
      </c>
      <c r="AE178" s="6">
        <f>IFERROR(LN(Cotacao!BJ179/Cotacao!BJ178),AE177)</f>
        <v>-8.2448462167346054E-2</v>
      </c>
      <c r="AF178" s="6">
        <f>IFERROR(LN(Cotacao!BL179/Cotacao!BL178),AF177)</f>
        <v>-0.17216918532993664</v>
      </c>
      <c r="AG178" s="6">
        <f>IFERROR(LN(Cotacao!BN179/Cotacao!BN178),AG177)</f>
        <v>-0.14273934341079877</v>
      </c>
      <c r="AH178" s="6">
        <f>IFERROR(LN(Cotacao!BP179/Cotacao!BP178),AH177)</f>
        <v>-0.22947268636585738</v>
      </c>
      <c r="AI178" s="6">
        <f>IFERROR(LN(Cotacao!BR179/Cotacao!BR178),AI177)</f>
        <v>-0.39585888630272448</v>
      </c>
      <c r="AJ178" s="6">
        <f>IFERROR(LN(Profit!C178/Profit!C177),AJ177)</f>
        <v>4.5946913783104035E-3</v>
      </c>
      <c r="AK178" s="6">
        <f>IFERROR(LN(Cotacao!BV179/Cotacao!BV178),AK177)</f>
        <v>-0.15993826738243536</v>
      </c>
      <c r="AL178" s="6">
        <f>IFERROR(LN(Cotacao!BX179/Cotacao!BX178),AL177)</f>
        <v>-9.1708426489499006E-2</v>
      </c>
    </row>
    <row r="179" spans="1:38">
      <c r="A179" s="3" t="str">
        <f>Cotacao!C179</f>
        <v>3/12/2020 16:56:00</v>
      </c>
      <c r="B179" s="6">
        <f>IFERROR(LN(Cotacao!D180/Cotacao!D179),B178)</f>
        <v>9.2373320131015263E-2</v>
      </c>
      <c r="C179" s="6">
        <f>IFERROR(LN(Cotacao!F180/Cotacao!F179),C178)</f>
        <v>5.4046343789769261E-2</v>
      </c>
      <c r="D179" s="6">
        <f>IFERROR(LN(Cotacao!H180/Cotacao!H179),D178)</f>
        <v>9.4604888012481098E-2</v>
      </c>
      <c r="E179" s="6">
        <f>IFERROR(LN(Cotacao!J180/Cotacao!J179),E178)</f>
        <v>0.12917408725556676</v>
      </c>
      <c r="F179" s="6">
        <f>IFERROR(LN(Cotacao!L180/Cotacao!L179),F178)</f>
        <v>0.10221905506820017</v>
      </c>
      <c r="G179" s="6">
        <f>IFERROR(LN(Cotacao!N180/Cotacao!N179),G178)</f>
        <v>9.5604340712461641E-2</v>
      </c>
      <c r="H179" s="6">
        <f>IFERROR(LN(Cotacao!P180/Cotacao!P179),H178)</f>
        <v>0.10465697152538564</v>
      </c>
      <c r="I179" s="6">
        <f>IFERROR(LN(Cotacao!R180/Cotacao!R179),I178)</f>
        <v>9.951386081997346E-2</v>
      </c>
      <c r="J179" s="6">
        <f>IFERROR(LN(Cotacao!T180/Cotacao!T179),J178)</f>
        <v>0.10321535931143819</v>
      </c>
      <c r="K179" s="6">
        <f>IFERROR(LN(Cotacao!V180/Cotacao!V179),K178)</f>
        <v>7.5767723572086346E-2</v>
      </c>
      <c r="L179" s="6">
        <f>IFERROR(LN(Cotacao!X180/Cotacao!X179),L178)</f>
        <v>2.9663191823558855E-2</v>
      </c>
      <c r="M179" s="6">
        <f>IFERROR(LN(Profit!B179/Profit!B178),M178)</f>
        <v>-1.6249735770319285E-2</v>
      </c>
      <c r="N179" s="6">
        <f>IFERROR(LN(Cotacao!AB180/Cotacao!AB179),N178)</f>
        <v>-5.6345783193882441E-2</v>
      </c>
      <c r="O179" s="6">
        <f>IFERROR(LN(Cotacao!AD180/Cotacao!AD179),O178)</f>
        <v>7.9778695210614731E-2</v>
      </c>
      <c r="P179" s="6">
        <f>IFERROR(LN(Cotacao!AF180/Cotacao!AF179),P178)</f>
        <v>9.0322638293285698E-2</v>
      </c>
      <c r="Q179" s="6">
        <f>IFERROR(LN(Cotacao!AH180/Cotacao!AH179),Q178)</f>
        <v>0.19357343359138948</v>
      </c>
      <c r="R179" s="6">
        <f>IFERROR(LN(Cotacao!AJ180/Cotacao!AJ179),R178)</f>
        <v>6.1658611304154766E-2</v>
      </c>
      <c r="S179" s="6">
        <f>IFERROR(LN(Cotacao!AL180/Cotacao!AL179),S178)</f>
        <v>3.8027395589239323E-2</v>
      </c>
      <c r="T179" s="6">
        <f>IFERROR(LN(Cotacao!AN180/Cotacao!AN179),T178)</f>
        <v>2.3119157697506998E-2</v>
      </c>
      <c r="U179" s="6">
        <f>IFERROR(LN(Cotacao!AP180/Cotacao!AP179),U178)</f>
        <v>1.1696039763191236E-2</v>
      </c>
      <c r="V179" s="6">
        <f>IFERROR(LN(Cotacao!AR180/Cotacao!AR179),V178)</f>
        <v>3.7295784743696929E-2</v>
      </c>
      <c r="W179" s="6">
        <f>IFERROR(LN(Cotacao!AT180/Cotacao!AT179),W178)</f>
        <v>2.721237543712814E-2</v>
      </c>
      <c r="X179" s="6">
        <f>IFERROR(LN(Cotacao!AV180/Cotacao!AV179),X178)</f>
        <v>1.4888612493750559E-2</v>
      </c>
      <c r="Y179" s="6">
        <f>IFERROR(LN(Cotacao!AX180/Cotacao!AX179),Y178)</f>
        <v>4.5710346819784501E-3</v>
      </c>
      <c r="Z179" s="6">
        <f>IFERROR(LN(Cotacao!AZ180/Cotacao!AZ179),Z178)</f>
        <v>0.131028262406404</v>
      </c>
      <c r="AA179" s="6">
        <f>IFERROR(LN(Cotacao!BB180/Cotacao!BB179),AA178)</f>
        <v>1.0778818012444527E-2</v>
      </c>
      <c r="AB179" s="6">
        <f>IFERROR(LN(Cotacao!BD180/Cotacao!BD179),AB178)</f>
        <v>0.10919929196499201</v>
      </c>
      <c r="AC179" s="6">
        <f>IFERROR(LN(Cotacao!BF180/Cotacao!BF179),AC178)</f>
        <v>6.5274988582175647E-2</v>
      </c>
      <c r="AD179" s="6">
        <f>IFERROR(LN(Cotacao!BH180/Cotacao!BH179),AD178)</f>
        <v>0.14883151834965841</v>
      </c>
      <c r="AE179" s="6">
        <f>IFERROR(LN(Cotacao!BJ180/Cotacao!BJ179),AE178)</f>
        <v>2.740257538443194E-2</v>
      </c>
      <c r="AF179" s="6">
        <f>IFERROR(LN(Cotacao!BL180/Cotacao!BL179),AF178)</f>
        <v>4.5320949935420754E-2</v>
      </c>
      <c r="AG179" s="6">
        <f>IFERROR(LN(Cotacao!BN180/Cotacao!BN179),AG178)</f>
        <v>0.10270043428686473</v>
      </c>
      <c r="AH179" s="6">
        <f>IFERROR(LN(Cotacao!BP180/Cotacao!BP179),AH178)</f>
        <v>0.20067069546215124</v>
      </c>
      <c r="AI179" s="6">
        <f>IFERROR(LN(Cotacao!BR180/Cotacao!BR179),AI178)</f>
        <v>0.1738943908086901</v>
      </c>
      <c r="AJ179" s="6">
        <f>IFERROR(LN(Profit!C179/Profit!C178),AJ178)</f>
        <v>5.8766084889849707E-3</v>
      </c>
      <c r="AK179" s="6">
        <f>IFERROR(LN(Cotacao!BV180/Cotacao!BV179),AK178)</f>
        <v>0.13022819704810781</v>
      </c>
      <c r="AL179" s="6">
        <f>IFERROR(LN(Cotacao!BX180/Cotacao!BX179),AL178)</f>
        <v>0.13836901331221549</v>
      </c>
    </row>
    <row r="180" spans="1:38">
      <c r="A180" s="3" t="str">
        <f>Cotacao!C180</f>
        <v>3/13/2020 16:56:00</v>
      </c>
      <c r="B180" s="6">
        <f>IFERROR(LN(Cotacao!D181/Cotacao!D180),B179)</f>
        <v>-0.16213453587397589</v>
      </c>
      <c r="C180" s="6">
        <f>IFERROR(LN(Cotacao!F181/Cotacao!F180),C179)</f>
        <v>-9.9905464548977543E-2</v>
      </c>
      <c r="D180" s="6">
        <f>IFERROR(LN(Cotacao!H181/Cotacao!H180),D179)</f>
        <v>-0.10124182735372955</v>
      </c>
      <c r="E180" s="6">
        <f>IFERROR(LN(Cotacao!J181/Cotacao!J180),E179)</f>
        <v>3.5392433935797656E-2</v>
      </c>
      <c r="F180" s="6">
        <f>IFERROR(LN(Cotacao!L181/Cotacao!L180),F179)</f>
        <v>-0.10900710951919931</v>
      </c>
      <c r="G180" s="6">
        <f>IFERROR(LN(Cotacao!N181/Cotacao!N180),G179)</f>
        <v>-0.11411330676742099</v>
      </c>
      <c r="H180" s="6">
        <f>IFERROR(LN(Cotacao!P181/Cotacao!P180),H179)</f>
        <v>-0.10465697152538567</v>
      </c>
      <c r="I180" s="6">
        <f>IFERROR(LN(Cotacao!R181/Cotacao!R180),I179)</f>
        <v>-0.12015390890919965</v>
      </c>
      <c r="J180" s="6">
        <f>IFERROR(LN(Cotacao!T181/Cotacao!T180),J179)</f>
        <v>-9.2950760699555296E-2</v>
      </c>
      <c r="K180" s="6">
        <f>IFERROR(LN(Cotacao!V181/Cotacao!V180),K179)</f>
        <v>-9.9298220982280416E-2</v>
      </c>
      <c r="L180" s="6">
        <f>IFERROR(LN(Cotacao!X181/Cotacao!X180),L179)</f>
        <v>-5.1403178459964748E-2</v>
      </c>
      <c r="M180" s="6">
        <f>IFERROR(LN(Profit!B180/Profit!B179),M179)</f>
        <v>-1.2447595538622963E-2</v>
      </c>
      <c r="N180" s="6">
        <f>IFERROR(LN(Cotacao!AB181/Cotacao!AB180),N179)</f>
        <v>1.7085582587734197E-2</v>
      </c>
      <c r="O180" s="6">
        <f>IFERROR(LN(Cotacao!AD181/Cotacao!AD180),O179)</f>
        <v>-8.8048900859286974E-2</v>
      </c>
      <c r="P180" s="6">
        <f>IFERROR(LN(Cotacao!AF181/Cotacao!AF180),P179)</f>
        <v>-0.24323030988094713</v>
      </c>
      <c r="Q180" s="6">
        <f>IFERROR(LN(Cotacao!AH181/Cotacao!AH180),Q179)</f>
        <v>-9.428506438907952E-2</v>
      </c>
      <c r="R180" s="6">
        <f>IFERROR(LN(Cotacao!AJ181/Cotacao!AJ180),R179)</f>
        <v>-6.5141150929566363E-2</v>
      </c>
      <c r="S180" s="6">
        <f>IFERROR(LN(Cotacao!AL181/Cotacao!AL180),S179)</f>
        <v>-0.12715517548524674</v>
      </c>
      <c r="T180" s="6">
        <f>IFERROR(LN(Cotacao!AN181/Cotacao!AN180),T179)</f>
        <v>-3.6326355126916808E-2</v>
      </c>
      <c r="U180" s="6">
        <f>IFERROR(LN(Cotacao!AP181/Cotacao!AP180),U179)</f>
        <v>-3.8019884049636576E-2</v>
      </c>
      <c r="V180" s="6">
        <f>IFERROR(LN(Cotacao!AR181/Cotacao!AR180),V179)</f>
        <v>-4.2308326567241338E-2</v>
      </c>
      <c r="W180" s="6">
        <f>IFERROR(LN(Cotacao!AT181/Cotacao!AT180),W179)</f>
        <v>-6.0908753086992458E-2</v>
      </c>
      <c r="X180" s="6">
        <f>IFERROR(LN(Cotacao!AV181/Cotacao!AV180),X179)</f>
        <v>-5.5623805225834433E-2</v>
      </c>
      <c r="Y180" s="6">
        <f>IFERROR(LN(Cotacao!AX181/Cotacao!AX180),Y179)</f>
        <v>-4.3650788607482796E-2</v>
      </c>
      <c r="Z180" s="6">
        <f>IFERROR(LN(Cotacao!AZ181/Cotacao!AZ180),Z179)</f>
        <v>-6.6489741268832864E-2</v>
      </c>
      <c r="AA180" s="6">
        <f>IFERROR(LN(Cotacao!BB181/Cotacao!BB180),AA179)</f>
        <v>-6.477393863017808E-2</v>
      </c>
      <c r="AB180" s="6">
        <f>IFERROR(LN(Cotacao!BD181/Cotacao!BD180),AB179)</f>
        <v>-0.21541487394255177</v>
      </c>
      <c r="AC180" s="6">
        <f>IFERROR(LN(Cotacao!BF181/Cotacao!BF180),AC179)</f>
        <v>-0.14145048372347005</v>
      </c>
      <c r="AD180" s="6">
        <f>IFERROR(LN(Cotacao!BH181/Cotacao!BH180),AD179)</f>
        <v>-0.13500186098849748</v>
      </c>
      <c r="AE180" s="6">
        <f>IFERROR(LN(Cotacao!BJ181/Cotacao!BJ180),AE179)</f>
        <v>-2.6803154806358795E-2</v>
      </c>
      <c r="AF180" s="6">
        <f>IFERROR(LN(Cotacao!BL181/Cotacao!BL180),AF179)</f>
        <v>-0.23092060108720661</v>
      </c>
      <c r="AG180" s="6">
        <f>IFERROR(LN(Cotacao!BN181/Cotacao!BN180),AG179)</f>
        <v>-0.17578717942062011</v>
      </c>
      <c r="AH180" s="6">
        <f>IFERROR(LN(Cotacao!BP181/Cotacao!BP180),AH179)</f>
        <v>-0.16251892949777494</v>
      </c>
      <c r="AI180" s="6">
        <f>IFERROR(LN(Cotacao!BR181/Cotacao!BR180),AI179)</f>
        <v>-0.18607793362843039</v>
      </c>
      <c r="AJ180" s="6">
        <f>IFERROR(LN(Profit!C180/Profit!C179),AJ179)</f>
        <v>-2.3716526617316044E-2</v>
      </c>
      <c r="AK180" s="6">
        <f>IFERROR(LN(Cotacao!BV181/Cotacao!BV180),AK179)</f>
        <v>-0.14990847456236497</v>
      </c>
      <c r="AL180" s="6">
        <f>IFERROR(LN(Cotacao!BX181/Cotacao!BX180),AL179)</f>
        <v>-0.16663674726964092</v>
      </c>
    </row>
    <row r="181" spans="1:38">
      <c r="A181" s="3" t="str">
        <f>Cotacao!C181</f>
        <v>3/16/2020 16:56:00</v>
      </c>
      <c r="B181" s="6">
        <f>IFERROR(LN(Cotacao!D182/Cotacao!D181),B180)</f>
        <v>3.6230377695250691E-2</v>
      </c>
      <c r="C181" s="6">
        <f>IFERROR(LN(Cotacao!F182/Cotacao!F181),C180)</f>
        <v>0.10215771775330279</v>
      </c>
      <c r="D181" s="6">
        <f>IFERROR(LN(Cotacao!H182/Cotacao!H181),D180)</f>
        <v>7.2400758764253018E-2</v>
      </c>
      <c r="E181" s="6">
        <f>IFERROR(LN(Cotacao!J182/Cotacao!J181),E180)</f>
        <v>-8.5766821757424949E-2</v>
      </c>
      <c r="F181" s="6">
        <f>IFERROR(LN(Cotacao!L182/Cotacao!L181),F180)</f>
        <v>4.5393572260362329E-2</v>
      </c>
      <c r="G181" s="6">
        <f>IFERROR(LN(Cotacao!N182/Cotacao!N181),G180)</f>
        <v>4.7219071937390847E-2</v>
      </c>
      <c r="H181" s="6">
        <f>IFERROR(LN(Cotacao!P182/Cotacao!P181),H180)</f>
        <v>4.4700178917906772E-2</v>
      </c>
      <c r="I181" s="6">
        <f>IFERROR(LN(Cotacao!R182/Cotacao!R181),I180)</f>
        <v>2.4618173673671463E-2</v>
      </c>
      <c r="J181" s="6">
        <f>IFERROR(LN(Cotacao!T182/Cotacao!T181),J180)</f>
        <v>1.0160306240158068E-2</v>
      </c>
      <c r="K181" s="6">
        <f>IFERROR(LN(Cotacao!V182/Cotacao!V181),K180)</f>
        <v>2.5317807984289786E-2</v>
      </c>
      <c r="L181" s="6">
        <f>IFERROR(LN(Cotacao!X182/Cotacao!X181),L180)</f>
        <v>-9.3845568675237304E-3</v>
      </c>
      <c r="M181" s="6">
        <f>IFERROR(LN(Profit!B181/Profit!B180),M180)</f>
        <v>6.7681897676730564E-4</v>
      </c>
      <c r="N181" s="6">
        <f>IFERROR(LN(Cotacao!AB182/Cotacao!AB181),N180)</f>
        <v>-9.6954241004891639E-2</v>
      </c>
      <c r="O181" s="6">
        <f>IFERROR(LN(Cotacao!AD182/Cotacao!AD181),O180)</f>
        <v>-7.0229424136168478E-2</v>
      </c>
      <c r="P181" s="6">
        <f>IFERROR(LN(Cotacao!AF182/Cotacao!AF181),P180)</f>
        <v>6.3994895138861058E-2</v>
      </c>
      <c r="Q181" s="6">
        <f>IFERROR(LN(Cotacao!AH182/Cotacao!AH181),Q180)</f>
        <v>6.1347600520055667E-2</v>
      </c>
      <c r="R181" s="6">
        <f>IFERROR(LN(Cotacao!AJ182/Cotacao!AJ181),R180)</f>
        <v>9.6745635808011585E-2</v>
      </c>
      <c r="S181" s="6">
        <f>IFERROR(LN(Cotacao!AL182/Cotacao!AL181),S180)</f>
        <v>-1.9251931499321254E-2</v>
      </c>
      <c r="T181" s="6">
        <f>IFERROR(LN(Cotacao!AN182/Cotacao!AN181),T180)</f>
        <v>-9.1749090270423217E-3</v>
      </c>
      <c r="U181" s="6">
        <f>IFERROR(LN(Cotacao!AP182/Cotacao!AP181),U180)</f>
        <v>-3.5291188632358629E-3</v>
      </c>
      <c r="V181" s="6">
        <f>IFERROR(LN(Cotacao!AR182/Cotacao!AR181),V180)</f>
        <v>-3.0196298737199456E-3</v>
      </c>
      <c r="W181" s="6">
        <f>IFERROR(LN(Cotacao!AT182/Cotacao!AT181),W180)</f>
        <v>1.9139340210697506E-2</v>
      </c>
      <c r="X181" s="6">
        <f>IFERROR(LN(Cotacao!AV182/Cotacao!AV181),X180)</f>
        <v>-1.4073043762911176E-2</v>
      </c>
      <c r="Y181" s="6">
        <f>IFERROR(LN(Cotacao!AX182/Cotacao!AX181),Y180)</f>
        <v>-1.0591855871733219E-2</v>
      </c>
      <c r="Z181" s="6">
        <f>IFERROR(LN(Cotacao!AZ182/Cotacao!AZ181),Z180)</f>
        <v>-3.1298930089277044E-3</v>
      </c>
      <c r="AA181" s="6">
        <f>IFERROR(LN(Cotacao!BB182/Cotacao!BB181),AA180)</f>
        <v>-6.8728792877620643E-3</v>
      </c>
      <c r="AB181" s="6">
        <f>IFERROR(LN(Cotacao!BD182/Cotacao!BD181),AB180)</f>
        <v>-5.1788667165688564E-2</v>
      </c>
      <c r="AC181" s="6">
        <f>IFERROR(LN(Cotacao!BF182/Cotacao!BF181),AC180)</f>
        <v>3.5273405179684406E-3</v>
      </c>
      <c r="AD181" s="6">
        <f>IFERROR(LN(Cotacao!BH182/Cotacao!BH181),AD180)</f>
        <v>-2.2822224205069651E-2</v>
      </c>
      <c r="AE181" s="6">
        <f>IFERROR(LN(Cotacao!BJ182/Cotacao!BJ181),AE180)</f>
        <v>-1.1316200974735098E-2</v>
      </c>
      <c r="AF181" s="6">
        <f>IFERROR(LN(Cotacao!BL182/Cotacao!BL181),AF180)</f>
        <v>4.5292105416725202E-2</v>
      </c>
      <c r="AG181" s="6">
        <f>IFERROR(LN(Cotacao!BN182/Cotacao!BN181),AG180)</f>
        <v>3.58050562516763E-2</v>
      </c>
      <c r="AH181" s="6">
        <f>IFERROR(LN(Cotacao!BP182/Cotacao!BP181),AH180)</f>
        <v>-6.8992224602718207E-3</v>
      </c>
      <c r="AI181" s="6">
        <f>IFERROR(LN(Cotacao!BR182/Cotacao!BR181),AI180)</f>
        <v>-5.367303373941499E-2</v>
      </c>
      <c r="AJ181" s="6">
        <f>IFERROR(LN(Profit!C181/Profit!C180),AJ180)</f>
        <v>-1.545210455892161E-2</v>
      </c>
      <c r="AK181" s="6">
        <f>IFERROR(LN(Cotacao!BV182/Cotacao!BV181),AK180)</f>
        <v>4.7327597955354649E-2</v>
      </c>
      <c r="AL181" s="6">
        <f>IFERROR(LN(Cotacao!BX182/Cotacao!BX181),AL180)</f>
        <v>2.0706261256848914E-2</v>
      </c>
    </row>
    <row r="182" spans="1:38">
      <c r="A182" s="3" t="str">
        <f>Cotacao!C182</f>
        <v>3/17/2020 16:56:00</v>
      </c>
      <c r="B182" s="6">
        <f>IFERROR(LN(Cotacao!D183/Cotacao!D182),B181)</f>
        <v>-0.14664249020795492</v>
      </c>
      <c r="C182" s="6">
        <f>IFERROR(LN(Cotacao!F183/Cotacao!F182),C181)</f>
        <v>6.7264827609508126E-3</v>
      </c>
      <c r="D182" s="6">
        <f>IFERROR(LN(Cotacao!H183/Cotacao!H182),D181)</f>
        <v>-6.4623958362622122E-2</v>
      </c>
      <c r="E182" s="6">
        <f>IFERROR(LN(Cotacao!J183/Cotacao!J182),E181)</f>
        <v>-0.30194325074814926</v>
      </c>
      <c r="F182" s="6">
        <f>IFERROR(LN(Cotacao!L183/Cotacao!L182),F181)</f>
        <v>-9.5546894209501604E-2</v>
      </c>
      <c r="G182" s="6">
        <f>IFERROR(LN(Cotacao!N183/Cotacao!N182),G181)</f>
        <v>-5.0521221333149832E-2</v>
      </c>
      <c r="H182" s="6">
        <f>IFERROR(LN(Cotacao!P183/Cotacao!P182),H181)</f>
        <v>-8.9191902327124303E-2</v>
      </c>
      <c r="I182" s="6">
        <f>IFERROR(LN(Cotacao!R183/Cotacao!R182),I181)</f>
        <v>-3.7415891211772974E-2</v>
      </c>
      <c r="J182" s="6">
        <f>IFERROR(LN(Cotacao!T183/Cotacao!T182),J181)</f>
        <v>-0.22392145878245431</v>
      </c>
      <c r="K182" s="6">
        <f>IFERROR(LN(Cotacao!V183/Cotacao!V182),K181)</f>
        <v>-0.14792013007662219</v>
      </c>
      <c r="L182" s="6">
        <f>IFERROR(LN(Cotacao!X183/Cotacao!X182),L181)</f>
        <v>-0.23345723158731216</v>
      </c>
      <c r="M182" s="6">
        <f>IFERROR(LN(Profit!B182/Profit!B181),M181)</f>
        <v>1.0432536148017552E-2</v>
      </c>
      <c r="N182" s="6">
        <f>IFERROR(LN(Cotacao!AB183/Cotacao!AB182),N181)</f>
        <v>2.4582243405336025E-2</v>
      </c>
      <c r="O182" s="6">
        <f>IFERROR(LN(Cotacao!AD183/Cotacao!AD182),O181)</f>
        <v>-0.11806147085239085</v>
      </c>
      <c r="P182" s="6">
        <f>IFERROR(LN(Cotacao!AF183/Cotacao!AF182),P181)</f>
        <v>-0.16774639999098659</v>
      </c>
      <c r="Q182" s="6">
        <f>IFERROR(LN(Cotacao!AH183/Cotacao!AH182),Q181)</f>
        <v>-7.1387587031516431E-2</v>
      </c>
      <c r="R182" s="6">
        <f>IFERROR(LN(Cotacao!AJ183/Cotacao!AJ182),R181)</f>
        <v>-1.29372761587556E-2</v>
      </c>
      <c r="S182" s="6">
        <f>IFERROR(LN(Cotacao!AL183/Cotacao!AL182),S181)</f>
        <v>-9.2721740050222351E-2</v>
      </c>
      <c r="T182" s="6">
        <f>IFERROR(LN(Cotacao!AN183/Cotacao!AN182),T181)</f>
        <v>-0.20964275234004492</v>
      </c>
      <c r="U182" s="6">
        <f>IFERROR(LN(Cotacao!AP183/Cotacao!AP182),U181)</f>
        <v>-9.5310179804324893E-2</v>
      </c>
      <c r="V182" s="6">
        <f>IFERROR(LN(Cotacao!AR183/Cotacao!AR182),V181)</f>
        <v>-5.384323202082316E-2</v>
      </c>
      <c r="W182" s="6">
        <f>IFERROR(LN(Cotacao!AT183/Cotacao!AT182),W181)</f>
        <v>-0.10471827854497975</v>
      </c>
      <c r="X182" s="6">
        <f>IFERROR(LN(Cotacao!AV183/Cotacao!AV182),X181)</f>
        <v>-0.16107010382780226</v>
      </c>
      <c r="Y182" s="6">
        <f>IFERROR(LN(Cotacao!AX183/Cotacao!AX182),Y181)</f>
        <v>-9.7163748453647739E-2</v>
      </c>
      <c r="Z182" s="6">
        <f>IFERROR(LN(Cotacao!AZ183/Cotacao!AZ182),Z181)</f>
        <v>-0.13040149961559505</v>
      </c>
      <c r="AA182" s="6">
        <f>IFERROR(LN(Cotacao!BB183/Cotacao!BB182),AA181)</f>
        <v>-0.21413254848365468</v>
      </c>
      <c r="AB182" s="6">
        <f>IFERROR(LN(Cotacao!BD183/Cotacao!BD182),AB181)</f>
        <v>-0.29310213992112022</v>
      </c>
      <c r="AC182" s="6">
        <f>IFERROR(LN(Cotacao!BF183/Cotacao!BF182),AC181)</f>
        <v>-0.15098667648460165</v>
      </c>
      <c r="AD182" s="6">
        <f>IFERROR(LN(Cotacao!BH183/Cotacao!BH182),AD181)</f>
        <v>-0.10986863603282004</v>
      </c>
      <c r="AE182" s="6">
        <f>IFERROR(LN(Cotacao!BJ183/Cotacao!BJ182),AE181)</f>
        <v>-0.11528615545779616</v>
      </c>
      <c r="AF182" s="6">
        <f>IFERROR(LN(Cotacao!BL183/Cotacao!BL182),AF181)</f>
        <v>-8.0187999492409706E-2</v>
      </c>
      <c r="AG182" s="6">
        <f>IFERROR(LN(Cotacao!BN183/Cotacao!BN182),AG181)</f>
        <v>-8.0230307336407292E-2</v>
      </c>
      <c r="AH182" s="6">
        <f>IFERROR(LN(Cotacao!BP183/Cotacao!BP182),AH181)</f>
        <v>-0.14103197929996616</v>
      </c>
      <c r="AI182" s="6">
        <f>IFERROR(LN(Cotacao!BR183/Cotacao!BR182),AI181)</f>
        <v>-0.35018047047440787</v>
      </c>
      <c r="AJ182" s="6">
        <f>IFERROR(LN(Profit!C182/Profit!C181),AJ181)</f>
        <v>1.8779894651596275E-2</v>
      </c>
      <c r="AK182" s="6">
        <f>IFERROR(LN(Cotacao!BV183/Cotacao!BV182),AK181)</f>
        <v>-0.10924810122083457</v>
      </c>
      <c r="AL182" s="6">
        <f>IFERROR(LN(Cotacao!BX183/Cotacao!BX182),AL181)</f>
        <v>-4.9796362817169315E-2</v>
      </c>
    </row>
    <row r="183" spans="1:38">
      <c r="A183" s="3" t="str">
        <f>Cotacao!C183</f>
        <v>3/18/2020 16:56:00</v>
      </c>
      <c r="B183" s="6">
        <f>IFERROR(LN(Cotacao!D184/Cotacao!D183),B182)</f>
        <v>3.3758479924954454E-2</v>
      </c>
      <c r="C183" s="6">
        <f>IFERROR(LN(Cotacao!F184/Cotacao!F183),C182)</f>
        <v>-9.2817943500293543E-2</v>
      </c>
      <c r="D183" s="6">
        <f>IFERROR(LN(Cotacao!H184/Cotacao!H183),D182)</f>
        <v>-5.1665106255031124E-2</v>
      </c>
      <c r="E183" s="6">
        <f>IFERROR(LN(Cotacao!J184/Cotacao!J183),E182)</f>
        <v>0.15237448042600255</v>
      </c>
      <c r="F183" s="6">
        <f>IFERROR(LN(Cotacao!L184/Cotacao!L183),F182)</f>
        <v>-3.8491812199470357E-2</v>
      </c>
      <c r="G183" s="6">
        <f>IFERROR(LN(Cotacao!N184/Cotacao!N183),G182)</f>
        <v>-3.4776359178745192E-2</v>
      </c>
      <c r="H183" s="6">
        <f>IFERROR(LN(Cotacao!P184/Cotacao!P183),H182)</f>
        <v>2.0018866890491704E-2</v>
      </c>
      <c r="I183" s="6">
        <f>IFERROR(LN(Cotacao!R184/Cotacao!R183),I182)</f>
        <v>-8.6589939882879441E-2</v>
      </c>
      <c r="J183" s="6">
        <f>IFERROR(LN(Cotacao!T184/Cotacao!T183),J182)</f>
        <v>4.0977624432638422E-2</v>
      </c>
      <c r="K183" s="6">
        <f>IFERROR(LN(Cotacao!V184/Cotacao!V183),K182)</f>
        <v>5.0464793925909121E-2</v>
      </c>
      <c r="L183" s="6">
        <f>IFERROR(LN(Cotacao!X184/Cotacao!X183),L182)</f>
        <v>8.6484009540410273E-3</v>
      </c>
      <c r="M183" s="6">
        <f>IFERROR(LN(Profit!B183/Profit!B182),M182)</f>
        <v>2.2837332070301183E-2</v>
      </c>
      <c r="N183" s="6">
        <f>IFERROR(LN(Cotacao!AB184/Cotacao!AB183),N182)</f>
        <v>-6.0891414269685362E-3</v>
      </c>
      <c r="O183" s="6">
        <f>IFERROR(LN(Cotacao!AD184/Cotacao!AD183),O182)</f>
        <v>-3.3987978364296574E-2</v>
      </c>
      <c r="P183" s="6">
        <f>IFERROR(LN(Cotacao!AF184/Cotacao!AF183),P182)</f>
        <v>9.9685277930866109E-2</v>
      </c>
      <c r="Q183" s="6">
        <f>IFERROR(LN(Cotacao!AH184/Cotacao!AH183),Q182)</f>
        <v>-5.9978000390735989E-2</v>
      </c>
      <c r="R183" s="6">
        <f>IFERROR(LN(Cotacao!AJ184/Cotacao!AJ183),R182)</f>
        <v>6.8376212876034473E-2</v>
      </c>
      <c r="S183" s="6">
        <f>IFERROR(LN(Cotacao!AL184/Cotacao!AL183),S182)</f>
        <v>0.12669528337490354</v>
      </c>
      <c r="T183" s="6">
        <f>IFERROR(LN(Cotacao!AN184/Cotacao!AN183),T182)</f>
        <v>-2.6092873073192503E-2</v>
      </c>
      <c r="U183" s="6">
        <f>IFERROR(LN(Cotacao!AP184/Cotacao!AP183),U182)</f>
        <v>-2.8170876966696335E-2</v>
      </c>
      <c r="V183" s="6">
        <f>IFERROR(LN(Cotacao!AR184/Cotacao!AR183),V182)</f>
        <v>-4.9056156989194313E-2</v>
      </c>
      <c r="W183" s="6">
        <f>IFERROR(LN(Cotacao!AT184/Cotacao!AT183),W182)</f>
        <v>-2.1500713881035485E-2</v>
      </c>
      <c r="X183" s="6">
        <f>IFERROR(LN(Cotacao!AV184/Cotacao!AV183),X182)</f>
        <v>-2.8318620189244782E-2</v>
      </c>
      <c r="Y183" s="6">
        <f>IFERROR(LN(Cotacao!AX184/Cotacao!AX183),Y182)</f>
        <v>-8.5157808340306826E-2</v>
      </c>
      <c r="Z183" s="6">
        <f>IFERROR(LN(Cotacao!AZ184/Cotacao!AZ183),Z182)</f>
        <v>7.1174677688639549E-3</v>
      </c>
      <c r="AA183" s="6">
        <f>IFERROR(LN(Cotacao!BB184/Cotacao!BB183),AA182)</f>
        <v>0.10192874749836411</v>
      </c>
      <c r="AB183" s="6">
        <f>IFERROR(LN(Cotacao!BD184/Cotacao!BD183),AB182)</f>
        <v>0.11078058312716557</v>
      </c>
      <c r="AC183" s="6">
        <f>IFERROR(LN(Cotacao!BF184/Cotacao!BF183),AC182)</f>
        <v>5.806800095014119E-2</v>
      </c>
      <c r="AD183" s="6">
        <f>IFERROR(LN(Cotacao!BH184/Cotacao!BH183),AD182)</f>
        <v>8.181525741302589E-3</v>
      </c>
      <c r="AE183" s="6">
        <f>IFERROR(LN(Cotacao!BJ184/Cotacao!BJ183),AE182)</f>
        <v>4.953477789501573E-2</v>
      </c>
      <c r="AF183" s="6">
        <f>IFERROR(LN(Cotacao!BL184/Cotacao!BL183),AF182)</f>
        <v>8.1929856752188404E-2</v>
      </c>
      <c r="AG183" s="6">
        <f>IFERROR(LN(Cotacao!BN184/Cotacao!BN183),AG182)</f>
        <v>-8.8807810742840276E-3</v>
      </c>
      <c r="AH183" s="6">
        <f>IFERROR(LN(Cotacao!BP184/Cotacao!BP183),AH182)</f>
        <v>7.8337909961042881E-2</v>
      </c>
      <c r="AI183" s="6">
        <f>IFERROR(LN(Cotacao!BR184/Cotacao!BR183),AI182)</f>
        <v>0.13365215827891733</v>
      </c>
      <c r="AJ183" s="6">
        <f>IFERROR(LN(Profit!C183/Profit!C182),AJ182)</f>
        <v>3.5251691874800345E-2</v>
      </c>
      <c r="AK183" s="6">
        <f>IFERROR(LN(Cotacao!BV184/Cotacao!BV183),AK182)</f>
        <v>4.6287915197548449E-2</v>
      </c>
      <c r="AL183" s="6">
        <f>IFERROR(LN(Cotacao!BX184/Cotacao!BX183),AL182)</f>
        <v>-2.7960873020013203E-3</v>
      </c>
    </row>
    <row r="184" spans="1:38">
      <c r="A184" s="3" t="str">
        <f>Cotacao!C184</f>
        <v>3/19/2020 16:56:00</v>
      </c>
      <c r="B184" s="6">
        <f>IFERROR(LN(Cotacao!D185/Cotacao!D184),B183)</f>
        <v>-2.5211419346496056E-2</v>
      </c>
      <c r="C184" s="6">
        <f>IFERROR(LN(Cotacao!F185/Cotacao!F184),C183)</f>
        <v>8.16993509496062E-4</v>
      </c>
      <c r="D184" s="6">
        <f>IFERROR(LN(Cotacao!H185/Cotacao!H184),D183)</f>
        <v>-3.7398957052340788E-2</v>
      </c>
      <c r="E184" s="6">
        <f>IFERROR(LN(Cotacao!J185/Cotacao!J184),E183)</f>
        <v>3.9220713153281329E-2</v>
      </c>
      <c r="F184" s="6">
        <f>IFERROR(LN(Cotacao!L185/Cotacao!L184),F183)</f>
        <v>-3.0919673679975165E-2</v>
      </c>
      <c r="G184" s="6">
        <f>IFERROR(LN(Cotacao!N185/Cotacao!N184),G183)</f>
        <v>-5.2736296080943115E-2</v>
      </c>
      <c r="H184" s="6">
        <f>IFERROR(LN(Cotacao!P185/Cotacao!P184),H183)</f>
        <v>-5.0819248396212886E-2</v>
      </c>
      <c r="I184" s="6">
        <f>IFERROR(LN(Cotacao!R185/Cotacao!R184),I183)</f>
        <v>-3.4870637903281515E-2</v>
      </c>
      <c r="J184" s="6">
        <f>IFERROR(LN(Cotacao!T185/Cotacao!T184),J183)</f>
        <v>7.6372978784573956E-2</v>
      </c>
      <c r="K184" s="6">
        <f>IFERROR(LN(Cotacao!V185/Cotacao!V184),K183)</f>
        <v>-6.5063593347062007E-2</v>
      </c>
      <c r="L184" s="6">
        <f>IFERROR(LN(Cotacao!X185/Cotacao!X184),L183)</f>
        <v>8.643250577230735E-2</v>
      </c>
      <c r="M184" s="6">
        <f>IFERROR(LN(Profit!B184/Profit!B183),M183)</f>
        <v>-1.0857155506953023E-2</v>
      </c>
      <c r="N184" s="6">
        <f>IFERROR(LN(Cotacao!AB185/Cotacao!AB184),N183)</f>
        <v>-3.3882405407767123E-2</v>
      </c>
      <c r="O184" s="6">
        <f>IFERROR(LN(Cotacao!AD185/Cotacao!AD184),O183)</f>
        <v>-9.7993118797379444E-2</v>
      </c>
      <c r="P184" s="6">
        <f>IFERROR(LN(Cotacao!AF185/Cotacao!AF184),P183)</f>
        <v>3.9377412615227383E-2</v>
      </c>
      <c r="Q184" s="6">
        <f>IFERROR(LN(Cotacao!AH185/Cotacao!AH184),Q183)</f>
        <v>-3.3806823309201185E-2</v>
      </c>
      <c r="R184" s="6">
        <f>IFERROR(LN(Cotacao!AJ185/Cotacao!AJ184),R183)</f>
        <v>-0.1161101318984149</v>
      </c>
      <c r="S184" s="6">
        <f>IFERROR(LN(Cotacao!AL185/Cotacao!AL184),S183)</f>
        <v>-8.7201184335744003E-2</v>
      </c>
      <c r="T184" s="6">
        <f>IFERROR(LN(Cotacao!AN185/Cotacao!AN184),T183)</f>
        <v>4.4208736899934552E-3</v>
      </c>
      <c r="U184" s="6">
        <f>IFERROR(LN(Cotacao!AP185/Cotacao!AP184),U183)</f>
        <v>3.5918563757522295E-2</v>
      </c>
      <c r="V184" s="6">
        <f>IFERROR(LN(Cotacao!AR185/Cotacao!AR184),V183)</f>
        <v>1.3318731840281437E-2</v>
      </c>
      <c r="W184" s="6">
        <f>IFERROR(LN(Cotacao!AT185/Cotacao!AT184),W183)</f>
        <v>7.0676222827312396E-2</v>
      </c>
      <c r="X184" s="6">
        <f>IFERROR(LN(Cotacao!AV185/Cotacao!AV184),X183)</f>
        <v>6.1775398717754157E-2</v>
      </c>
      <c r="Y184" s="6">
        <f>IFERROR(LN(Cotacao!AX185/Cotacao!AX184),Y183)</f>
        <v>6.9215069021473119E-2</v>
      </c>
      <c r="Z184" s="6">
        <f>IFERROR(LN(Cotacao!AZ185/Cotacao!AZ184),Z183)</f>
        <v>5.1825067864586155E-2</v>
      </c>
      <c r="AA184" s="6">
        <f>IFERROR(LN(Cotacao!BB185/Cotacao!BB184),AA183)</f>
        <v>4.8124944300768198E-2</v>
      </c>
      <c r="AB184" s="6">
        <f>IFERROR(LN(Cotacao!BD185/Cotacao!BD184),AB183)</f>
        <v>9.7764168765891432E-2</v>
      </c>
      <c r="AC184" s="6">
        <f>IFERROR(LN(Cotacao!BF185/Cotacao!BF184),AC183)</f>
        <v>-7.9592010695234819E-2</v>
      </c>
      <c r="AD184" s="6">
        <f>IFERROR(LN(Cotacao!BH185/Cotacao!BH184),AD183)</f>
        <v>0.12188981760903679</v>
      </c>
      <c r="AE184" s="6">
        <f>IFERROR(LN(Cotacao!BJ185/Cotacao!BJ184),AE183)</f>
        <v>2.8779984642810719E-2</v>
      </c>
      <c r="AF184" s="6">
        <f>IFERROR(LN(Cotacao!BL185/Cotacao!BL184),AF183)</f>
        <v>0.11929019494695479</v>
      </c>
      <c r="AG184" s="6">
        <f>IFERROR(LN(Cotacao!BN185/Cotacao!BN184),AG183)</f>
        <v>-2.1555050686018454E-3</v>
      </c>
      <c r="AH184" s="6">
        <f>IFERROR(LN(Cotacao!BP185/Cotacao!BP184),AH183)</f>
        <v>-1.734863833461309E-2</v>
      </c>
      <c r="AI184" s="6">
        <f>IFERROR(LN(Cotacao!BR185/Cotacao!BR184),AI183)</f>
        <v>4.7057794620695884E-2</v>
      </c>
      <c r="AJ184" s="6">
        <f>IFERROR(LN(Profit!C184/Profit!C183),AJ183)</f>
        <v>1.1479717905261913E-2</v>
      </c>
      <c r="AK184" s="6">
        <f>IFERROR(LN(Cotacao!BV185/Cotacao!BV184),AK183)</f>
        <v>-4.5394823657273896E-2</v>
      </c>
      <c r="AL184" s="6">
        <f>IFERROR(LN(Cotacao!BX185/Cotacao!BX184),AL183)</f>
        <v>-1.6129381929883529E-2</v>
      </c>
    </row>
    <row r="185" spans="1:38">
      <c r="A185" s="3" t="str">
        <f>Cotacao!C185</f>
        <v>3/20/2020 16:56:00</v>
      </c>
      <c r="B185" s="6">
        <f>IFERROR(LN(Cotacao!D186/Cotacao!D185),B184)</f>
        <v>-6.3234407324756936E-2</v>
      </c>
      <c r="C185" s="6">
        <f>IFERROR(LN(Cotacao!F186/Cotacao!F185),C184)</f>
        <v>-8.9203912103082206E-2</v>
      </c>
      <c r="D185" s="6">
        <f>IFERROR(LN(Cotacao!H186/Cotacao!H185),D184)</f>
        <v>-5.5562735008630924E-2</v>
      </c>
      <c r="E185" s="6">
        <f>IFERROR(LN(Cotacao!J186/Cotacao!J185),E184)</f>
        <v>3.7740327982847113E-2</v>
      </c>
      <c r="F185" s="6">
        <f>IFERROR(LN(Cotacao!L186/Cotacao!L185),F184)</f>
        <v>-3.8411550034870075E-2</v>
      </c>
      <c r="G185" s="6">
        <f>IFERROR(LN(Cotacao!N186/Cotacao!N185),G184)</f>
        <v>-9.8564567055554622E-2</v>
      </c>
      <c r="H185" s="6">
        <f>IFERROR(LN(Cotacao!P186/Cotacao!P185),H184)</f>
        <v>-6.8654404738078129E-2</v>
      </c>
      <c r="I185" s="6">
        <f>IFERROR(LN(Cotacao!R186/Cotacao!R185),I184)</f>
        <v>-7.6751638978521011E-2</v>
      </c>
      <c r="J185" s="6">
        <f>IFERROR(LN(Cotacao!T186/Cotacao!T185),J184)</f>
        <v>-0.10959862641289445</v>
      </c>
      <c r="K185" s="6">
        <f>IFERROR(LN(Cotacao!V186/Cotacao!V185),K184)</f>
        <v>-0.17896584894698225</v>
      </c>
      <c r="L185" s="6">
        <f>IFERROR(LN(Cotacao!X186/Cotacao!X185),L184)</f>
        <v>-0.1004187477470473</v>
      </c>
      <c r="M185" s="6">
        <f>IFERROR(LN(Profit!B185/Profit!B184),M184)</f>
        <v>-4.6419181494128502E-3</v>
      </c>
      <c r="N185" s="6">
        <f>IFERROR(LN(Cotacao!AB186/Cotacao!AB185),N184)</f>
        <v>3.6654794208741605E-2</v>
      </c>
      <c r="O185" s="6">
        <f>IFERROR(LN(Cotacao!AD186/Cotacao!AD185),O184)</f>
        <v>4.2003374585629354E-2</v>
      </c>
      <c r="P185" s="6">
        <f>IFERROR(LN(Cotacao!AF186/Cotacao!AF185),P184)</f>
        <v>-4.9909985115120667E-2</v>
      </c>
      <c r="Q185" s="6">
        <f>IFERROR(LN(Cotacao!AH186/Cotacao!AH185),Q184)</f>
        <v>-3.1464567044022604E-2</v>
      </c>
      <c r="R185" s="6">
        <f>IFERROR(LN(Cotacao!AJ186/Cotacao!AJ185),R184)</f>
        <v>-8.1198033026095504E-2</v>
      </c>
      <c r="S185" s="6">
        <f>IFERROR(LN(Cotacao!AL186/Cotacao!AL185),S184)</f>
        <v>-0.14432816035473986</v>
      </c>
      <c r="T185" s="6">
        <f>IFERROR(LN(Cotacao!AN186/Cotacao!AN185),T184)</f>
        <v>-5.8430662125901839E-2</v>
      </c>
      <c r="U185" s="6">
        <f>IFERROR(LN(Cotacao!AP186/Cotacao!AP185),U184)</f>
        <v>-3.2495856480019993E-2</v>
      </c>
      <c r="V185" s="6">
        <f>IFERROR(LN(Cotacao!AR186/Cotacao!AR185),V184)</f>
        <v>-6.1382902623457643E-2</v>
      </c>
      <c r="W185" s="6">
        <f>IFERROR(LN(Cotacao!AT186/Cotacao!AT185),W184)</f>
        <v>-5.9873401047414336E-2</v>
      </c>
      <c r="X185" s="6">
        <f>IFERROR(LN(Cotacao!AV186/Cotacao!AV185),X184)</f>
        <v>-3.035920248437516E-2</v>
      </c>
      <c r="Y185" s="6">
        <f>IFERROR(LN(Cotacao!AX186/Cotacao!AX185),Y184)</f>
        <v>-9.1687924873531695E-2</v>
      </c>
      <c r="Z185" s="6">
        <f>IFERROR(LN(Cotacao!AZ186/Cotacao!AZ185),Z184)</f>
        <v>-5.8942535633450088E-2</v>
      </c>
      <c r="AA185" s="6">
        <f>IFERROR(LN(Cotacao!BB186/Cotacao!BB185),AA184)</f>
        <v>-1.9377717583099415E-2</v>
      </c>
      <c r="AB185" s="6">
        <f>IFERROR(LN(Cotacao!BD186/Cotacao!BD185),AB184)</f>
        <v>-0.1431008436406733</v>
      </c>
      <c r="AC185" s="6">
        <f>IFERROR(LN(Cotacao!BF186/Cotacao!BF185),AC184)</f>
        <v>4.175371410480592E-3</v>
      </c>
      <c r="AD185" s="6">
        <f>IFERROR(LN(Cotacao!BH186/Cotacao!BH185),AD184)</f>
        <v>2.044530084015074E-2</v>
      </c>
      <c r="AE185" s="6">
        <f>IFERROR(LN(Cotacao!BJ186/Cotacao!BJ185),AE184)</f>
        <v>-7.7030919896507677E-2</v>
      </c>
      <c r="AF185" s="6">
        <f>IFERROR(LN(Cotacao!BL186/Cotacao!BL185),AF184)</f>
        <v>8.3814014665898676E-2</v>
      </c>
      <c r="AG185" s="6">
        <f>IFERROR(LN(Cotacao!BN186/Cotacao!BN185),AG184)</f>
        <v>-6.3306235091306118E-2</v>
      </c>
      <c r="AH185" s="6">
        <f>IFERROR(LN(Cotacao!BP186/Cotacao!BP185),AH184)</f>
        <v>-4.2559614418795889E-2</v>
      </c>
      <c r="AI185" s="6">
        <f>IFERROR(LN(Cotacao!BR186/Cotacao!BR185),AI184)</f>
        <v>-4.2840158676492247E-2</v>
      </c>
      <c r="AJ185" s="6">
        <f>IFERROR(LN(Profit!C185/Profit!C184),AJ184)</f>
        <v>1.9005390579741393E-3</v>
      </c>
      <c r="AK185" s="6">
        <f>IFERROR(LN(Cotacao!BV186/Cotacao!BV185),AK184)</f>
        <v>-5.1880886757528291E-2</v>
      </c>
      <c r="AL185" s="6">
        <f>IFERROR(LN(Cotacao!BX186/Cotacao!BX185),AL184)</f>
        <v>-3.1801151827666546E-2</v>
      </c>
    </row>
    <row r="186" spans="1:38">
      <c r="A186" s="3" t="str">
        <f>Cotacao!C186</f>
        <v>3/23/2020 16:56:00</v>
      </c>
      <c r="B186" s="6">
        <f>IFERROR(LN(Cotacao!D187/Cotacao!D186),B185)</f>
        <v>4.4333501015556498E-2</v>
      </c>
      <c r="C186" s="6">
        <f>IFERROR(LN(Cotacao!F187/Cotacao!F186),C185)</f>
        <v>9.8147061139524663E-2</v>
      </c>
      <c r="D186" s="6">
        <f>IFERROR(LN(Cotacao!H187/Cotacao!H186),D185)</f>
        <v>-5.5445686597741829E-3</v>
      </c>
      <c r="E186" s="6">
        <f>IFERROR(LN(Cotacao!J187/Cotacao!J186),E185)</f>
        <v>2.4660924951934683E-3</v>
      </c>
      <c r="F186" s="6">
        <f>IFERROR(LN(Cotacao!L187/Cotacao!L186),F185)</f>
        <v>2.0811658924685915E-2</v>
      </c>
      <c r="G186" s="6">
        <f>IFERROR(LN(Cotacao!N187/Cotacao!N186),G185)</f>
        <v>6.9258440470055166E-2</v>
      </c>
      <c r="H186" s="6">
        <f>IFERROR(LN(Cotacao!P187/Cotacao!P186),H185)</f>
        <v>4.1268595286899488E-2</v>
      </c>
      <c r="I186" s="6">
        <f>IFERROR(LN(Cotacao!R187/Cotacao!R186),I185)</f>
        <v>4.0620969290911892E-2</v>
      </c>
      <c r="J186" s="6">
        <f>IFERROR(LN(Cotacao!T187/Cotacao!T186),J185)</f>
        <v>0.14945129315525046</v>
      </c>
      <c r="K186" s="6">
        <f>IFERROR(LN(Cotacao!V187/Cotacao!V186),K185)</f>
        <v>1.2484556662245277E-2</v>
      </c>
      <c r="L186" s="6">
        <f>IFERROR(LN(Cotacao!X187/Cotacao!X186),L185)</f>
        <v>6.8053463245015572E-2</v>
      </c>
      <c r="M186" s="6">
        <f>IFERROR(LN(Profit!B186/Profit!B185),M185)</f>
        <v>8.9330618854753501E-3</v>
      </c>
      <c r="N186" s="6">
        <f>IFERROR(LN(Cotacao!AB187/Cotacao!AB186),N185)</f>
        <v>5.5465089748817011E-2</v>
      </c>
      <c r="O186" s="6">
        <f>IFERROR(LN(Cotacao!AD187/Cotacao!AD186),O185)</f>
        <v>2.7053047471710039E-2</v>
      </c>
      <c r="P186" s="6">
        <f>IFERROR(LN(Cotacao!AF187/Cotacao!AF186),P185)</f>
        <v>6.3802956558617216E-2</v>
      </c>
      <c r="Q186" s="6">
        <f>IFERROR(LN(Cotacao!AH187/Cotacao!AH186),Q185)</f>
        <v>9.8769930427707736E-2</v>
      </c>
      <c r="R186" s="6">
        <f>IFERROR(LN(Cotacao!AJ187/Cotacao!AJ186),R185)</f>
        <v>6.4384592845465537E-4</v>
      </c>
      <c r="S186" s="6">
        <f>IFERROR(LN(Cotacao!AL187/Cotacao!AL186),S185)</f>
        <v>-1.3245226750020567E-2</v>
      </c>
      <c r="T186" s="6">
        <f>IFERROR(LN(Cotacao!AN187/Cotacao!AN186),T185)</f>
        <v>4.6449156467458411E-2</v>
      </c>
      <c r="U186" s="6">
        <f>IFERROR(LN(Cotacao!AP187/Cotacao!AP186),U185)</f>
        <v>2.4970367223715557E-2</v>
      </c>
      <c r="V186" s="6">
        <f>IFERROR(LN(Cotacao!AR187/Cotacao!AR186),V185)</f>
        <v>4.9180865483251443E-2</v>
      </c>
      <c r="W186" s="6">
        <f>IFERROR(LN(Cotacao!AT187/Cotacao!AT186),W185)</f>
        <v>6.1875403718087453E-2</v>
      </c>
      <c r="X186" s="6">
        <f>IFERROR(LN(Cotacao!AV187/Cotacao!AV186),X185)</f>
        <v>2.0408871631207033E-2</v>
      </c>
      <c r="Y186" s="6">
        <f>IFERROR(LN(Cotacao!AX187/Cotacao!AX186),Y185)</f>
        <v>1.9691212890181681E-2</v>
      </c>
      <c r="Z186" s="6">
        <f>IFERROR(LN(Cotacao!AZ187/Cotacao!AZ186),Z185)</f>
        <v>6.8992871486951421E-2</v>
      </c>
      <c r="AA186" s="6">
        <f>IFERROR(LN(Cotacao!BB187/Cotacao!BB186),AA185)</f>
        <v>4.8365254456351821E-2</v>
      </c>
      <c r="AB186" s="6">
        <f>IFERROR(LN(Cotacao!BD187/Cotacao!BD186),AB185)</f>
        <v>5.7158413839948623E-2</v>
      </c>
      <c r="AC186" s="6">
        <f>IFERROR(LN(Cotacao!BF187/Cotacao!BF186),AC185)</f>
        <v>7.2320661579626078E-2</v>
      </c>
      <c r="AD186" s="6">
        <f>IFERROR(LN(Cotacao!BH187/Cotacao!BH186),AD185)</f>
        <v>4.9203093449691093E-2</v>
      </c>
      <c r="AE186" s="6">
        <f>IFERROR(LN(Cotacao!BJ187/Cotacao!BJ186),AE185)</f>
        <v>4.7891287704414851E-2</v>
      </c>
      <c r="AF186" s="6">
        <f>IFERROR(LN(Cotacao!BL187/Cotacao!BL186),AF185)</f>
        <v>2.413813517111979E-2</v>
      </c>
      <c r="AG186" s="6">
        <f>IFERROR(LN(Cotacao!BN187/Cotacao!BN186),AG185)</f>
        <v>0.17600719127033848</v>
      </c>
      <c r="AH186" s="6">
        <f>IFERROR(LN(Cotacao!BP187/Cotacao!BP186),AH185)</f>
        <v>0.14165051706302684</v>
      </c>
      <c r="AI186" s="6">
        <f>IFERROR(LN(Cotacao!BR187/Cotacao!BR186),AI185)</f>
        <v>9.5463213701631675E-2</v>
      </c>
      <c r="AJ186" s="6">
        <f>IFERROR(LN(Profit!C186/Profit!C185),AJ185)</f>
        <v>-1.4663954187014237E-2</v>
      </c>
      <c r="AK186" s="6">
        <f>IFERROR(LN(Cotacao!BV187/Cotacao!BV186),AK185)</f>
        <v>9.2484919193719234E-2</v>
      </c>
      <c r="AL186" s="6">
        <f>IFERROR(LN(Cotacao!BX187/Cotacao!BX186),AL185)</f>
        <v>4.7930533757550062E-2</v>
      </c>
    </row>
    <row r="187" spans="1:38">
      <c r="A187" s="3" t="str">
        <f>Cotacao!C187</f>
        <v>3/24/2020 16:56:00</v>
      </c>
      <c r="B187" s="6">
        <f>IFERROR(LN(Cotacao!D188/Cotacao!D187),B186)</f>
        <v>0.15773735116341617</v>
      </c>
      <c r="C187" s="6">
        <f>IFERROR(LN(Cotacao!F188/Cotacao!F187),C186)</f>
        <v>7.1445008903542676E-2</v>
      </c>
      <c r="D187" s="6">
        <f>IFERROR(LN(Cotacao!H188/Cotacao!H187),D186)</f>
        <v>1.2105410983955782E-2</v>
      </c>
      <c r="E187" s="6">
        <f>IFERROR(LN(Cotacao!J188/Cotacao!J187),E186)</f>
        <v>8.9471402830492319E-2</v>
      </c>
      <c r="F187" s="6">
        <f>IFERROR(LN(Cotacao!L188/Cotacao!L187),F186)</f>
        <v>3.695087503271173E-2</v>
      </c>
      <c r="G187" s="6">
        <f>IFERROR(LN(Cotacao!N188/Cotacao!N187),G186)</f>
        <v>6.4770836157781994E-2</v>
      </c>
      <c r="H187" s="6">
        <f>IFERROR(LN(Cotacao!P188/Cotacao!P187),H186)</f>
        <v>5.3118223417656506E-2</v>
      </c>
      <c r="I187" s="6">
        <f>IFERROR(LN(Cotacao!R188/Cotacao!R187),I186)</f>
        <v>8.4394364927328797E-2</v>
      </c>
      <c r="J187" s="6">
        <f>IFERROR(LN(Cotacao!T188/Cotacao!T187),J186)</f>
        <v>8.5208700220518394E-2</v>
      </c>
      <c r="K187" s="6">
        <f>IFERROR(LN(Cotacao!V188/Cotacao!V187),K186)</f>
        <v>5.7847451281941471E-2</v>
      </c>
      <c r="L187" s="6">
        <f>IFERROR(LN(Cotacao!X188/Cotacao!X187),L186)</f>
        <v>0.10601819407679715</v>
      </c>
      <c r="M187" s="6">
        <f>IFERROR(LN(Profit!B187/Profit!B186),M186)</f>
        <v>2.3030113814504812E-3</v>
      </c>
      <c r="N187" s="6">
        <f>IFERROR(LN(Cotacao!AB188/Cotacao!AB187),N186)</f>
        <v>6.3916274150947874E-2</v>
      </c>
      <c r="O187" s="6">
        <f>IFERROR(LN(Cotacao!AD188/Cotacao!AD187),O186)</f>
        <v>5.7899538901663723E-2</v>
      </c>
      <c r="P187" s="6">
        <f>IFERROR(LN(Cotacao!AF188/Cotacao!AF187),P186)</f>
        <v>0.17103663451878381</v>
      </c>
      <c r="Q187" s="6">
        <f>IFERROR(LN(Cotacao!AH188/Cotacao!AH187),Q186)</f>
        <v>8.1839506588832975E-2</v>
      </c>
      <c r="R187" s="6">
        <f>IFERROR(LN(Cotacao!AJ188/Cotacao!AJ187),R186)</f>
        <v>1.0245553870813719E-2</v>
      </c>
      <c r="S187" s="6">
        <f>IFERROR(LN(Cotacao!AL188/Cotacao!AL187),S186)</f>
        <v>0.1013524942602875</v>
      </c>
      <c r="T187" s="6">
        <f>IFERROR(LN(Cotacao!AN188/Cotacao!AN187),T186)</f>
        <v>9.1107638541510647E-2</v>
      </c>
      <c r="U187" s="6">
        <f>IFERROR(LN(Cotacao!AP188/Cotacao!AP187),U186)</f>
        <v>2.3168755256054004E-2</v>
      </c>
      <c r="V187" s="6">
        <f>IFERROR(LN(Cotacao!AR188/Cotacao!AR187),V186)</f>
        <v>2.8604810581663417E-2</v>
      </c>
      <c r="W187" s="6">
        <f>IFERROR(LN(Cotacao!AT188/Cotacao!AT187),W186)</f>
        <v>3.4401426717332317E-2</v>
      </c>
      <c r="X187" s="6">
        <f>IFERROR(LN(Cotacao!AV188/Cotacao!AV187),X186)</f>
        <v>5.9982704601710408E-2</v>
      </c>
      <c r="Y187" s="6">
        <f>IFERROR(LN(Cotacao!AX188/Cotacao!AX187),Y186)</f>
        <v>7.2618602550656455E-2</v>
      </c>
      <c r="Z187" s="6">
        <f>IFERROR(LN(Cotacao!AZ188/Cotacao!AZ187),Z186)</f>
        <v>1.3245226750020723E-2</v>
      </c>
      <c r="AA187" s="6">
        <f>IFERROR(LN(Cotacao!BB188/Cotacao!BB187),AA186)</f>
        <v>8.5587745058787953E-2</v>
      </c>
      <c r="AB187" s="6">
        <f>IFERROR(LN(Cotacao!BD188/Cotacao!BD187),AB186)</f>
        <v>0.24428598788801892</v>
      </c>
      <c r="AC187" s="6">
        <f>IFERROR(LN(Cotacao!BF188/Cotacao!BF187),AC186)</f>
        <v>0.20909179785855939</v>
      </c>
      <c r="AD187" s="6">
        <f>IFERROR(LN(Cotacao!BH188/Cotacao!BH187),AD186)</f>
        <v>-2.948235256450718E-2</v>
      </c>
      <c r="AE187" s="6">
        <f>IFERROR(LN(Cotacao!BJ188/Cotacao!BJ187),AE186)</f>
        <v>6.8801006559271585E-2</v>
      </c>
      <c r="AF187" s="6">
        <f>IFERROR(LN(Cotacao!BL188/Cotacao!BL187),AF186)</f>
        <v>3.5416395585470627E-2</v>
      </c>
      <c r="AG187" s="6">
        <f>IFERROR(LN(Cotacao!BN188/Cotacao!BN187),AG186)</f>
        <v>6.6069296025631372E-2</v>
      </c>
      <c r="AH187" s="6">
        <f>IFERROR(LN(Cotacao!BP188/Cotacao!BP187),AH186)</f>
        <v>7.7659609100268284E-2</v>
      </c>
      <c r="AI187" s="6">
        <f>IFERROR(LN(Cotacao!BR188/Cotacao!BR187),AI186)</f>
        <v>0.27980877205906851</v>
      </c>
      <c r="AJ187" s="6">
        <f>IFERROR(LN(Profit!C187/Profit!C186),AJ186)</f>
        <v>-3.8610086574595425E-3</v>
      </c>
      <c r="AK187" s="6">
        <f>IFERROR(LN(Cotacao!BV188/Cotacao!BV187),AK186)</f>
        <v>7.227493553635024E-2</v>
      </c>
      <c r="AL187" s="6">
        <f>IFERROR(LN(Cotacao!BX188/Cotacao!BX187),AL186)</f>
        <v>-8.003201707691552E-4</v>
      </c>
    </row>
    <row r="188" spans="1:38">
      <c r="A188" s="3" t="str">
        <f>Cotacao!C188</f>
        <v>3/25/2020 16:56:00</v>
      </c>
      <c r="B188" s="6">
        <f>IFERROR(LN(Cotacao!D189/Cotacao!D188),B187)</f>
        <v>4.7731402821190025E-2</v>
      </c>
      <c r="C188" s="6">
        <f>IFERROR(LN(Cotacao!F189/Cotacao!F188),C187)</f>
        <v>3.7671878388634305E-4</v>
      </c>
      <c r="D188" s="6">
        <f>IFERROR(LN(Cotacao!H189/Cotacao!H188),D187)</f>
        <v>7.6030565072368647E-2</v>
      </c>
      <c r="E188" s="6">
        <f>IFERROR(LN(Cotacao!J189/Cotacao!J188),E187)</f>
        <v>1.4533514616167758E-2</v>
      </c>
      <c r="F188" s="6">
        <f>IFERROR(LN(Cotacao!L189/Cotacao!L188),F187)</f>
        <v>9.711304622780928E-2</v>
      </c>
      <c r="G188" s="6">
        <f>IFERROR(LN(Cotacao!N189/Cotacao!N188),G187)</f>
        <v>4.207556387446889E-2</v>
      </c>
      <c r="H188" s="6">
        <f>IFERROR(LN(Cotacao!P189/Cotacao!P188),H187)</f>
        <v>6.1792259384095174E-2</v>
      </c>
      <c r="I188" s="6">
        <f>IFERROR(LN(Cotacao!R189/Cotacao!R188),I187)</f>
        <v>9.0055519370857928E-2</v>
      </c>
      <c r="J188" s="6">
        <f>IFERROR(LN(Cotacao!T189/Cotacao!T188),J187)</f>
        <v>8.3442675776723804E-2</v>
      </c>
      <c r="K188" s="6">
        <f>IFERROR(LN(Cotacao!V189/Cotacao!V188),K187)</f>
        <v>0.1437251608140655</v>
      </c>
      <c r="L188" s="6">
        <f>IFERROR(LN(Cotacao!X189/Cotacao!X188),L187)</f>
        <v>8.471090255147809E-2</v>
      </c>
      <c r="M188" s="6">
        <f>IFERROR(LN(Profit!B188/Profit!B187),M187)</f>
        <v>2.6255348196986546E-3</v>
      </c>
      <c r="N188" s="6">
        <f>IFERROR(LN(Cotacao!AB189/Cotacao!AB188),N187)</f>
        <v>-3.0433877883268623E-2</v>
      </c>
      <c r="O188" s="6">
        <f>IFERROR(LN(Cotacao!AD189/Cotacao!AD188),O187)</f>
        <v>7.9848928000417638E-2</v>
      </c>
      <c r="P188" s="6">
        <f>IFERROR(LN(Cotacao!AF189/Cotacao!AF188),P187)</f>
        <v>8.6391029575194775E-2</v>
      </c>
      <c r="Q188" s="6">
        <f>IFERROR(LN(Cotacao!AH189/Cotacao!AH188),Q187)</f>
        <v>2.7762796977356476E-2</v>
      </c>
      <c r="R188" s="6">
        <f>IFERROR(LN(Cotacao!AJ189/Cotacao!AJ188),R187)</f>
        <v>3.9147201458762715E-2</v>
      </c>
      <c r="S188" s="6">
        <f>IFERROR(LN(Cotacao!AL189/Cotacao!AL188),S187)</f>
        <v>5.8496206681608626E-2</v>
      </c>
      <c r="T188" s="6">
        <f>IFERROR(LN(Cotacao!AN189/Cotacao!AN188),T187)</f>
        <v>7.0666966396406891E-2</v>
      </c>
      <c r="U188" s="6">
        <f>IFERROR(LN(Cotacao!AP189/Cotacao!AP188),U187)</f>
        <v>2.2219558461476711E-2</v>
      </c>
      <c r="V188" s="6">
        <f>IFERROR(LN(Cotacao!AR189/Cotacao!AR188),V187)</f>
        <v>5.0750847940834433E-2</v>
      </c>
      <c r="W188" s="6">
        <f>IFERROR(LN(Cotacao!AT189/Cotacao!AT188),W187)</f>
        <v>-1.5098924462834987E-2</v>
      </c>
      <c r="X188" s="6">
        <f>IFERROR(LN(Cotacao!AV189/Cotacao!AV188),X187)</f>
        <v>4.5377811056115762E-2</v>
      </c>
      <c r="Y188" s="6">
        <f>IFERROR(LN(Cotacao!AX189/Cotacao!AX188),Y187)</f>
        <v>2.7491384371782449E-2</v>
      </c>
      <c r="Z188" s="6">
        <f>IFERROR(LN(Cotacao!AZ189/Cotacao!AZ188),Z187)</f>
        <v>1.3072081567352701E-2</v>
      </c>
      <c r="AA188" s="6">
        <f>IFERROR(LN(Cotacao!BB189/Cotacao!BB188),AA187)</f>
        <v>4.0981971232183216E-2</v>
      </c>
      <c r="AB188" s="6">
        <f>IFERROR(LN(Cotacao!BD189/Cotacao!BD188),AB187)</f>
        <v>9.3406505138423204E-2</v>
      </c>
      <c r="AC188" s="6">
        <f>IFERROR(LN(Cotacao!BF189/Cotacao!BF188),AC187)</f>
        <v>-3.14960890289622E-3</v>
      </c>
      <c r="AD188" s="6">
        <f>IFERROR(LN(Cotacao!BH189/Cotacao!BH188),AD187)</f>
        <v>4.4657150583742297E-2</v>
      </c>
      <c r="AE188" s="6">
        <f>IFERROR(LN(Cotacao!BJ189/Cotacao!BJ188),AE187)</f>
        <v>1.9552395171654448E-2</v>
      </c>
      <c r="AF188" s="6">
        <f>IFERROR(LN(Cotacao!BL189/Cotacao!BL188),AF187)</f>
        <v>1.5668890480997125E-2</v>
      </c>
      <c r="AG188" s="6">
        <f>IFERROR(LN(Cotacao!BN189/Cotacao!BN188),AG187)</f>
        <v>-3.8744721075585223E-3</v>
      </c>
      <c r="AH188" s="6">
        <f>IFERROR(LN(Cotacao!BP189/Cotacao!BP188),AH187)</f>
        <v>4.8763593667769355E-3</v>
      </c>
      <c r="AI188" s="6">
        <f>IFERROR(LN(Cotacao!BR189/Cotacao!BR188),AI187)</f>
        <v>9.0619665526032289E-2</v>
      </c>
      <c r="AJ188" s="6">
        <f>IFERROR(LN(Profit!C188/Profit!C187),AJ187)</f>
        <v>0</v>
      </c>
      <c r="AK188" s="6">
        <f>IFERROR(LN(Cotacao!BV189/Cotacao!BV188),AK187)</f>
        <v>3.6084035972196539E-2</v>
      </c>
      <c r="AL188" s="6">
        <f>IFERROR(LN(Cotacao!BX189/Cotacao!BX188),AL187)</f>
        <v>9.1372018355156015E-2</v>
      </c>
    </row>
    <row r="189" spans="1:38">
      <c r="A189" s="3" t="str">
        <f>Cotacao!C189</f>
        <v>3/26/2020 16:56:00</v>
      </c>
      <c r="B189" s="6">
        <f>IFERROR(LN(Cotacao!D190/Cotacao!D189),B188)</f>
        <v>-2.2858138076050208E-2</v>
      </c>
      <c r="C189" s="6">
        <f>IFERROR(LN(Cotacao!F190/Cotacao!F189),C188)</f>
        <v>-8.0356630137266571E-2</v>
      </c>
      <c r="D189" s="6">
        <f>IFERROR(LN(Cotacao!H190/Cotacao!H189),D188)</f>
        <v>-5.3784432975826461E-2</v>
      </c>
      <c r="E189" s="6">
        <f>IFERROR(LN(Cotacao!J190/Cotacao!J189),E188)</f>
        <v>4.4296860915882582E-3</v>
      </c>
      <c r="F189" s="6">
        <f>IFERROR(LN(Cotacao!L190/Cotacao!L189),F188)</f>
        <v>-3.797924806521645E-2</v>
      </c>
      <c r="G189" s="6">
        <f>IFERROR(LN(Cotacao!N190/Cotacao!N189),G188)</f>
        <v>-5.4933718817837519E-2</v>
      </c>
      <c r="H189" s="6">
        <f>IFERROR(LN(Cotacao!P190/Cotacao!P189),H188)</f>
        <v>-3.8057690204373745E-2</v>
      </c>
      <c r="I189" s="6">
        <f>IFERROR(LN(Cotacao!R190/Cotacao!R189),I188)</f>
        <v>-1.2745520485866061E-2</v>
      </c>
      <c r="J189" s="6">
        <f>IFERROR(LN(Cotacao!T190/Cotacao!T189),J188)</f>
        <v>-4.5985113241823382E-2</v>
      </c>
      <c r="K189" s="6">
        <f>IFERROR(LN(Cotacao!V190/Cotacao!V189),K188)</f>
        <v>-3.299268315434889E-2</v>
      </c>
      <c r="L189" s="6">
        <f>IFERROR(LN(Cotacao!X190/Cotacao!X189),L188)</f>
        <v>8.0602934120006395E-2</v>
      </c>
      <c r="M189" s="6">
        <f>IFERROR(LN(Profit!B189/Profit!B188),M188)</f>
        <v>-2.2539900201921193E-2</v>
      </c>
      <c r="N189" s="6">
        <f>IFERROR(LN(Cotacao!AB190/Cotacao!AB189),N188)</f>
        <v>-1.8921556586430938E-2</v>
      </c>
      <c r="O189" s="6">
        <f>IFERROR(LN(Cotacao!AD190/Cotacao!AD189),O188)</f>
        <v>1.4621268554182068E-2</v>
      </c>
      <c r="P189" s="6">
        <f>IFERROR(LN(Cotacao!AF190/Cotacao!AF189),P188)</f>
        <v>-5.9906041371570184E-3</v>
      </c>
      <c r="Q189" s="6">
        <f>IFERROR(LN(Cotacao!AH190/Cotacao!AH189),Q188)</f>
        <v>-4.6293283970844749E-2</v>
      </c>
      <c r="R189" s="6">
        <f>IFERROR(LN(Cotacao!AJ190/Cotacao!AJ189),R188)</f>
        <v>-1.8341575487273883E-2</v>
      </c>
      <c r="S189" s="6">
        <f>IFERROR(LN(Cotacao!AL190/Cotacao!AL189),S188)</f>
        <v>-7.0617567213953528E-2</v>
      </c>
      <c r="T189" s="6">
        <f>IFERROR(LN(Cotacao!AN190/Cotacao!AN189),T188)</f>
        <v>-2.4079601014632733E-3</v>
      </c>
      <c r="U189" s="6">
        <f>IFERROR(LN(Cotacao!AP190/Cotacao!AP189),U188)</f>
        <v>-6.3897980987711218E-3</v>
      </c>
      <c r="V189" s="6">
        <f>IFERROR(LN(Cotacao!AR190/Cotacao!AR189),V188)</f>
        <v>2.3434592547744222E-2</v>
      </c>
      <c r="W189" s="6">
        <f>IFERROR(LN(Cotacao!AT190/Cotacao!AT189),W188)</f>
        <v>2.7571541614095068E-2</v>
      </c>
      <c r="X189" s="6">
        <f>IFERROR(LN(Cotacao!AV190/Cotacao!AV189),X188)</f>
        <v>2.3361349913173818E-2</v>
      </c>
      <c r="Y189" s="6">
        <f>IFERROR(LN(Cotacao!AX190/Cotacao!AX189),Y188)</f>
        <v>8.0321716972642527E-3</v>
      </c>
      <c r="Z189" s="6">
        <f>IFERROR(LN(Cotacao!AZ190/Cotacao!AZ189),Z188)</f>
        <v>-2.2989518224698833E-2</v>
      </c>
      <c r="AA189" s="6">
        <f>IFERROR(LN(Cotacao!BB190/Cotacao!BB189),AA188)</f>
        <v>1.2508762762667894E-2</v>
      </c>
      <c r="AB189" s="6">
        <f>IFERROR(LN(Cotacao!BD190/Cotacao!BD189),AB188)</f>
        <v>-4.9209459378456631E-2</v>
      </c>
      <c r="AC189" s="6">
        <f>IFERROR(LN(Cotacao!BF190/Cotacao!BF189),AC188)</f>
        <v>2.5204802253351527E-3</v>
      </c>
      <c r="AD189" s="6">
        <f>IFERROR(LN(Cotacao!BH190/Cotacao!BH189),AD188)</f>
        <v>-5.5423562371887711E-2</v>
      </c>
      <c r="AE189" s="6">
        <f>IFERROR(LN(Cotacao!BJ190/Cotacao!BJ189),AE188)</f>
        <v>-8.2000194958245995E-3</v>
      </c>
      <c r="AF189" s="6">
        <f>IFERROR(LN(Cotacao!BL190/Cotacao!BL189),AF188)</f>
        <v>-7.0688266072196346E-2</v>
      </c>
      <c r="AG189" s="6">
        <f>IFERROR(LN(Cotacao!BN190/Cotacao!BN189),AG188)</f>
        <v>-4.5805492302410183E-2</v>
      </c>
      <c r="AH189" s="6">
        <f>IFERROR(LN(Cotacao!BP190/Cotacao!BP189),AH188)</f>
        <v>-7.8769485671568398E-2</v>
      </c>
      <c r="AI189" s="6">
        <f>IFERROR(LN(Cotacao!BR190/Cotacao!BR189),AI188)</f>
        <v>-4.4836026949451317E-2</v>
      </c>
      <c r="AJ189" s="6">
        <f>IFERROR(LN(Profit!C189/Profit!C188),AJ188)</f>
        <v>-1.0369503155241339E-2</v>
      </c>
      <c r="AK189" s="6">
        <f>IFERROR(LN(Cotacao!BV190/Cotacao!BV189),AK188)</f>
        <v>-5.6663617107554097E-2</v>
      </c>
      <c r="AL189" s="6">
        <f>IFERROR(LN(Cotacao!BX190/Cotacao!BX189),AL188)</f>
        <v>-3.1548357734926008E-2</v>
      </c>
    </row>
    <row r="190" spans="1:38">
      <c r="A190" s="3" t="str">
        <f>Cotacao!C190</f>
        <v>3/27/2020 16:56:00</v>
      </c>
      <c r="B190" s="6">
        <f>IFERROR(LN(Cotacao!D191/Cotacao!D190),B189)</f>
        <v>-1.5289704481082148E-2</v>
      </c>
      <c r="C190" s="6">
        <f>IFERROR(LN(Cotacao!F191/Cotacao!F190),C189)</f>
        <v>1.1767228496417755E-2</v>
      </c>
      <c r="D190" s="6">
        <f>IFERROR(LN(Cotacao!H191/Cotacao!H190),D189)</f>
        <v>1.8000232485528529E-2</v>
      </c>
      <c r="E190" s="6">
        <f>IFERROR(LN(Cotacao!J191/Cotacao!J190),E189)</f>
        <v>-2.5742887693134819E-2</v>
      </c>
      <c r="F190" s="6">
        <f>IFERROR(LN(Cotacao!L191/Cotacao!L190),F189)</f>
        <v>4.9711398688752878E-2</v>
      </c>
      <c r="G190" s="6">
        <f>IFERROR(LN(Cotacao!N191/Cotacao!N190),G189)</f>
        <v>3.6955706522429119E-2</v>
      </c>
      <c r="H190" s="6">
        <f>IFERROR(LN(Cotacao!P191/Cotacao!P190),H189)</f>
        <v>2.9335436913483844E-2</v>
      </c>
      <c r="I190" s="6">
        <f>IFERROR(LN(Cotacao!R191/Cotacao!R190),I189)</f>
        <v>-5.5379295391021502E-2</v>
      </c>
      <c r="J190" s="6">
        <f>IFERROR(LN(Cotacao!T191/Cotacao!T190),J189)</f>
        <v>-4.2048236243499508E-2</v>
      </c>
      <c r="K190" s="6">
        <f>IFERROR(LN(Cotacao!V191/Cotacao!V190),K189)</f>
        <v>3.5019026299581354E-2</v>
      </c>
      <c r="L190" s="6">
        <f>IFERROR(LN(Cotacao!X191/Cotacao!X190),L189)</f>
        <v>-1.2110350853001604E-2</v>
      </c>
      <c r="M190" s="6">
        <f>IFERROR(LN(Profit!B190/Profit!B189),M189)</f>
        <v>1.0051935843872824E-3</v>
      </c>
      <c r="N190" s="6">
        <f>IFERROR(LN(Cotacao!AB191/Cotacao!AB190),N189)</f>
        <v>-2.0866693471981747E-2</v>
      </c>
      <c r="O190" s="6">
        <f>IFERROR(LN(Cotacao!AD191/Cotacao!AD190),O189)</f>
        <v>1.5163292803345366E-2</v>
      </c>
      <c r="P190" s="6">
        <f>IFERROR(LN(Cotacao!AF191/Cotacao!AF190),P189)</f>
        <v>3.9963256811837364E-2</v>
      </c>
      <c r="Q190" s="6">
        <f>IFERROR(LN(Cotacao!AH191/Cotacao!AH190),Q189)</f>
        <v>4.0802044196560569E-2</v>
      </c>
      <c r="R190" s="6">
        <f>IFERROR(LN(Cotacao!AJ191/Cotacao!AJ190),R189)</f>
        <v>1.8954007883674455E-2</v>
      </c>
      <c r="S190" s="6">
        <f>IFERROR(LN(Cotacao!AL191/Cotacao!AL190),S189)</f>
        <v>7.290433262679274E-3</v>
      </c>
      <c r="T190" s="6">
        <f>IFERROR(LN(Cotacao!AN191/Cotacao!AN190),T189)</f>
        <v>-3.941267577195498E-3</v>
      </c>
      <c r="U190" s="6">
        <f>IFERROR(LN(Cotacao!AP191/Cotacao!AP190),U189)</f>
        <v>2.5317807984290001E-2</v>
      </c>
      <c r="V190" s="6">
        <f>IFERROR(LN(Cotacao!AR191/Cotacao!AR190),V189)</f>
        <v>2.5846369177552297E-2</v>
      </c>
      <c r="W190" s="6">
        <f>IFERROR(LN(Cotacao!AT191/Cotacao!AT190),W189)</f>
        <v>-1.7315241627048186E-2</v>
      </c>
      <c r="X190" s="6">
        <f>IFERROR(LN(Cotacao!AV191/Cotacao!AV190),X189)</f>
        <v>3.790477732459803E-2</v>
      </c>
      <c r="Y190" s="6">
        <f>IFERROR(LN(Cotacao!AX191/Cotacao!AX190),Y189)</f>
        <v>2.9073247485707165E-2</v>
      </c>
      <c r="Z190" s="6">
        <f>IFERROR(LN(Cotacao!AZ191/Cotacao!AZ190),Z189)</f>
        <v>-3.3277900926745796E-3</v>
      </c>
      <c r="AA190" s="6">
        <f>IFERROR(LN(Cotacao!BB191/Cotacao!BB190),AA189)</f>
        <v>-1.1816699442711857E-2</v>
      </c>
      <c r="AB190" s="6">
        <f>IFERROR(LN(Cotacao!BD191/Cotacao!BD190),AB189)</f>
        <v>-7.1340357606913152E-2</v>
      </c>
      <c r="AC190" s="6">
        <f>IFERROR(LN(Cotacao!BF191/Cotacao!BF190),AC189)</f>
        <v>-1.8419066293133297E-2</v>
      </c>
      <c r="AD190" s="6">
        <f>IFERROR(LN(Cotacao!BH191/Cotacao!BH190),AD189)</f>
        <v>-2.2310766226804534E-3</v>
      </c>
      <c r="AE190" s="6">
        <f>IFERROR(LN(Cotacao!BJ191/Cotacao!BJ190),AE189)</f>
        <v>1.6137350025628515E-2</v>
      </c>
      <c r="AF190" s="6">
        <f>IFERROR(LN(Cotacao!BL191/Cotacao!BL190),AF189)</f>
        <v>-3.8632650801726842E-2</v>
      </c>
      <c r="AG190" s="6">
        <f>IFERROR(LN(Cotacao!BN191/Cotacao!BN190),AG189)</f>
        <v>2.4353956023173951E-3</v>
      </c>
      <c r="AH190" s="6">
        <f>IFERROR(LN(Cotacao!BP191/Cotacao!BP190),AH189)</f>
        <v>5.9970194723742657E-3</v>
      </c>
      <c r="AI190" s="6">
        <f>IFERROR(LN(Cotacao!BR191/Cotacao!BR190),AI189)</f>
        <v>-6.2698594215564049E-2</v>
      </c>
      <c r="AJ190" s="6">
        <f>IFERROR(LN(Profit!C190/Profit!C189),AJ189)</f>
        <v>-1.3037811494833809E-3</v>
      </c>
      <c r="AK190" s="6">
        <f>IFERROR(LN(Cotacao!BV191/Cotacao!BV190),AK189)</f>
        <v>1.6353632878228649E-2</v>
      </c>
      <c r="AL190" s="6">
        <f>IFERROR(LN(Cotacao!BX191/Cotacao!BX190),AL189)</f>
        <v>1.0129518238855576E-2</v>
      </c>
    </row>
    <row r="191" spans="1:38">
      <c r="A191" s="3" t="str">
        <f>Cotacao!C191</f>
        <v>3/30/2020 16:56:00</v>
      </c>
      <c r="B191" s="6">
        <f>IFERROR(LN(Cotacao!D192/Cotacao!D191),B190)</f>
        <v>-2.9030695199579161E-2</v>
      </c>
      <c r="C191" s="6">
        <f>IFERROR(LN(Cotacao!F192/Cotacao!F191),C190)</f>
        <v>2.4174064955386218E-3</v>
      </c>
      <c r="D191" s="6">
        <f>IFERROR(LN(Cotacao!H192/Cotacao!H191),D190)</f>
        <v>-2.2358654972587624E-2</v>
      </c>
      <c r="E191" s="6">
        <f>IFERROR(LN(Cotacao!J192/Cotacao!J191),E190)</f>
        <v>3.6732009268729944E-2</v>
      </c>
      <c r="F191" s="6">
        <f>IFERROR(LN(Cotacao!L192/Cotacao!L191),F190)</f>
        <v>-6.1406203955940975E-4</v>
      </c>
      <c r="G191" s="6">
        <f>IFERROR(LN(Cotacao!N192/Cotacao!N191),G190)</f>
        <v>-5.6850636346083058E-3</v>
      </c>
      <c r="H191" s="6">
        <f>IFERROR(LN(Cotacao!P192/Cotacao!P191),H190)</f>
        <v>-3.3403239132809591E-2</v>
      </c>
      <c r="I191" s="6">
        <f>IFERROR(LN(Cotacao!R192/Cotacao!R191),I190)</f>
        <v>-5.0038231184410926E-2</v>
      </c>
      <c r="J191" s="6">
        <f>IFERROR(LN(Cotacao!T192/Cotacao!T191),J190)</f>
        <v>-6.3312279414326725E-2</v>
      </c>
      <c r="K191" s="6">
        <f>IFERROR(LN(Cotacao!V192/Cotacao!V191),K190)</f>
        <v>-2.6668247082161523E-2</v>
      </c>
      <c r="L191" s="6">
        <f>IFERROR(LN(Cotacao!X192/Cotacao!X191),L190)</f>
        <v>1.4214665472897056E-2</v>
      </c>
      <c r="M191" s="6">
        <f>IFERROR(LN(Profit!B191/Profit!B190),M190)</f>
        <v>-3.6491687486959877E-2</v>
      </c>
      <c r="N191" s="6">
        <f>IFERROR(LN(Cotacao!AB192/Cotacao!AB191),N190)</f>
        <v>-3.9241799300737512E-2</v>
      </c>
      <c r="O191" s="6">
        <f>IFERROR(LN(Cotacao!AD192/Cotacao!AD191),O190)</f>
        <v>-1.2874089209211011E-2</v>
      </c>
      <c r="P191" s="6">
        <f>IFERROR(LN(Cotacao!AF192/Cotacao!AF191),P190)</f>
        <v>-1.0362787035546547E-2</v>
      </c>
      <c r="Q191" s="6">
        <f>IFERROR(LN(Cotacao!AH192/Cotacao!AH191),Q190)</f>
        <v>3.4124972569655812E-2</v>
      </c>
      <c r="R191" s="6">
        <f>IFERROR(LN(Cotacao!AJ192/Cotacao!AJ191),R190)</f>
        <v>3.2131278182793196E-2</v>
      </c>
      <c r="S191" s="6">
        <f>IFERROR(LN(Cotacao!AL192/Cotacao!AL191),S190)</f>
        <v>-1.4634407518437696E-2</v>
      </c>
      <c r="T191" s="6">
        <f>IFERROR(LN(Cotacao!AN192/Cotacao!AN191),T190)</f>
        <v>-6.133420709852384E-3</v>
      </c>
      <c r="U191" s="6">
        <f>IFERROR(LN(Cotacao!AP192/Cotacao!AP191),U190)</f>
        <v>1.0362787035546658E-2</v>
      </c>
      <c r="V191" s="6">
        <f>IFERROR(LN(Cotacao!AR192/Cotacao!AR191),V190)</f>
        <v>-2.9484050842975454E-3</v>
      </c>
      <c r="W191" s="6">
        <f>IFERROR(LN(Cotacao!AT192/Cotacao!AT191),W190)</f>
        <v>2.9180683912112372E-3</v>
      </c>
      <c r="X191" s="6">
        <f>IFERROR(LN(Cotacao!AV192/Cotacao!AV191),X190)</f>
        <v>1.6704505099708961E-2</v>
      </c>
      <c r="Y191" s="6">
        <f>IFERROR(LN(Cotacao!AX192/Cotacao!AX191),Y190)</f>
        <v>1.0147465667574143E-2</v>
      </c>
      <c r="Z191" s="6">
        <f>IFERROR(LN(Cotacao!AZ192/Cotacao!AZ191),Z190)</f>
        <v>0</v>
      </c>
      <c r="AA191" s="6">
        <f>IFERROR(LN(Cotacao!BB192/Cotacao!BB191),AA190)</f>
        <v>-5.9927635586047344E-3</v>
      </c>
      <c r="AB191" s="6">
        <f>IFERROR(LN(Cotacao!BD192/Cotacao!BD191),AB190)</f>
        <v>-0.10316554412236727</v>
      </c>
      <c r="AC191" s="6">
        <f>IFERROR(LN(Cotacao!BF192/Cotacao!BF191),AC190)</f>
        <v>7.6628727455690972E-3</v>
      </c>
      <c r="AD191" s="6">
        <f>IFERROR(LN(Cotacao!BH192/Cotacao!BH191),AD190)</f>
        <v>-7.4157062750427924E-2</v>
      </c>
      <c r="AE191" s="6">
        <f>IFERROR(LN(Cotacao!BJ192/Cotacao!BJ191),AE190)</f>
        <v>6.317798719682563E-3</v>
      </c>
      <c r="AF191" s="6">
        <f>IFERROR(LN(Cotacao!BL192/Cotacao!BL191),AF190)</f>
        <v>-1.3315775975772175E-2</v>
      </c>
      <c r="AG191" s="6">
        <f>IFERROR(LN(Cotacao!BN192/Cotacao!BN191),AG190)</f>
        <v>-3.0180617149991287E-2</v>
      </c>
      <c r="AH191" s="6">
        <f>IFERROR(LN(Cotacao!BP192/Cotacao!BP191),AH190)</f>
        <v>4.4581733977307365E-2</v>
      </c>
      <c r="AI191" s="6">
        <f>IFERROR(LN(Cotacao!BR192/Cotacao!BR191),AI190)</f>
        <v>-1.7804624633506707E-2</v>
      </c>
      <c r="AJ191" s="6">
        <f>IFERROR(LN(Profit!C191/Profit!C190),AJ190)</f>
        <v>-4.1964199099032193E-2</v>
      </c>
      <c r="AK191" s="6">
        <f>IFERROR(LN(Cotacao!BV192/Cotacao!BV191),AK190)</f>
        <v>-2.1939500289630941E-2</v>
      </c>
      <c r="AL191" s="6">
        <f>IFERROR(LN(Cotacao!BX192/Cotacao!BX191),AL190)</f>
        <v>3.353832098431458E-3</v>
      </c>
    </row>
    <row r="192" spans="1:38">
      <c r="A192" s="3" t="str">
        <f>Cotacao!C192</f>
        <v>3/31/2020 16:56:00</v>
      </c>
      <c r="B192" s="6">
        <f>IFERROR(LN(Cotacao!D193/Cotacao!D192),B191)</f>
        <v>-3.7711278904427055E-2</v>
      </c>
      <c r="C192" s="6">
        <f>IFERROR(LN(Cotacao!F193/Cotacao!F192),C191)</f>
        <v>-3.2307041996104971E-2</v>
      </c>
      <c r="D192" s="6">
        <f>IFERROR(LN(Cotacao!H193/Cotacao!H192),D191)</f>
        <v>-1.8672741705274731E-2</v>
      </c>
      <c r="E192" s="6">
        <f>IFERROR(LN(Cotacao!J193/Cotacao!J192),E191)</f>
        <v>-8.3144051033194638E-2</v>
      </c>
      <c r="F192" s="6">
        <f>IFERROR(LN(Cotacao!L193/Cotacao!L192),F191)</f>
        <v>-4.9097336649193343E-2</v>
      </c>
      <c r="G192" s="6">
        <f>IFERROR(LN(Cotacao!N193/Cotacao!N192),G191)</f>
        <v>-5.9912218851205012E-2</v>
      </c>
      <c r="H192" s="6">
        <f>IFERROR(LN(Cotacao!P193/Cotacao!P192),H191)</f>
        <v>-6.1644163111206483E-2</v>
      </c>
      <c r="I192" s="6">
        <f>IFERROR(LN(Cotacao!R193/Cotacao!R192),I191)</f>
        <v>-1.9574603124629636E-2</v>
      </c>
      <c r="J192" s="6">
        <f>IFERROR(LN(Cotacao!T193/Cotacao!T192),J191)</f>
        <v>-0.10681400428580945</v>
      </c>
      <c r="K192" s="6">
        <f>IFERROR(LN(Cotacao!V193/Cotacao!V192),K191)</f>
        <v>-3.3829864518404758E-2</v>
      </c>
      <c r="L192" s="6">
        <f>IFERROR(LN(Cotacao!X193/Cotacao!X192),L191)</f>
        <v>-4.4101473578836634E-2</v>
      </c>
      <c r="M192" s="6">
        <f>IFERROR(LN(Profit!B192/Profit!B191),M191)</f>
        <v>-8.7214925753941724E-3</v>
      </c>
      <c r="N192" s="6">
        <f>IFERROR(LN(Cotacao!AB193/Cotacao!AB192),N191)</f>
        <v>4.3450116926524784E-2</v>
      </c>
      <c r="O192" s="6">
        <f>IFERROR(LN(Cotacao!AD193/Cotacao!AD192),O191)</f>
        <v>-2.0793972174714112E-2</v>
      </c>
      <c r="P192" s="6">
        <f>IFERROR(LN(Cotacao!AF193/Cotacao!AF192),P191)</f>
        <v>-2.1053409197832381E-2</v>
      </c>
      <c r="Q192" s="6">
        <f>IFERROR(LN(Cotacao!AH193/Cotacao!AH192),Q191)</f>
        <v>3.4646067685349682E-3</v>
      </c>
      <c r="R192" s="6">
        <f>IFERROR(LN(Cotacao!AJ193/Cotacao!AJ192),R191)</f>
        <v>-9.9305682026007997E-3</v>
      </c>
      <c r="S192" s="6">
        <f>IFERROR(LN(Cotacao!AL193/Cotacao!AL192),S191)</f>
        <v>-2.4876904755404557E-2</v>
      </c>
      <c r="T192" s="6">
        <f>IFERROR(LN(Cotacao!AN193/Cotacao!AN192),T191)</f>
        <v>-1.3159782224826515E-2</v>
      </c>
      <c r="U192" s="6">
        <f>IFERROR(LN(Cotacao!AP193/Cotacao!AP192),U191)</f>
        <v>-1.0309809793143771E-4</v>
      </c>
      <c r="V192" s="6">
        <f>IFERROR(LN(Cotacao!AR193/Cotacao!AR192),V191)</f>
        <v>-5.9230183031221675E-3</v>
      </c>
      <c r="W192" s="6">
        <f>IFERROR(LN(Cotacao!AT193/Cotacao!AT192),W191)</f>
        <v>1.4196769564916115E-2</v>
      </c>
      <c r="X192" s="6">
        <f>IFERROR(LN(Cotacao!AV193/Cotacao!AV192),X191)</f>
        <v>-1.2864090735900771E-2</v>
      </c>
      <c r="Y192" s="6">
        <f>IFERROR(LN(Cotacao!AX193/Cotacao!AX192),Y191)</f>
        <v>-1.9418085857101627E-2</v>
      </c>
      <c r="Z192" s="6">
        <f>IFERROR(LN(Cotacao!AZ193/Cotacao!AZ192),Z191)</f>
        <v>-2.7028672387919374E-2</v>
      </c>
      <c r="AA192" s="6">
        <f>IFERROR(LN(Cotacao!BB193/Cotacao!BB192),AA191)</f>
        <v>-2.5958836247997694E-2</v>
      </c>
      <c r="AB192" s="6">
        <f>IFERROR(LN(Cotacao!BD193/Cotacao!BD192),AB191)</f>
        <v>-6.7020148830934087E-2</v>
      </c>
      <c r="AC192" s="6">
        <f>IFERROR(LN(Cotacao!BF193/Cotacao!BF192),AC191)</f>
        <v>-6.369070421523175E-2</v>
      </c>
      <c r="AD192" s="6">
        <f>IFERROR(LN(Cotacao!BH193/Cotacao!BH192),AD191)</f>
        <v>-5.5825161112303949E-2</v>
      </c>
      <c r="AE192" s="6">
        <f>IFERROR(LN(Cotacao!BJ193/Cotacao!BJ192),AE191)</f>
        <v>-2.0465098337300855E-2</v>
      </c>
      <c r="AF192" s="6">
        <f>IFERROR(LN(Cotacao!BL193/Cotacao!BL192),AF191)</f>
        <v>-3.4548890672716943E-2</v>
      </c>
      <c r="AG192" s="6">
        <f>IFERROR(LN(Cotacao!BN193/Cotacao!BN192),AG191)</f>
        <v>-3.5439569858320981E-2</v>
      </c>
      <c r="AH192" s="6">
        <f>IFERROR(LN(Cotacao!BP193/Cotacao!BP192),AH191)</f>
        <v>2.1916748588471795E-2</v>
      </c>
      <c r="AI192" s="6">
        <f>IFERROR(LN(Cotacao!BR193/Cotacao!BR192),AI191)</f>
        <v>-1.3261194941383685E-2</v>
      </c>
      <c r="AJ192" s="6">
        <f>IFERROR(LN(Profit!C192/Profit!C191),AJ191)</f>
        <v>-1.4388737452099556E-2</v>
      </c>
      <c r="AK192" s="6">
        <f>IFERROR(LN(Cotacao!BV193/Cotacao!BV192),AK191)</f>
        <v>-2.8519336516041403E-2</v>
      </c>
      <c r="AL192" s="6">
        <f>IFERROR(LN(Cotacao!BX193/Cotacao!BX192),AL191)</f>
        <v>-3.7139546949456766E-2</v>
      </c>
    </row>
    <row r="193" spans="1:38">
      <c r="A193" s="3" t="str">
        <f>Cotacao!C193</f>
        <v>4/1/2020 16:56:00</v>
      </c>
      <c r="B193" s="6">
        <f>IFERROR(LN(Cotacao!D194/Cotacao!D193),B192)</f>
        <v>-2.7028672387919259E-2</v>
      </c>
      <c r="C193" s="6">
        <f>IFERROR(LN(Cotacao!F194/Cotacao!F193),C192)</f>
        <v>-2.4401715586637097E-2</v>
      </c>
      <c r="D193" s="6">
        <f>IFERROR(LN(Cotacao!H194/Cotacao!H193),D192)</f>
        <v>-2.3588007267607734E-3</v>
      </c>
      <c r="E193" s="6">
        <f>IFERROR(LN(Cotacao!J194/Cotacao!J193),E192)</f>
        <v>5.5441448483858763E-2</v>
      </c>
      <c r="F193" s="6">
        <f>IFERROR(LN(Cotacao!L194/Cotacao!L193),F192)</f>
        <v>-1.8229671491661159E-2</v>
      </c>
      <c r="G193" s="6">
        <f>IFERROR(LN(Cotacao!N194/Cotacao!N193),G192)</f>
        <v>1.3229296968497282E-2</v>
      </c>
      <c r="H193" s="6">
        <f>IFERROR(LN(Cotacao!P194/Cotacao!P193),H192)</f>
        <v>8.6331471447028754E-3</v>
      </c>
      <c r="I193" s="6">
        <f>IFERROR(LN(Cotacao!R194/Cotacao!R193),I192)</f>
        <v>-3.9732471986474414E-2</v>
      </c>
      <c r="J193" s="6">
        <f>IFERROR(LN(Cotacao!T194/Cotacao!T193),J192)</f>
        <v>3.5718082602079246E-2</v>
      </c>
      <c r="K193" s="6">
        <f>IFERROR(LN(Cotacao!V194/Cotacao!V193),K192)</f>
        <v>-4.1718453567292278E-2</v>
      </c>
      <c r="L193" s="6">
        <f>IFERROR(LN(Cotacao!X194/Cotacao!X193),L192)</f>
        <v>9.1638671067910109E-3</v>
      </c>
      <c r="M193" s="6">
        <f>IFERROR(LN(Profit!B193/Profit!B192),M192)</f>
        <v>1.8400102522094158E-2</v>
      </c>
      <c r="N193" s="6">
        <f>IFERROR(LN(Cotacao!AB194/Cotacao!AB193),N192)</f>
        <v>2.077996849174522E-2</v>
      </c>
      <c r="O193" s="6">
        <f>IFERROR(LN(Cotacao!AD194/Cotacao!AD193),O192)</f>
        <v>-4.8634534257048723E-2</v>
      </c>
      <c r="P193" s="6">
        <f>IFERROR(LN(Cotacao!AF194/Cotacao!AF193),P192)</f>
        <v>1.6459540187604944E-2</v>
      </c>
      <c r="Q193" s="6">
        <f>IFERROR(LN(Cotacao!AH194/Cotacao!AH193),Q192)</f>
        <v>-1.3697254193015158E-2</v>
      </c>
      <c r="R193" s="6">
        <f>IFERROR(LN(Cotacao!AJ194/Cotacao!AJ193),R192)</f>
        <v>9.9305682026007876E-3</v>
      </c>
      <c r="S193" s="6">
        <f>IFERROR(LN(Cotacao!AL194/Cotacao!AL193),S192)</f>
        <v>-4.3765027966759087E-2</v>
      </c>
      <c r="T193" s="6">
        <f>IFERROR(LN(Cotacao!AN194/Cotacao!AN193),T192)</f>
        <v>0</v>
      </c>
      <c r="U193" s="6">
        <f>IFERROR(LN(Cotacao!AP194/Cotacao!AP193),U192)</f>
        <v>-5.5831410537132706E-3</v>
      </c>
      <c r="V193" s="6">
        <f>IFERROR(LN(Cotacao!AR194/Cotacao!AR193),V192)</f>
        <v>-3.7321527649299989E-2</v>
      </c>
      <c r="W193" s="6">
        <f>IFERROR(LN(Cotacao!AT194/Cotacao!AT193),W192)</f>
        <v>-2.1981027607300242E-2</v>
      </c>
      <c r="X193" s="6">
        <f>IFERROR(LN(Cotacao!AV194/Cotacao!AV193),X192)</f>
        <v>8.5142619021752355E-4</v>
      </c>
      <c r="Y193" s="6">
        <f>IFERROR(LN(Cotacao!AX194/Cotacao!AX193),Y192)</f>
        <v>4.8899852941917702E-3</v>
      </c>
      <c r="Z193" s="6">
        <f>IFERROR(LN(Cotacao!AZ194/Cotacao!AZ193),Z192)</f>
        <v>-6.8728792877620643E-3</v>
      </c>
      <c r="AA193" s="6">
        <f>IFERROR(LN(Cotacao!BB194/Cotacao!BB193),AA192)</f>
        <v>-6.5146810211936419E-3</v>
      </c>
      <c r="AB193" s="6">
        <f>IFERROR(LN(Cotacao!BD194/Cotacao!BD193),AB192)</f>
        <v>1.6178310396475271E-2</v>
      </c>
      <c r="AC193" s="6">
        <f>IFERROR(LN(Cotacao!BF194/Cotacao!BF193),AC192)</f>
        <v>4.9596941139372186E-2</v>
      </c>
      <c r="AD193" s="6">
        <f>IFERROR(LN(Cotacao!BH194/Cotacao!BH193),AD192)</f>
        <v>4.2680731114880598E-2</v>
      </c>
      <c r="AE193" s="6">
        <f>IFERROR(LN(Cotacao!BJ194/Cotacao!BJ193),AE192)</f>
        <v>-1.2671059828344123E-2</v>
      </c>
      <c r="AF193" s="6">
        <f>IFERROR(LN(Cotacao!BL194/Cotacao!BL193),AF192)</f>
        <v>5.021346397024451E-2</v>
      </c>
      <c r="AG193" s="6">
        <f>IFERROR(LN(Cotacao!BN194/Cotacao!BN193),AG192)</f>
        <v>6.0200119538972877E-2</v>
      </c>
      <c r="AH193" s="6">
        <f>IFERROR(LN(Cotacao!BP194/Cotacao!BP193),AH192)</f>
        <v>8.1225439922585782E-2</v>
      </c>
      <c r="AI193" s="6">
        <f>IFERROR(LN(Cotacao!BR194/Cotacao!BR193),AI192)</f>
        <v>0.16826694108837545</v>
      </c>
      <c r="AJ193" s="6">
        <f>IFERROR(LN(Profit!C193/Profit!C192),AJ192)</f>
        <v>3.3257221756482339E-2</v>
      </c>
      <c r="AK193" s="6">
        <f>IFERROR(LN(Cotacao!BV194/Cotacao!BV193),AK192)</f>
        <v>1.7969462183943217E-2</v>
      </c>
      <c r="AL193" s="6">
        <f>IFERROR(LN(Cotacao!BX194/Cotacao!BX193),AL192)</f>
        <v>-1.9100171373419263E-2</v>
      </c>
    </row>
    <row r="194" spans="1:38">
      <c r="A194" s="3" t="str">
        <f>Cotacao!C194</f>
        <v>4/2/2020 16:56:00</v>
      </c>
      <c r="B194" s="6">
        <f>IFERROR(LN(Cotacao!D195/Cotacao!D194),B193)</f>
        <v>-5.0403067744896737E-2</v>
      </c>
      <c r="C194" s="6">
        <f>IFERROR(LN(Cotacao!F195/Cotacao!F194),C193)</f>
        <v>-8.124911063646106E-3</v>
      </c>
      <c r="D194" s="6">
        <f>IFERROR(LN(Cotacao!H195/Cotacao!H194),D193)</f>
        <v>-1.4537060545706609E-2</v>
      </c>
      <c r="E194" s="6">
        <f>IFERROR(LN(Cotacao!J195/Cotacao!J194),E193)</f>
        <v>-1.1299555253933282E-2</v>
      </c>
      <c r="F194" s="6">
        <f>IFERROR(LN(Cotacao!L195/Cotacao!L194),F193)</f>
        <v>-4.0904126670931747E-2</v>
      </c>
      <c r="G194" s="6">
        <f>IFERROR(LN(Cotacao!N195/Cotacao!N194),G193)</f>
        <v>-3.1556016374062322E-2</v>
      </c>
      <c r="H194" s="6">
        <f>IFERROR(LN(Cotacao!P195/Cotacao!P194),H193)</f>
        <v>-4.6429056930082278E-2</v>
      </c>
      <c r="I194" s="6">
        <f>IFERROR(LN(Cotacao!R195/Cotacao!R194),I193)</f>
        <v>-9.0482168012054248E-2</v>
      </c>
      <c r="J194" s="6">
        <f>IFERROR(LN(Cotacao!T195/Cotacao!T194),J193)</f>
        <v>-1.5024586650098011E-2</v>
      </c>
      <c r="K194" s="6">
        <f>IFERROR(LN(Cotacao!V195/Cotacao!V194),K193)</f>
        <v>-7.204043178936563E-2</v>
      </c>
      <c r="L194" s="6">
        <f>IFERROR(LN(Cotacao!X195/Cotacao!X194),L193)</f>
        <v>-1.5355187581921425E-2</v>
      </c>
      <c r="M194" s="6">
        <f>IFERROR(LN(Profit!B194/Profit!B193),M193)</f>
        <v>9.2450581440509903E-3</v>
      </c>
      <c r="N194" s="6">
        <f>IFERROR(LN(Cotacao!AB195/Cotacao!AB194),N193)</f>
        <v>1.783486763603432E-2</v>
      </c>
      <c r="O194" s="6">
        <f>IFERROR(LN(Cotacao!AD195/Cotacao!AD194),O193)</f>
        <v>-7.1095921683730218E-2</v>
      </c>
      <c r="P194" s="6">
        <f>IFERROR(LN(Cotacao!AF195/Cotacao!AF194),P193)</f>
        <v>-4.4508843997504412E-2</v>
      </c>
      <c r="Q194" s="6">
        <f>IFERROR(LN(Cotacao!AH195/Cotacao!AH194),Q193)</f>
        <v>-5.4768729541766169E-2</v>
      </c>
      <c r="R194" s="6">
        <f>IFERROR(LN(Cotacao!AJ195/Cotacao!AJ194),R193)</f>
        <v>-1.3730192811902131E-2</v>
      </c>
      <c r="S194" s="6">
        <f>IFERROR(LN(Cotacao!AL195/Cotacao!AL194),S193)</f>
        <v>-4.5768418455580703E-2</v>
      </c>
      <c r="T194" s="6">
        <f>IFERROR(LN(Cotacao!AN195/Cotacao!AN194),T193)</f>
        <v>-8.8703947136528991E-3</v>
      </c>
      <c r="U194" s="6">
        <f>IFERROR(LN(Cotacao!AP195/Cotacao!AP194),U193)</f>
        <v>-2.7859883339559154E-2</v>
      </c>
      <c r="V194" s="6">
        <f>IFERROR(LN(Cotacao!AR195/Cotacao!AR194),V193)</f>
        <v>-5.3838858629411256E-2</v>
      </c>
      <c r="W194" s="6">
        <f>IFERROR(LN(Cotacao!AT195/Cotacao!AT194),W193)</f>
        <v>-2.6694615261044604E-2</v>
      </c>
      <c r="X194" s="6">
        <f>IFERROR(LN(Cotacao!AV195/Cotacao!AV194),X193)</f>
        <v>-1.1641973640309883E-2</v>
      </c>
      <c r="Y194" s="6">
        <f>IFERROR(LN(Cotacao!AX195/Cotacao!AX194),Y193)</f>
        <v>-2.479261759070488E-2</v>
      </c>
      <c r="Z194" s="6">
        <f>IFERROR(LN(Cotacao!AZ195/Cotacao!AZ194),Z193)</f>
        <v>-1.7391742711869107E-2</v>
      </c>
      <c r="AA194" s="6">
        <f>IFERROR(LN(Cotacao!BB195/Cotacao!BB194),AA193)</f>
        <v>-6.5574005461590517E-3</v>
      </c>
      <c r="AB194" s="6">
        <f>IFERROR(LN(Cotacao!BD195/Cotacao!BD194),AB193)</f>
        <v>-4.8288785367251896E-2</v>
      </c>
      <c r="AC194" s="6">
        <f>IFERROR(LN(Cotacao!BF195/Cotacao!BF194),AC193)</f>
        <v>-3.2789822822990838E-2</v>
      </c>
      <c r="AD194" s="6">
        <f>IFERROR(LN(Cotacao!BH195/Cotacao!BH194),AD193)</f>
        <v>-3.2557723483432006E-2</v>
      </c>
      <c r="AE194" s="6">
        <f>IFERROR(LN(Cotacao!BJ195/Cotacao!BJ194),AE193)</f>
        <v>-1.3445694269584325E-2</v>
      </c>
      <c r="AF194" s="6">
        <f>IFERROR(LN(Cotacao!BL195/Cotacao!BL194),AF193)</f>
        <v>-3.6128724088505537E-2</v>
      </c>
      <c r="AG194" s="6">
        <f>IFERROR(LN(Cotacao!BN195/Cotacao!BN194),AG193)</f>
        <v>-2.6154278129255741E-2</v>
      </c>
      <c r="AH194" s="6">
        <f>IFERROR(LN(Cotacao!BP195/Cotacao!BP194),AH193)</f>
        <v>-1.1021181249337311E-2</v>
      </c>
      <c r="AI194" s="6">
        <f>IFERROR(LN(Cotacao!BR195/Cotacao!BR194),AI193)</f>
        <v>6.5979789703179442E-2</v>
      </c>
      <c r="AJ194" s="6">
        <f>IFERROR(LN(Profit!C194/Profit!C193),AJ193)</f>
        <v>0.21159514849633285</v>
      </c>
      <c r="AK194" s="6">
        <f>IFERROR(LN(Cotacao!BV195/Cotacao!BV194),AK193)</f>
        <v>-3.8313176874414746E-2</v>
      </c>
      <c r="AL194" s="6">
        <f>IFERROR(LN(Cotacao!BX195/Cotacao!BX194),AL193)</f>
        <v>-8.6689436760417848E-2</v>
      </c>
    </row>
    <row r="195" spans="1:38">
      <c r="A195" s="3" t="str">
        <f>Cotacao!C195</f>
        <v>4/3/2020 16:56:00</v>
      </c>
      <c r="B195" s="6">
        <f>IFERROR(LN(Cotacao!D196/Cotacao!D195),B194)</f>
        <v>7.0347885244410907E-2</v>
      </c>
      <c r="C195" s="6">
        <f>IFERROR(LN(Cotacao!F196/Cotacao!F195),C194)</f>
        <v>1.4493007302566824E-2</v>
      </c>
      <c r="D195" s="6">
        <f>IFERROR(LN(Cotacao!H196/Cotacao!H195),D194)</f>
        <v>3.3768422473594316E-2</v>
      </c>
      <c r="E195" s="6">
        <f>IFERROR(LN(Cotacao!J196/Cotacao!J195),E194)</f>
        <v>9.0498355199178562E-3</v>
      </c>
      <c r="F195" s="6">
        <f>IFERROR(LN(Cotacao!L196/Cotacao!L195),F194)</f>
        <v>7.2591226504921849E-2</v>
      </c>
      <c r="G195" s="6">
        <f>IFERROR(LN(Cotacao!N196/Cotacao!N195),G194)</f>
        <v>7.1373922737089965E-2</v>
      </c>
      <c r="H195" s="6">
        <f>IFERROR(LN(Cotacao!P196/Cotacao!P195),H194)</f>
        <v>4.97663663446005E-2</v>
      </c>
      <c r="I195" s="6">
        <f>IFERROR(LN(Cotacao!R196/Cotacao!R195),I194)</f>
        <v>8.9877024271953432E-2</v>
      </c>
      <c r="J195" s="6">
        <f>IFERROR(LN(Cotacao!T196/Cotacao!T195),J194)</f>
        <v>6.3814750819530031E-2</v>
      </c>
      <c r="K195" s="6">
        <f>IFERROR(LN(Cotacao!V196/Cotacao!V195),K194)</f>
        <v>6.0766355216147636E-2</v>
      </c>
      <c r="L195" s="6">
        <f>IFERROR(LN(Cotacao!X196/Cotacao!X195),L194)</f>
        <v>5.2617733389735721E-4</v>
      </c>
      <c r="M195" s="6">
        <f>IFERROR(LN(Profit!B195/Profit!B194),M194)</f>
        <v>-8.9011200495170903E-3</v>
      </c>
      <c r="N195" s="6">
        <f>IFERROR(LN(Cotacao!AB196/Cotacao!AB195),N194)</f>
        <v>-2.2989518224698718E-2</v>
      </c>
      <c r="O195" s="6">
        <f>IFERROR(LN(Cotacao!AD196/Cotacao!AD195),O194)</f>
        <v>3.7870274055409749E-2</v>
      </c>
      <c r="P195" s="6">
        <f>IFERROR(LN(Cotacao!AF196/Cotacao!AF195),P194)</f>
        <v>-4.3835282651537279E-2</v>
      </c>
      <c r="Q195" s="6">
        <f>IFERROR(LN(Cotacao!AH196/Cotacao!AH195),Q194)</f>
        <v>6.2916836547258298E-2</v>
      </c>
      <c r="R195" s="6">
        <f>IFERROR(LN(Cotacao!AJ196/Cotacao!AJ195),R194)</f>
        <v>4.3711025023837793E-2</v>
      </c>
      <c r="S195" s="6">
        <f>IFERROR(LN(Cotacao!AL196/Cotacao!AL195),S194)</f>
        <v>5.6239718322876109E-2</v>
      </c>
      <c r="T195" s="6">
        <f>IFERROR(LN(Cotacao!AN196/Cotacao!AN195),T194)</f>
        <v>7.5708493715673768E-3</v>
      </c>
      <c r="U195" s="6">
        <f>IFERROR(LN(Cotacao!AP196/Cotacao!AP195),U194)</f>
        <v>-1.9376278963138607E-2</v>
      </c>
      <c r="V195" s="6">
        <f>IFERROR(LN(Cotacao!AR196/Cotacao!AR195),V194)</f>
        <v>2.1668480850902932E-3</v>
      </c>
      <c r="W195" s="6">
        <f>IFERROR(LN(Cotacao!AT196/Cotacao!AT195),W194)</f>
        <v>3.1560804912217508E-2</v>
      </c>
      <c r="X195" s="6">
        <f>IFERROR(LN(Cotacao!AV196/Cotacao!AV195),X194)</f>
        <v>-1.2061688375391321E-3</v>
      </c>
      <c r="Y195" s="6">
        <f>IFERROR(LN(Cotacao!AX196/Cotacao!AX195),Y194)</f>
        <v>9.9513210507074686E-3</v>
      </c>
      <c r="Z195" s="6">
        <f>IFERROR(LN(Cotacao!AZ196/Cotacao!AZ195),Z194)</f>
        <v>1.3937507843781678E-2</v>
      </c>
      <c r="AA195" s="6">
        <f>IFERROR(LN(Cotacao!BB196/Cotacao!BB195),AA194)</f>
        <v>2.3215270252753769E-2</v>
      </c>
      <c r="AB195" s="6">
        <f>IFERROR(LN(Cotacao!BD196/Cotacao!BD195),AB194)</f>
        <v>0.10008345855698263</v>
      </c>
      <c r="AC195" s="6">
        <f>IFERROR(LN(Cotacao!BF196/Cotacao!BF195),AC194)</f>
        <v>6.4538521137571164E-2</v>
      </c>
      <c r="AD195" s="6">
        <f>IFERROR(LN(Cotacao!BH196/Cotacao!BH195),AD194)</f>
        <v>3.325385995428741E-2</v>
      </c>
      <c r="AE195" s="6">
        <f>IFERROR(LN(Cotacao!BJ196/Cotacao!BJ195),AE194)</f>
        <v>5.3593968382267109E-3</v>
      </c>
      <c r="AF195" s="6">
        <f>IFERROR(LN(Cotacao!BL196/Cotacao!BL195),AF194)</f>
        <v>1.1787955752042173E-2</v>
      </c>
      <c r="AG195" s="6">
        <f>IFERROR(LN(Cotacao!BN196/Cotacao!BN195),AG194)</f>
        <v>3.7233975312901776E-2</v>
      </c>
      <c r="AH195" s="6">
        <f>IFERROR(LN(Cotacao!BP196/Cotacao!BP195),AH194)</f>
        <v>2.7645605035836764E-2</v>
      </c>
      <c r="AI195" s="6">
        <f>IFERROR(LN(Cotacao!BR196/Cotacao!BR195),AI194)</f>
        <v>0.21087464409653806</v>
      </c>
      <c r="AJ195" s="6">
        <f>IFERROR(LN(Profit!C195/Profit!C194),AJ194)</f>
        <v>-4.8740957582452948E-3</v>
      </c>
      <c r="AK195" s="6">
        <f>IFERROR(LN(Cotacao!BV196/Cotacao!BV195),AK194)</f>
        <v>6.3183785183847083E-2</v>
      </c>
      <c r="AL195" s="6">
        <f>IFERROR(LN(Cotacao!BX196/Cotacao!BX195),AL194)</f>
        <v>5.0627836968366285E-2</v>
      </c>
    </row>
    <row r="196" spans="1:38">
      <c r="A196" s="3" t="str">
        <f>Cotacao!C196</f>
        <v>4/6/2020 16:56:00</v>
      </c>
      <c r="B196" s="6">
        <f>IFERROR(LN(Cotacao!D197/Cotacao!D196),B195)</f>
        <v>4.7058431628085873E-2</v>
      </c>
      <c r="C196" s="6">
        <f>IFERROR(LN(Cotacao!F197/Cotacao!F196),C195)</f>
        <v>5.5558413498615185E-2</v>
      </c>
      <c r="D196" s="6">
        <f>IFERROR(LN(Cotacao!H197/Cotacao!H196),D195)</f>
        <v>-1.0609492711564788E-2</v>
      </c>
      <c r="E196" s="6">
        <f>IFERROR(LN(Cotacao!J197/Cotacao!J196),E195)</f>
        <v>0.10974279133781781</v>
      </c>
      <c r="F196" s="6">
        <f>IFERROR(LN(Cotacao!L197/Cotacao!L196),F195)</f>
        <v>1.0763003551459878E-2</v>
      </c>
      <c r="G196" s="6">
        <f>IFERROR(LN(Cotacao!N197/Cotacao!N196),G195)</f>
        <v>2.9413885206293192E-2</v>
      </c>
      <c r="H196" s="6">
        <f>IFERROR(LN(Cotacao!P197/Cotacao!P196),H195)</f>
        <v>5.5093774021324565E-2</v>
      </c>
      <c r="I196" s="6">
        <f>IFERROR(LN(Cotacao!R197/Cotacao!R196),I195)</f>
        <v>5.2472985687265619E-2</v>
      </c>
      <c r="J196" s="6">
        <f>IFERROR(LN(Cotacao!T197/Cotacao!T196),J195)</f>
        <v>3.2870666834514534E-2</v>
      </c>
      <c r="K196" s="6">
        <f>IFERROR(LN(Cotacao!V197/Cotacao!V196),K195)</f>
        <v>6.1557892999433365E-2</v>
      </c>
      <c r="L196" s="6">
        <f>IFERROR(LN(Cotacao!X197/Cotacao!X196),L195)</f>
        <v>2.4168561126064378E-3</v>
      </c>
      <c r="M196" s="6">
        <f>IFERROR(LN(Profit!B196/Profit!B195),M195)</f>
        <v>3.2479174230615304E-2</v>
      </c>
      <c r="N196" s="6">
        <f>IFERROR(LN(Cotacao!AB197/Cotacao!AB196),N195)</f>
        <v>-1.562531790308087E-2</v>
      </c>
      <c r="O196" s="6">
        <f>IFERROR(LN(Cotacao!AD197/Cotacao!AD196),O195)</f>
        <v>7.0118364008685916E-2</v>
      </c>
      <c r="P196" s="6">
        <f>IFERROR(LN(Cotacao!AF197/Cotacao!AF196),P195)</f>
        <v>3.9449310708282941E-2</v>
      </c>
      <c r="Q196" s="6">
        <f>IFERROR(LN(Cotacao!AH197/Cotacao!AH196),Q195)</f>
        <v>1.4958281434964976E-2</v>
      </c>
      <c r="R196" s="6">
        <f>IFERROR(LN(Cotacao!AJ197/Cotacao!AJ196),R195)</f>
        <v>-6.5422592399183585E-3</v>
      </c>
      <c r="S196" s="6">
        <f>IFERROR(LN(Cotacao!AL197/Cotacao!AL196),S195)</f>
        <v>6.062462181643484E-2</v>
      </c>
      <c r="T196" s="6">
        <f>IFERROR(LN(Cotacao!AN197/Cotacao!AN196),T195)</f>
        <v>2.6815385664729213E-2</v>
      </c>
      <c r="U196" s="6">
        <f>IFERROR(LN(Cotacao!AP197/Cotacao!AP196),U195)</f>
        <v>1.8736415445519617E-2</v>
      </c>
      <c r="V196" s="6">
        <f>IFERROR(LN(Cotacao!AR197/Cotacao!AR196),V195)</f>
        <v>2.1414094503816355E-2</v>
      </c>
      <c r="W196" s="6">
        <f>IFERROR(LN(Cotacao!AT197/Cotacao!AT196),W195)</f>
        <v>1.959244475000971E-3</v>
      </c>
      <c r="X196" s="6">
        <f>IFERROR(LN(Cotacao!AV197/Cotacao!AV196),X195)</f>
        <v>8.583743691391435E-3</v>
      </c>
      <c r="Y196" s="6">
        <f>IFERROR(LN(Cotacao!AX197/Cotacao!AX196),Y195)</f>
        <v>1.9801980262734245E-4</v>
      </c>
      <c r="Z196" s="6">
        <f>IFERROR(LN(Cotacao!AZ197/Cotacao!AZ196),Z195)</f>
        <v>1.3745920904635136E-2</v>
      </c>
      <c r="AA196" s="6">
        <f>IFERROR(LN(Cotacao!BB197/Cotacao!BB196),AA195)</f>
        <v>4.3582210670762102E-2</v>
      </c>
      <c r="AB196" s="6">
        <f>IFERROR(LN(Cotacao!BD197/Cotacao!BD196),AB195)</f>
        <v>6.632264293107272E-2</v>
      </c>
      <c r="AC196" s="6">
        <f>IFERROR(LN(Cotacao!BF197/Cotacao!BF196),AC195)</f>
        <v>0</v>
      </c>
      <c r="AD196" s="6">
        <f>IFERROR(LN(Cotacao!BH197/Cotacao!BH196),AD195)</f>
        <v>5.5165398406778664E-2</v>
      </c>
      <c r="AE196" s="6">
        <f>IFERROR(LN(Cotacao!BJ197/Cotacao!BJ196),AE195)</f>
        <v>2.5055594989710793E-2</v>
      </c>
      <c r="AF196" s="6">
        <f>IFERROR(LN(Cotacao!BL197/Cotacao!BL196),AF195)</f>
        <v>0.11403671069676195</v>
      </c>
      <c r="AG196" s="6">
        <f>IFERROR(LN(Cotacao!BN197/Cotacao!BN196),AG195)</f>
        <v>3.4080698935207383E-2</v>
      </c>
      <c r="AH196" s="6">
        <f>IFERROR(LN(Cotacao!BP197/Cotacao!BP196),AH195)</f>
        <v>3.9171933855205586E-2</v>
      </c>
      <c r="AI196" s="6">
        <f>IFERROR(LN(Cotacao!BR197/Cotacao!BR196),AI195)</f>
        <v>6.6917105303107113E-2</v>
      </c>
      <c r="AJ196" s="6">
        <f>IFERROR(LN(Profit!C196/Profit!C195),AJ195)</f>
        <v>4.1473248206574879E-2</v>
      </c>
      <c r="AK196" s="6">
        <f>IFERROR(LN(Cotacao!BV197/Cotacao!BV196),AK195)</f>
        <v>3.0383162020176643E-2</v>
      </c>
      <c r="AL196" s="6">
        <f>IFERROR(LN(Cotacao!BX197/Cotacao!BX196),AL195)</f>
        <v>2.7365892824497588E-2</v>
      </c>
    </row>
    <row r="197" spans="1:38">
      <c r="A197" s="3" t="str">
        <f>Cotacao!C197</f>
        <v>4/7/2020 16:56:00</v>
      </c>
      <c r="B197" s="6">
        <f>IFERROR(LN(Cotacao!D198/Cotacao!D197),B196)</f>
        <v>-1.671771457541369E-2</v>
      </c>
      <c r="C197" s="6">
        <f>IFERROR(LN(Cotacao!F198/Cotacao!F197),C196)</f>
        <v>2.0995027456288524E-2</v>
      </c>
      <c r="D197" s="6">
        <f>IFERROR(LN(Cotacao!H198/Cotacao!H197),D196)</f>
        <v>1.3436894672242647E-2</v>
      </c>
      <c r="E197" s="6">
        <f>IFERROR(LN(Cotacao!J198/Cotacao!J197),E196)</f>
        <v>4.8261457805430397E-2</v>
      </c>
      <c r="F197" s="6">
        <f>IFERROR(LN(Cotacao!L198/Cotacao!L197),F196)</f>
        <v>3.771217543079324E-3</v>
      </c>
      <c r="G197" s="6">
        <f>IFERROR(LN(Cotacao!N198/Cotacao!N197),G196)</f>
        <v>3.8276952626794973E-2</v>
      </c>
      <c r="H197" s="6">
        <f>IFERROR(LN(Cotacao!P198/Cotacao!P197),H196)</f>
        <v>3.3661282573132001E-2</v>
      </c>
      <c r="I197" s="6">
        <f>IFERROR(LN(Cotacao!R198/Cotacao!R197),I196)</f>
        <v>-4.0287824277019397E-3</v>
      </c>
      <c r="J197" s="6">
        <f>IFERROR(LN(Cotacao!T198/Cotacao!T197),J196)</f>
        <v>4.2728018454154706E-2</v>
      </c>
      <c r="K197" s="6">
        <f>IFERROR(LN(Cotacao!V198/Cotacao!V197),K196)</f>
        <v>3.9712637406867618E-2</v>
      </c>
      <c r="L197" s="6">
        <f>IFERROR(LN(Cotacao!X198/Cotacao!X197),L196)</f>
        <v>7.5282664207915878E-3</v>
      </c>
      <c r="M197" s="6">
        <f>IFERROR(LN(Profit!B197/Profit!B196),M196)</f>
        <v>-3.5578883962369849E-2</v>
      </c>
      <c r="N197" s="6">
        <f>IFERROR(LN(Cotacao!AB198/Cotacao!AB197),N196)</f>
        <v>6.8009678825821495E-3</v>
      </c>
      <c r="O197" s="6">
        <f>IFERROR(LN(Cotacao!AD198/Cotacao!AD197),O196)</f>
        <v>9.4044580279784191E-3</v>
      </c>
      <c r="P197" s="6">
        <f>IFERROR(LN(Cotacao!AF198/Cotacao!AF197),P196)</f>
        <v>4.8235129697051134E-3</v>
      </c>
      <c r="Q197" s="6">
        <f>IFERROR(LN(Cotacao!AH198/Cotacao!AH197),Q196)</f>
        <v>-6.1862953621282029E-3</v>
      </c>
      <c r="R197" s="6">
        <f>IFERROR(LN(Cotacao!AJ198/Cotacao!AJ197),R196)</f>
        <v>1.9286409064056863E-3</v>
      </c>
      <c r="S197" s="6">
        <f>IFERROR(LN(Cotacao!AL198/Cotacao!AL197),S196)</f>
        <v>1.9418085857101516E-2</v>
      </c>
      <c r="T197" s="6">
        <f>IFERROR(LN(Cotacao!AN198/Cotacao!AN197),T196)</f>
        <v>4.5656472637239848E-2</v>
      </c>
      <c r="U197" s="6">
        <f>IFERROR(LN(Cotacao!AP198/Cotacao!AP197),U196)</f>
        <v>1.7972785295100675E-2</v>
      </c>
      <c r="V197" s="6">
        <f>IFERROR(LN(Cotacao!AR198/Cotacao!AR197),V196)</f>
        <v>6.3358184490859238E-3</v>
      </c>
      <c r="W197" s="6">
        <f>IFERROR(LN(Cotacao!AT198/Cotacao!AT197),W196)</f>
        <v>1.7272117452886555E-2</v>
      </c>
      <c r="X197" s="6">
        <f>IFERROR(LN(Cotacao!AV198/Cotacao!AV197),X196)</f>
        <v>1.2739025777429712E-2</v>
      </c>
      <c r="Y197" s="6">
        <f>IFERROR(LN(Cotacao!AX198/Cotacao!AX197),Y196)</f>
        <v>9.7532914431782015E-3</v>
      </c>
      <c r="Z197" s="6">
        <f>IFERROR(LN(Cotacao!AZ198/Cotacao!AZ197),Z196)</f>
        <v>3.4071583216141346E-3</v>
      </c>
      <c r="AA197" s="6">
        <f>IFERROR(LN(Cotacao!BB198/Cotacao!BB197),AA196)</f>
        <v>3.2094792263313722E-2</v>
      </c>
      <c r="AB197" s="6">
        <f>IFERROR(LN(Cotacao!BD198/Cotacao!BD197),AB196)</f>
        <v>0.11441035117774412</v>
      </c>
      <c r="AC197" s="6">
        <f>IFERROR(LN(Cotacao!BF198/Cotacao!BF197),AC196)</f>
        <v>1.7348638334613073E-2</v>
      </c>
      <c r="AD197" s="6">
        <f>IFERROR(LN(Cotacao!BH198/Cotacao!BH197),AD196)</f>
        <v>2.9523636619452929E-2</v>
      </c>
      <c r="AE197" s="6">
        <f>IFERROR(LN(Cotacao!BJ198/Cotacao!BJ197),AE196)</f>
        <v>-3.7019940474339007E-3</v>
      </c>
      <c r="AF197" s="6">
        <f>IFERROR(LN(Cotacao!BL198/Cotacao!BL197),AF196)</f>
        <v>6.9636096208957249E-2</v>
      </c>
      <c r="AG197" s="6">
        <f>IFERROR(LN(Cotacao!BN198/Cotacao!BN197),AG196)</f>
        <v>2.0820698140030562E-2</v>
      </c>
      <c r="AH197" s="6">
        <f>IFERROR(LN(Cotacao!BP198/Cotacao!BP197),AH196)</f>
        <v>5.4580568304136406E-2</v>
      </c>
      <c r="AI197" s="6">
        <f>IFERROR(LN(Cotacao!BR198/Cotacao!BR197),AI196)</f>
        <v>1.7661298854836457E-2</v>
      </c>
      <c r="AJ197" s="6">
        <f>IFERROR(LN(Profit!C197/Profit!C196),AJ196)</f>
        <v>-4.8555816630961507E-2</v>
      </c>
      <c r="AK197" s="6">
        <f>IFERROR(LN(Cotacao!BV198/Cotacao!BV197),AK196)</f>
        <v>2.9250896491710379E-2</v>
      </c>
      <c r="AL197" s="6">
        <f>IFERROR(LN(Cotacao!BX198/Cotacao!BX197),AL196)</f>
        <v>-3.9777299861879344E-3</v>
      </c>
    </row>
    <row r="198" spans="1:38">
      <c r="A198" s="3" t="str">
        <f>Cotacao!C198</f>
        <v>4/8/2020 16:56:00</v>
      </c>
      <c r="B198" s="6">
        <f>IFERROR(LN(Cotacao!D199/Cotacao!D198),B197)</f>
        <v>4.1281658973303825E-2</v>
      </c>
      <c r="C198" s="6">
        <f>IFERROR(LN(Cotacao!F199/Cotacao!F198),C197)</f>
        <v>1.0528465357321383E-2</v>
      </c>
      <c r="D198" s="6">
        <f>IFERROR(LN(Cotacao!H199/Cotacao!H198),D197)</f>
        <v>7.9253898155839976E-3</v>
      </c>
      <c r="E198" s="6">
        <f>IFERROR(LN(Cotacao!J199/Cotacao!J198),E197)</f>
        <v>-7.7961541469711931E-2</v>
      </c>
      <c r="F198" s="6">
        <f>IFERROR(LN(Cotacao!L199/Cotacao!L198),F197)</f>
        <v>9.3662876422228539E-3</v>
      </c>
      <c r="G198" s="6">
        <f>IFERROR(LN(Cotacao!N199/Cotacao!N198),G197)</f>
        <v>-8.6207430439070882E-3</v>
      </c>
      <c r="H198" s="6">
        <f>IFERROR(LN(Cotacao!P199/Cotacao!P198),H197)</f>
        <v>-9.1884260544062551E-3</v>
      </c>
      <c r="I198" s="6">
        <f>IFERROR(LN(Cotacao!R199/Cotacao!R198),I197)</f>
        <v>-1.9802627296179754E-2</v>
      </c>
      <c r="J198" s="6">
        <f>IFERROR(LN(Cotacao!T199/Cotacao!T198),J197)</f>
        <v>3.4262963249948396E-2</v>
      </c>
      <c r="K198" s="6">
        <f>IFERROR(LN(Cotacao!V199/Cotacao!V198),K197)</f>
        <v>4.0899852515252876E-3</v>
      </c>
      <c r="L198" s="6">
        <f>IFERROR(LN(Cotacao!X199/Cotacao!X198),L197)</f>
        <v>0</v>
      </c>
      <c r="M198" s="6">
        <f>IFERROR(LN(Profit!B198/Profit!B197),M197)</f>
        <v>-5.534431283253362E-3</v>
      </c>
      <c r="N198" s="6">
        <f>IFERROR(LN(Cotacao!AB199/Cotacao!AB198),N197)</f>
        <v>-1.0432969125776746E-3</v>
      </c>
      <c r="O198" s="6">
        <f>IFERROR(LN(Cotacao!AD199/Cotacao!AD198),O197)</f>
        <v>-2.2082916287749416E-2</v>
      </c>
      <c r="P198" s="6">
        <f>IFERROR(LN(Cotacao!AF199/Cotacao!AF198),P197)</f>
        <v>4.2395558967685765E-2</v>
      </c>
      <c r="Q198" s="6">
        <f>IFERROR(LN(Cotacao!AH199/Cotacao!AH198),Q197)</f>
        <v>-5.3001621943626126E-3</v>
      </c>
      <c r="R198" s="6">
        <f>IFERROR(LN(Cotacao!AJ199/Cotacao!AJ198),R197)</f>
        <v>-2.0242030177869404E-2</v>
      </c>
      <c r="S198" s="6">
        <f>IFERROR(LN(Cotacao!AL199/Cotacao!AL198),S197)</f>
        <v>-9.6619109117368589E-3</v>
      </c>
      <c r="T198" s="6">
        <f>IFERROR(LN(Cotacao!AN199/Cotacao!AN198),T197)</f>
        <v>2.5366927898673427E-3</v>
      </c>
      <c r="U198" s="6">
        <f>IFERROR(LN(Cotacao!AP199/Cotacao!AP198),U197)</f>
        <v>3.138406174702207E-3</v>
      </c>
      <c r="V198" s="6">
        <f>IFERROR(LN(Cotacao!AR199/Cotacao!AR198),V197)</f>
        <v>1.0471299867295437E-2</v>
      </c>
      <c r="W198" s="6">
        <f>IFERROR(LN(Cotacao!AT199/Cotacao!AT198),W197)</f>
        <v>-1.9065782705815315E-3</v>
      </c>
      <c r="X198" s="6">
        <f>IFERROR(LN(Cotacao!AV199/Cotacao!AV198),X197)</f>
        <v>1.5241899626343739E-2</v>
      </c>
      <c r="Y198" s="6">
        <f>IFERROR(LN(Cotacao!AX199/Cotacao!AX198),Y197)</f>
        <v>1.8840996296024738E-2</v>
      </c>
      <c r="Z198" s="6">
        <f>IFERROR(LN(Cotacao!AZ199/Cotacao!AZ198),Z197)</f>
        <v>1.0152371464018128E-2</v>
      </c>
      <c r="AA198" s="6">
        <f>IFERROR(LN(Cotacao!BB199/Cotacao!BB198),AA197)</f>
        <v>1.4436412120173639E-2</v>
      </c>
      <c r="AB198" s="6">
        <f>IFERROR(LN(Cotacao!BD199/Cotacao!BD198),AB197)</f>
        <v>-2.0072934096041523E-2</v>
      </c>
      <c r="AC198" s="6">
        <f>IFERROR(LN(Cotacao!BF199/Cotacao!BF198),AC197)</f>
        <v>5.4972023245013088E-2</v>
      </c>
      <c r="AD198" s="6">
        <f>IFERROR(LN(Cotacao!BH199/Cotacao!BH198),AD197)</f>
        <v>-2.034625329489001E-2</v>
      </c>
      <c r="AE198" s="6">
        <f>IFERROR(LN(Cotacao!BJ199/Cotacao!BJ198),AE197)</f>
        <v>1.3224311936057125E-2</v>
      </c>
      <c r="AF198" s="6">
        <f>IFERROR(LN(Cotacao!BL199/Cotacao!BL198),AF197)</f>
        <v>-4.3179526672126767E-2</v>
      </c>
      <c r="AG198" s="6">
        <f>IFERROR(LN(Cotacao!BN199/Cotacao!BN198),AG197)</f>
        <v>-7.660915915203975E-3</v>
      </c>
      <c r="AH198" s="6">
        <f>IFERROR(LN(Cotacao!BP199/Cotacao!BP198),AH197)</f>
        <v>-2.9293248589487082E-2</v>
      </c>
      <c r="AI198" s="6">
        <f>IFERROR(LN(Cotacao!BR199/Cotacao!BR198),AI197)</f>
        <v>-0.12504405989343062</v>
      </c>
      <c r="AJ198" s="6">
        <f>IFERROR(LN(Profit!C198/Profit!C197),AJ197)</f>
        <v>-5.1034342565528405E-2</v>
      </c>
      <c r="AK198" s="6">
        <f>IFERROR(LN(Cotacao!BV199/Cotacao!BV198),AK197)</f>
        <v>-1.206208401599766E-2</v>
      </c>
      <c r="AL198" s="6">
        <f>IFERROR(LN(Cotacao!BX199/Cotacao!BX198),AL197)</f>
        <v>2.2853634504718286E-2</v>
      </c>
    </row>
    <row r="199" spans="1:38">
      <c r="A199" s="3" t="str">
        <f>Cotacao!C199</f>
        <v>4/9/2020 16:56:00</v>
      </c>
      <c r="B199" s="6">
        <f>IFERROR(LN(Cotacao!D200/Cotacao!D199),B198)</f>
        <v>5.1338579938518501E-3</v>
      </c>
      <c r="C199" s="6">
        <f>IFERROR(LN(Cotacao!F200/Cotacao!F199),C198)</f>
        <v>1.1953101637595689E-2</v>
      </c>
      <c r="D199" s="6">
        <f>IFERROR(LN(Cotacao!H200/Cotacao!H199),D198)</f>
        <v>1.8168554268808656E-2</v>
      </c>
      <c r="E199" s="6">
        <f>IFERROR(LN(Cotacao!J200/Cotacao!J199),E198)</f>
        <v>5.8543455612610228E-2</v>
      </c>
      <c r="F199" s="6">
        <f>IFERROR(LN(Cotacao!L200/Cotacao!L199),F198)</f>
        <v>1.8473431751446591E-2</v>
      </c>
      <c r="G199" s="6">
        <f>IFERROR(LN(Cotacao!N200/Cotacao!N199),G198)</f>
        <v>2.6696726968243652E-2</v>
      </c>
      <c r="H199" s="6">
        <f>IFERROR(LN(Cotacao!P200/Cotacao!P199),H198)</f>
        <v>2.195390563435656E-3</v>
      </c>
      <c r="I199" s="6">
        <f>IFERROR(LN(Cotacao!R200/Cotacao!R199),I198)</f>
        <v>3.0129741452029239E-2</v>
      </c>
      <c r="J199" s="6">
        <f>IFERROR(LN(Cotacao!T200/Cotacao!T199),J198)</f>
        <v>-5.2532953833457612E-3</v>
      </c>
      <c r="K199" s="6">
        <f>IFERROR(LN(Cotacao!V200/Cotacao!V199),K198)</f>
        <v>8.1301260832503091E-3</v>
      </c>
      <c r="L199" s="6">
        <f>IFERROR(LN(Cotacao!X200/Cotacao!X199),L198)</f>
        <v>-1.0576568565745251E-2</v>
      </c>
      <c r="M199" s="6">
        <f>IFERROR(LN(Profit!B199/Profit!B198),M198)</f>
        <v>-3.3506925757987603E-2</v>
      </c>
      <c r="N199" s="6">
        <f>IFERROR(LN(Cotacao!AB200/Cotacao!AB199),N198)</f>
        <v>4.240737596959409E-2</v>
      </c>
      <c r="O199" s="6">
        <f>IFERROR(LN(Cotacao!AD200/Cotacao!AD199),O198)</f>
        <v>3.217225294077216E-2</v>
      </c>
      <c r="P199" s="6">
        <f>IFERROR(LN(Cotacao!AF200/Cotacao!AF199),P198)</f>
        <v>-3.5855313287075703E-2</v>
      </c>
      <c r="Q199" s="6">
        <f>IFERROR(LN(Cotacao!AH200/Cotacao!AH199),Q198)</f>
        <v>2.9370352420238388E-2</v>
      </c>
      <c r="R199" s="6">
        <f>IFERROR(LN(Cotacao!AJ200/Cotacao!AJ199),R198)</f>
        <v>2.1974632401650779E-2</v>
      </c>
      <c r="S199" s="6">
        <f>IFERROR(LN(Cotacao!AL200/Cotacao!AL199),S198)</f>
        <v>-2.9558802241544391E-2</v>
      </c>
      <c r="T199" s="6">
        <f>IFERROR(LN(Cotacao!AN200/Cotacao!AN199),T198)</f>
        <v>-1.0863662122208519E-3</v>
      </c>
      <c r="U199" s="6">
        <f>IFERROR(LN(Cotacao!AP200/Cotacao!AP199),U198)</f>
        <v>1.0444409639255077E-4</v>
      </c>
      <c r="V199" s="6">
        <f>IFERROR(LN(Cotacao!AR200/Cotacao!AR199),V198)</f>
        <v>1.4478019180653235E-2</v>
      </c>
      <c r="W199" s="6">
        <f>IFERROR(LN(Cotacao!AT200/Cotacao!AT199),W198)</f>
        <v>1.3260920680707113E-2</v>
      </c>
      <c r="X199" s="6">
        <f>IFERROR(LN(Cotacao!AV200/Cotacao!AV199),X198)</f>
        <v>2.3329462854770035E-2</v>
      </c>
      <c r="Y199" s="6">
        <f>IFERROR(LN(Cotacao!AX200/Cotacao!AX199),Y198)</f>
        <v>2.2921732065950464E-2</v>
      </c>
      <c r="Z199" s="6">
        <f>IFERROR(LN(Cotacao!AZ200/Cotacao!AZ199),Z198)</f>
        <v>-3.3726844786393416E-3</v>
      </c>
      <c r="AA199" s="6">
        <f>IFERROR(LN(Cotacao!BB200/Cotacao!BB199),AA198)</f>
        <v>3.166972326180554E-3</v>
      </c>
      <c r="AB199" s="6">
        <f>IFERROR(LN(Cotacao!BD200/Cotacao!BD199),AB198)</f>
        <v>1.6207458977333445E-3</v>
      </c>
      <c r="AC199" s="6">
        <f>IFERROR(LN(Cotacao!BF200/Cotacao!BF199),AC198)</f>
        <v>3.0912593062025956E-2</v>
      </c>
      <c r="AD199" s="6">
        <f>IFERROR(LN(Cotacao!BH200/Cotacao!BH199),AD198)</f>
        <v>-1.9770001401003805E-2</v>
      </c>
      <c r="AE199" s="6">
        <f>IFERROR(LN(Cotacao!BJ200/Cotacao!BJ199),AE198)</f>
        <v>1.6326534238853118E-3</v>
      </c>
      <c r="AF199" s="6">
        <f>IFERROR(LN(Cotacao!BL200/Cotacao!BL199),AF198)</f>
        <v>2.4756292661714779E-2</v>
      </c>
      <c r="AG199" s="6">
        <f>IFERROR(LN(Cotacao!BN200/Cotacao!BN199),AG198)</f>
        <v>8.4237894423478989E-3</v>
      </c>
      <c r="AH199" s="6">
        <f>IFERROR(LN(Cotacao!BP200/Cotacao!BP199),AH198)</f>
        <v>6.5185416002419535E-3</v>
      </c>
      <c r="AI199" s="6">
        <f>IFERROR(LN(Cotacao!BR200/Cotacao!BR199),AI198)</f>
        <v>-5.150640040860209E-2</v>
      </c>
      <c r="AJ199" s="6">
        <f>IFERROR(LN(Profit!C199/Profit!C198),AJ198)</f>
        <v>-5.6820015812963635E-2</v>
      </c>
      <c r="AK199" s="6">
        <f>IFERROR(LN(Cotacao!BV200/Cotacao!BV199),AK198)</f>
        <v>1.4744664182212873E-2</v>
      </c>
      <c r="AL199" s="6">
        <f>IFERROR(LN(Cotacao!BX200/Cotacao!BX199),AL198)</f>
        <v>1.7378309525181167E-2</v>
      </c>
    </row>
    <row r="200" spans="1:38">
      <c r="A200" s="3" t="str">
        <f>Cotacao!C200</f>
        <v>4/13/2020 16:56:00</v>
      </c>
      <c r="B200" s="6">
        <f>IFERROR(LN(Cotacao!D201/Cotacao!D200),B199)</f>
        <v>1.9558754596519522E-2</v>
      </c>
      <c r="C200" s="6">
        <f>IFERROR(LN(Cotacao!F201/Cotacao!F200),C199)</f>
        <v>1.9146090474388673E-3</v>
      </c>
      <c r="D200" s="6">
        <f>IFERROR(LN(Cotacao!H201/Cotacao!H200),D199)</f>
        <v>2.4942643845580766E-2</v>
      </c>
      <c r="E200" s="6">
        <f>IFERROR(LN(Cotacao!J201/Cotacao!J200),E199)</f>
        <v>-1.084288592470777E-2</v>
      </c>
      <c r="F200" s="6">
        <f>IFERROR(LN(Cotacao!L201/Cotacao!L200),F199)</f>
        <v>3.4775686490396446E-2</v>
      </c>
      <c r="G200" s="6">
        <f>IFERROR(LN(Cotacao!N201/Cotacao!N200),G199)</f>
        <v>1.1524485851953918E-2</v>
      </c>
      <c r="H200" s="6">
        <f>IFERROR(LN(Cotacao!P201/Cotacao!P200),H199)</f>
        <v>1.3149245813090221E-3</v>
      </c>
      <c r="I200" s="6">
        <f>IFERROR(LN(Cotacao!R201/Cotacao!R200),I199)</f>
        <v>2.0339684237122565E-2</v>
      </c>
      <c r="J200" s="6">
        <f>IFERROR(LN(Cotacao!T201/Cotacao!T200),J199)</f>
        <v>7.4962869779272865E-3</v>
      </c>
      <c r="K200" s="6">
        <f>IFERROR(LN(Cotacao!V201/Cotacao!V200),K199)</f>
        <v>2.5975486403260736E-2</v>
      </c>
      <c r="L200" s="6">
        <f>IFERROR(LN(Cotacao!X201/Cotacao!X200),L199)</f>
        <v>1.0368213528008541E-2</v>
      </c>
      <c r="M200" s="6">
        <f>IFERROR(LN(Profit!B200/Profit!B199),M199)</f>
        <v>5.1723617853991814E-2</v>
      </c>
      <c r="N200" s="6">
        <f>IFERROR(LN(Cotacao!AB201/Cotacao!AB200),N199)</f>
        <v>5.9850552722520017E-3</v>
      </c>
      <c r="O200" s="6">
        <f>IFERROR(LN(Cotacao!AD201/Cotacao!AD200),O199)</f>
        <v>2.2146762363315482E-2</v>
      </c>
      <c r="P200" s="6">
        <f>IFERROR(LN(Cotacao!AF201/Cotacao!AF200),P199)</f>
        <v>9.8032558238966921E-2</v>
      </c>
      <c r="Q200" s="6">
        <f>IFERROR(LN(Cotacao!AH201/Cotacao!AH200),Q199)</f>
        <v>-8.9786762485339472E-4</v>
      </c>
      <c r="R200" s="6">
        <f>IFERROR(LN(Cotacao!AJ201/Cotacao!AJ200),R199)</f>
        <v>-1.6093415684982623E-2</v>
      </c>
      <c r="S200" s="6">
        <f>IFERROR(LN(Cotacao!AL201/Cotacao!AL200),S199)</f>
        <v>4.1621674690819448E-2</v>
      </c>
      <c r="T200" s="6">
        <f>IFERROR(LN(Cotacao!AN201/Cotacao!AN200),T199)</f>
        <v>2.0323472971914242E-2</v>
      </c>
      <c r="U200" s="6">
        <f>IFERROR(LN(Cotacao!AP201/Cotacao!AP200),U199)</f>
        <v>4.0648344050591926E-3</v>
      </c>
      <c r="V200" s="6">
        <f>IFERROR(LN(Cotacao!AR201/Cotacao!AR200),V199)</f>
        <v>3.4312144988778839E-2</v>
      </c>
      <c r="W200" s="6">
        <f>IFERROR(LN(Cotacao!AT201/Cotacao!AT200),W199)</f>
        <v>2.1426263780530461E-2</v>
      </c>
      <c r="X200" s="6">
        <f>IFERROR(LN(Cotacao!AV201/Cotacao!AV200),X199)</f>
        <v>2.4858949883180072E-2</v>
      </c>
      <c r="Y200" s="6">
        <f>IFERROR(LN(Cotacao!AX201/Cotacao!AX200),Y199)</f>
        <v>2.4612340582897466E-2</v>
      </c>
      <c r="Z200" s="6">
        <f>IFERROR(LN(Cotacao!AZ201/Cotacao!AZ200),Z199)</f>
        <v>1.0084119066626226E-2</v>
      </c>
      <c r="AA200" s="6">
        <f>IFERROR(LN(Cotacao!BB201/Cotacao!BB200),AA199)</f>
        <v>1.7816679974410377E-2</v>
      </c>
      <c r="AB200" s="6">
        <f>IFERROR(LN(Cotacao!BD201/Cotacao!BD200),AB199)</f>
        <v>7.4859569333034212E-2</v>
      </c>
      <c r="AC200" s="6">
        <f>IFERROR(LN(Cotacao!BF201/Cotacao!BF200),AC199)</f>
        <v>-1.3621095951964963E-2</v>
      </c>
      <c r="AD200" s="6">
        <f>IFERROR(LN(Cotacao!BH201/Cotacao!BH200),AD199)</f>
        <v>5.3454019902018299E-2</v>
      </c>
      <c r="AE200" s="6">
        <f>IFERROR(LN(Cotacao!BJ201/Cotacao!BJ200),AE199)</f>
        <v>-3.267976764616111E-3</v>
      </c>
      <c r="AF200" s="6">
        <f>IFERROR(LN(Cotacao!BL201/Cotacao!BL200),AF199)</f>
        <v>-9.2119382239143326E-3</v>
      </c>
      <c r="AG200" s="6">
        <f>IFERROR(LN(Cotacao!BN201/Cotacao!BN200),AG199)</f>
        <v>5.5766937935982563E-3</v>
      </c>
      <c r="AH200" s="6">
        <f>IFERROR(LN(Cotacao!BP201/Cotacao!BP200),AH199)</f>
        <v>-1.1883681146311305E-2</v>
      </c>
      <c r="AI200" s="6">
        <f>IFERROR(LN(Cotacao!BR201/Cotacao!BR200),AI199)</f>
        <v>9.7561749453646558E-3</v>
      </c>
      <c r="AJ200" s="6">
        <f>IFERROR(LN(Profit!C200/Profit!C199),AJ199)</f>
        <v>4.2331208311746131E-2</v>
      </c>
      <c r="AK200" s="6">
        <f>IFERROR(LN(Cotacao!BV201/Cotacao!BV200),AK199)</f>
        <v>1.3638151502450931E-2</v>
      </c>
      <c r="AL200" s="6">
        <f>IFERROR(LN(Cotacao!BX201/Cotacao!BX200),AL199)</f>
        <v>1.9124121338242699E-3</v>
      </c>
    </row>
    <row r="201" spans="1:38">
      <c r="A201" s="3" t="str">
        <f>Cotacao!C201</f>
        <v>4/14/2020 16:56:00</v>
      </c>
      <c r="B201" s="6">
        <f>IFERROR(LN(Cotacao!D202/Cotacao!D201),B200)</f>
        <v>9.2824657939198189E-3</v>
      </c>
      <c r="C201" s="6">
        <f>IFERROR(LN(Cotacao!F202/Cotacao!F201),C200)</f>
        <v>2.674309139239038E-3</v>
      </c>
      <c r="D201" s="6">
        <f>IFERROR(LN(Cotacao!H202/Cotacao!H201),D200)</f>
        <v>-1.6228534178241993E-2</v>
      </c>
      <c r="E201" s="6">
        <f>IFERROR(LN(Cotacao!J202/Cotacao!J201),E200)</f>
        <v>-8.9597413714718691E-3</v>
      </c>
      <c r="F201" s="6">
        <f>IFERROR(LN(Cotacao!L202/Cotacao!L201),F200)</f>
        <v>7.6313842624793739E-3</v>
      </c>
      <c r="G201" s="6">
        <f>IFERROR(LN(Cotacao!N202/Cotacao!N201),G200)</f>
        <v>-3.1748698314580187E-2</v>
      </c>
      <c r="H201" s="6">
        <f>IFERROR(LN(Cotacao!P202/Cotacao!P201),H200)</f>
        <v>-2.52841146943052E-2</v>
      </c>
      <c r="I201" s="6">
        <f>IFERROR(LN(Cotacao!R202/Cotacao!R201),I200)</f>
        <v>-1.0118130165584554E-2</v>
      </c>
      <c r="J201" s="6">
        <f>IFERROR(LN(Cotacao!T202/Cotacao!T201),J200)</f>
        <v>3.7271753919222083E-3</v>
      </c>
      <c r="K201" s="6">
        <f>IFERROR(LN(Cotacao!V202/Cotacao!V201),K200)</f>
        <v>-2.3953241022492872E-2</v>
      </c>
      <c r="L201" s="6">
        <f>IFERROR(LN(Cotacao!X202/Cotacao!X201),L200)</f>
        <v>2.0827642240472306E-2</v>
      </c>
      <c r="M201" s="6">
        <f>IFERROR(LN(Profit!B201/Profit!B200),M200)</f>
        <v>-1.7869891329566488E-2</v>
      </c>
      <c r="N201" s="6">
        <f>IFERROR(LN(Cotacao!AB202/Cotacao!AB201),N200)</f>
        <v>-7.988060448688182E-3</v>
      </c>
      <c r="O201" s="6">
        <f>IFERROR(LN(Cotacao!AD202/Cotacao!AD201),O200)</f>
        <v>9.2284458887787746E-2</v>
      </c>
      <c r="P201" s="6">
        <f>IFERROR(LN(Cotacao!AF202/Cotacao!AF201),P200)</f>
        <v>1.6800551444280973E-2</v>
      </c>
      <c r="Q201" s="6">
        <f>IFERROR(LN(Cotacao!AH202/Cotacao!AH201),Q200)</f>
        <v>-3.0554132361001334E-2</v>
      </c>
      <c r="R201" s="6">
        <f>IFERROR(LN(Cotacao!AJ202/Cotacao!AJ201),R200)</f>
        <v>7.8155533482031044E-4</v>
      </c>
      <c r="S201" s="6">
        <f>IFERROR(LN(Cotacao!AL202/Cotacao!AL201),S200)</f>
        <v>-1.9371065755999693E-2</v>
      </c>
      <c r="T201" s="6">
        <f>IFERROR(LN(Cotacao!AN202/Cotacao!AN201),T200)</f>
        <v>-4.626068388782191E-3</v>
      </c>
      <c r="U201" s="6">
        <f>IFERROR(LN(Cotacao!AP202/Cotacao!AP201),U200)</f>
        <v>-9.8255206684949858E-3</v>
      </c>
      <c r="V201" s="6">
        <f>IFERROR(LN(Cotacao!AR202/Cotacao!AR201),V200)</f>
        <v>-7.9681696491768449E-3</v>
      </c>
      <c r="W201" s="6">
        <f>IFERROR(LN(Cotacao!AT202/Cotacao!AT201),W200)</f>
        <v>-4.6097292239597664E-3</v>
      </c>
      <c r="X201" s="6">
        <f>IFERROR(LN(Cotacao!AV202/Cotacao!AV201),X200)</f>
        <v>-6.8346447406591867E-3</v>
      </c>
      <c r="Y201" s="6">
        <f>IFERROR(LN(Cotacao!AX202/Cotacao!AX201),Y200)</f>
        <v>0</v>
      </c>
      <c r="Z201" s="6">
        <f>IFERROR(LN(Cotacao!AZ202/Cotacao!AZ201),Z200)</f>
        <v>6.6666913581890771E-3</v>
      </c>
      <c r="AA201" s="6">
        <f>IFERROR(LN(Cotacao!BB202/Cotacao!BB201),AA200)</f>
        <v>-2.8764562257869666E-4</v>
      </c>
      <c r="AB201" s="6">
        <f>IFERROR(LN(Cotacao!BD202/Cotacao!BD201),AB200)</f>
        <v>-1.8196104770889725E-2</v>
      </c>
      <c r="AC201" s="6">
        <f>IFERROR(LN(Cotacao!BF202/Cotacao!BF201),AC200)</f>
        <v>0</v>
      </c>
      <c r="AD201" s="6">
        <f>IFERROR(LN(Cotacao!BH202/Cotacao!BH201),AD200)</f>
        <v>-3.8589997269868975E-2</v>
      </c>
      <c r="AE201" s="6">
        <f>IFERROR(LN(Cotacao!BJ202/Cotacao!BJ201),AE200)</f>
        <v>-2.0169306626122156E-2</v>
      </c>
      <c r="AF201" s="6">
        <f>IFERROR(LN(Cotacao!BL202/Cotacao!BL201),AF200)</f>
        <v>-2.3408090898014846E-2</v>
      </c>
      <c r="AG201" s="6">
        <f>IFERROR(LN(Cotacao!BN202/Cotacao!BN201),AG200)</f>
        <v>9.0589446887517529E-3</v>
      </c>
      <c r="AH201" s="6">
        <f>IFERROR(LN(Cotacao!BP202/Cotacao!BP201),AH200)</f>
        <v>-2.1142436573809351E-2</v>
      </c>
      <c r="AI201" s="6">
        <f>IFERROR(LN(Cotacao!BR202/Cotacao!BR201),AI200)</f>
        <v>-8.0525970205808459E-3</v>
      </c>
      <c r="AJ201" s="6">
        <f>IFERROR(LN(Profit!C201/Profit!C200),AJ200)</f>
        <v>-3.5049622740483323E-2</v>
      </c>
      <c r="AK201" s="6">
        <f>IFERROR(LN(Cotacao!BV202/Cotacao!BV201),AK200)</f>
        <v>-1.3693457841231028E-2</v>
      </c>
      <c r="AL201" s="6">
        <f>IFERROR(LN(Cotacao!BX202/Cotacao!BX201),AL200)</f>
        <v>-9.5988450579805491E-3</v>
      </c>
    </row>
    <row r="202" spans="1:38">
      <c r="A202" s="3" t="str">
        <f>Cotacao!C202</f>
        <v>4/15/2020 16:56:00</v>
      </c>
      <c r="B202" s="6">
        <f>IFERROR(LN(Cotacao!D203/Cotacao!D202),B201)</f>
        <v>-1.0718216220024147E-2</v>
      </c>
      <c r="C202" s="6">
        <f>IFERROR(LN(Cotacao!F203/Cotacao!F202),C201)</f>
        <v>-1.5766525407743204E-2</v>
      </c>
      <c r="D202" s="6">
        <f>IFERROR(LN(Cotacao!H203/Cotacao!H202),D201)</f>
        <v>3.9584415864277588E-3</v>
      </c>
      <c r="E202" s="6">
        <f>IFERROR(LN(Cotacao!J203/Cotacao!J202),E201)</f>
        <v>-8.0321716972642666E-3</v>
      </c>
      <c r="F202" s="6">
        <f>IFERROR(LN(Cotacao!L203/Cotacao!L202),F201)</f>
        <v>-9.9912673635703178E-3</v>
      </c>
      <c r="G202" s="6">
        <f>IFERROR(LN(Cotacao!N203/Cotacao!N202),G201)</f>
        <v>-3.0570066084678119E-2</v>
      </c>
      <c r="H202" s="6">
        <f>IFERROR(LN(Cotacao!P203/Cotacao!P202),H201)</f>
        <v>-1.1748892489083012E-2</v>
      </c>
      <c r="I202" s="6">
        <f>IFERROR(LN(Cotacao!R203/Cotacao!R202),I201)</f>
        <v>5.6338177182560642E-3</v>
      </c>
      <c r="J202" s="6">
        <f>IFERROR(LN(Cotacao!T203/Cotacao!T202),J201)</f>
        <v>-6.7189502487449808E-3</v>
      </c>
      <c r="K202" s="6">
        <f>IFERROR(LN(Cotacao!V203/Cotacao!V202),K201)</f>
        <v>-1.8349138668196541E-2</v>
      </c>
      <c r="L202" s="6">
        <f>IFERROR(LN(Cotacao!X203/Cotacao!X202),L201)</f>
        <v>-2.2391690314901083E-2</v>
      </c>
      <c r="M202" s="6">
        <f>IFERROR(LN(Profit!B202/Profit!B201),M201)</f>
        <v>-6.186064890617414E-2</v>
      </c>
      <c r="N202" s="6">
        <f>IFERROR(LN(Cotacao!AB203/Cotacao!AB202),N201)</f>
        <v>-4.3017385083690816E-2</v>
      </c>
      <c r="O202" s="6">
        <f>IFERROR(LN(Cotacao!AD203/Cotacao!AD202),O201)</f>
        <v>5.4945193176407798E-3</v>
      </c>
      <c r="P202" s="6">
        <f>IFERROR(LN(Cotacao!AF203/Cotacao!AF202),P201)</f>
        <v>-2.1144092330419612E-2</v>
      </c>
      <c r="Q202" s="6">
        <f>IFERROR(LN(Cotacao!AH203/Cotacao!AH202),Q201)</f>
        <v>-1.0005900815765261E-2</v>
      </c>
      <c r="R202" s="6">
        <f>IFERROR(LN(Cotacao!AJ203/Cotacao!AJ202),R201)</f>
        <v>-3.5789107851585393E-2</v>
      </c>
      <c r="S202" s="6">
        <f>IFERROR(LN(Cotacao!AL203/Cotacao!AL202),S201)</f>
        <v>0</v>
      </c>
      <c r="T202" s="6">
        <f>IFERROR(LN(Cotacao!AN203/Cotacao!AN202),T201)</f>
        <v>-9.0768567775429722E-3</v>
      </c>
      <c r="U202" s="6">
        <f>IFERROR(LN(Cotacao!AP203/Cotacao!AP202),U201)</f>
        <v>2.8987536873252187E-2</v>
      </c>
      <c r="V202" s="6">
        <f>IFERROR(LN(Cotacao!AR203/Cotacao!AR202),V201)</f>
        <v>-1.0005003335835344E-3</v>
      </c>
      <c r="W202" s="6">
        <f>IFERROR(LN(Cotacao!AT203/Cotacao!AT202),W201)</f>
        <v>9.2166551049240476E-3</v>
      </c>
      <c r="X202" s="6">
        <f>IFERROR(LN(Cotacao!AV203/Cotacao!AV202),X201)</f>
        <v>-1.9324272826402929E-2</v>
      </c>
      <c r="Y202" s="6">
        <f>IFERROR(LN(Cotacao!AX203/Cotacao!AX202),Y201)</f>
        <v>3.0716055230446949E-2</v>
      </c>
      <c r="Z202" s="6">
        <f>IFERROR(LN(Cotacao!AZ203/Cotacao!AZ202),Z201)</f>
        <v>-1.3378125946175974E-2</v>
      </c>
      <c r="AA202" s="6">
        <f>IFERROR(LN(Cotacao!BB203/Cotacao!BB202),AA201)</f>
        <v>1.7679388334447863E-2</v>
      </c>
      <c r="AB202" s="6">
        <f>IFERROR(LN(Cotacao!BD203/Cotacao!BD202),AB201)</f>
        <v>-2.009341172748769E-2</v>
      </c>
      <c r="AC202" s="6">
        <f>IFERROR(LN(Cotacao!BF203/Cotacao!BF202),AC201)</f>
        <v>-6.8807610922224285E-3</v>
      </c>
      <c r="AD202" s="6">
        <f>IFERROR(LN(Cotacao!BH203/Cotacao!BH202),AD201)</f>
        <v>1.6905474135026702E-2</v>
      </c>
      <c r="AE202" s="6">
        <f>IFERROR(LN(Cotacao!BJ203/Cotacao!BJ202),AE201)</f>
        <v>1.5247229420693694E-2</v>
      </c>
      <c r="AF202" s="6">
        <f>IFERROR(LN(Cotacao!BL203/Cotacao!BL202),AF201)</f>
        <v>2.631232747715068E-4</v>
      </c>
      <c r="AG202" s="6">
        <f>IFERROR(LN(Cotacao!BN203/Cotacao!BN202),AG201)</f>
        <v>-1.5398512009494301E-2</v>
      </c>
      <c r="AH202" s="6">
        <f>IFERROR(LN(Cotacao!BP203/Cotacao!BP202),AH201)</f>
        <v>-4.1127291423862733E-2</v>
      </c>
      <c r="AI202" s="6">
        <f>IFERROR(LN(Cotacao!BR203/Cotacao!BR202),AI201)</f>
        <v>-4.348511193973878E-2</v>
      </c>
      <c r="AJ202" s="6">
        <f>IFERROR(LN(Profit!C202/Profit!C201),AJ201)</f>
        <v>-0.11997709744065491</v>
      </c>
      <c r="AK202" s="6">
        <f>IFERROR(LN(Cotacao!BV203/Cotacao!BV202),AK201)</f>
        <v>-1.3018422557515482E-2</v>
      </c>
      <c r="AL202" s="6">
        <f>IFERROR(LN(Cotacao!BX203/Cotacao!BX202),AL201)</f>
        <v>2.2884293833587806E-2</v>
      </c>
    </row>
    <row r="203" spans="1:38">
      <c r="A203" s="3" t="str">
        <f>Cotacao!C203</f>
        <v>4/16/2020 16:56:00</v>
      </c>
      <c r="B203" s="6">
        <f>IFERROR(LN(Cotacao!D204/Cotacao!D203),B202)</f>
        <v>1.142869582362285E-2</v>
      </c>
      <c r="C203" s="6">
        <f>IFERROR(LN(Cotacao!F204/Cotacao!F203),C202)</f>
        <v>4.6403795565023009E-3</v>
      </c>
      <c r="D203" s="6">
        <f>IFERROR(LN(Cotacao!H204/Cotacao!H203),D202)</f>
        <v>-1.1173300598125302E-2</v>
      </c>
      <c r="E203" s="6">
        <f>IFERROR(LN(Cotacao!J204/Cotacao!J203),E202)</f>
        <v>-9.9553038982673162E-2</v>
      </c>
      <c r="F203" s="6">
        <f>IFERROR(LN(Cotacao!L204/Cotacao!L203),F202)</f>
        <v>-7.7083097358305926E-3</v>
      </c>
      <c r="G203" s="6">
        <f>IFERROR(LN(Cotacao!N204/Cotacao!N203),G202)</f>
        <v>1.3216051391526462E-2</v>
      </c>
      <c r="H203" s="6">
        <f>IFERROR(LN(Cotacao!P204/Cotacao!P203),H202)</f>
        <v>5.8917007046423919E-3</v>
      </c>
      <c r="I203" s="6">
        <f>IFERROR(LN(Cotacao!R204/Cotacao!R203),I202)</f>
        <v>-1.6426311000278943E-2</v>
      </c>
      <c r="J203" s="6">
        <f>IFERROR(LN(Cotacao!T204/Cotacao!T203),J202)</f>
        <v>7.487832622410887E-4</v>
      </c>
      <c r="K203" s="6">
        <f>IFERROR(LN(Cotacao!V204/Cotacao!V203),K202)</f>
        <v>-8.2645098498934245E-3</v>
      </c>
      <c r="L203" s="6">
        <f>IFERROR(LN(Cotacao!X204/Cotacao!X203),L202)</f>
        <v>1.6763637597899131E-2</v>
      </c>
      <c r="M203" s="6">
        <f>IFERROR(LN(Profit!B203/Profit!B202),M202)</f>
        <v>2.1890695364312866E-2</v>
      </c>
      <c r="N203" s="6">
        <f>IFERROR(LN(Cotacao!AB204/Cotacao!AB203),N202)</f>
        <v>-8.4078267237463339E-3</v>
      </c>
      <c r="O203" s="6">
        <f>IFERROR(LN(Cotacao!AD204/Cotacao!AD203),O202)</f>
        <v>6.8259650703998906E-3</v>
      </c>
      <c r="P203" s="6">
        <f>IFERROR(LN(Cotacao!AF204/Cotacao!AF203),P202)</f>
        <v>-1.1142176553241848E-2</v>
      </c>
      <c r="Q203" s="6">
        <f>IFERROR(LN(Cotacao!AH204/Cotacao!AH203),Q202)</f>
        <v>2.8586547761416694E-2</v>
      </c>
      <c r="R203" s="6">
        <f>IFERROR(LN(Cotacao!AJ204/Cotacao!AJ203),R202)</f>
        <v>-2.2725924308426279E-2</v>
      </c>
      <c r="S203" s="6">
        <f>IFERROR(LN(Cotacao!AL204/Cotacao!AL203),S202)</f>
        <v>1.6970104218461561E-2</v>
      </c>
      <c r="T203" s="6">
        <f>IFERROR(LN(Cotacao!AN204/Cotacao!AN203),T202)</f>
        <v>4.1903682986267291E-3</v>
      </c>
      <c r="U203" s="6">
        <f>IFERROR(LN(Cotacao!AP204/Cotacao!AP203),U202)</f>
        <v>1.5190165493975238E-2</v>
      </c>
      <c r="V203" s="6">
        <f>IFERROR(LN(Cotacao!AR204/Cotacao!AR203),V202)</f>
        <v>2.9985029962566329E-3</v>
      </c>
      <c r="W203" s="6">
        <f>IFERROR(LN(Cotacao!AT204/Cotacao!AT203),W202)</f>
        <v>1.3667638728663835E-2</v>
      </c>
      <c r="X203" s="6">
        <f>IFERROR(LN(Cotacao!AV204/Cotacao!AV203),X202)</f>
        <v>-1.2270092591814359E-2</v>
      </c>
      <c r="Y203" s="6">
        <f>IFERROR(LN(Cotacao!AX204/Cotacao!AX203),Y202)</f>
        <v>4.8813054544216564E-3</v>
      </c>
      <c r="Z203" s="6">
        <f>IFERROR(LN(Cotacao!AZ204/Cotacao!AZ203),Z202)</f>
        <v>1.337812594617605E-2</v>
      </c>
      <c r="AA203" s="6">
        <f>IFERROR(LN(Cotacao!BB204/Cotacao!BB203),AA202)</f>
        <v>6.1989491263456011E-3</v>
      </c>
      <c r="AB203" s="6">
        <f>IFERROR(LN(Cotacao!BD204/Cotacao!BD203),AB202)</f>
        <v>4.5774581384944328E-2</v>
      </c>
      <c r="AC203" s="6">
        <f>IFERROR(LN(Cotacao!BF204/Cotacao!BF203),AC202)</f>
        <v>3.6716917377980038E-2</v>
      </c>
      <c r="AD203" s="6">
        <f>IFERROR(LN(Cotacao!BH204/Cotacao!BH203),AD202)</f>
        <v>-6.4495326324645803E-4</v>
      </c>
      <c r="AE203" s="6">
        <f>IFERROR(LN(Cotacao!BJ204/Cotacao!BJ203),AE202)</f>
        <v>-4.0872889652550284E-3</v>
      </c>
      <c r="AF203" s="6">
        <f>IFERROR(LN(Cotacao!BL204/Cotacao!BL203),AF202)</f>
        <v>1.1769457159476408E-2</v>
      </c>
      <c r="AG203" s="6">
        <f>IFERROR(LN(Cotacao!BN204/Cotacao!BN203),AG202)</f>
        <v>5.5809378748252021E-3</v>
      </c>
      <c r="AH203" s="6">
        <f>IFERROR(LN(Cotacao!BP204/Cotacao!BP203),AH202)</f>
        <v>2.5747105136057005E-2</v>
      </c>
      <c r="AI203" s="6">
        <f>IFERROR(LN(Cotacao!BR204/Cotacao!BR203),AI202)</f>
        <v>-2.2018413672004043E-2</v>
      </c>
      <c r="AJ203" s="6">
        <f>IFERROR(LN(Profit!C203/Profit!C202),AJ202)</f>
        <v>0.11391279747314362</v>
      </c>
      <c r="AK203" s="6">
        <f>IFERROR(LN(Cotacao!BV204/Cotacao!BV203),AK202)</f>
        <v>1.5031200309909992E-2</v>
      </c>
      <c r="AL203" s="6">
        <f>IFERROR(LN(Cotacao!BX204/Cotacao!BX203),AL202)</f>
        <v>-1.2139754550610546E-2</v>
      </c>
    </row>
    <row r="204" spans="1:38">
      <c r="A204" s="3" t="str">
        <f>Cotacao!C204</f>
        <v>4/17/2020 16:56:00</v>
      </c>
      <c r="B204" s="6">
        <f>IFERROR(LN(Cotacao!D205/Cotacao!D204),B203)</f>
        <v>-9.2758424625217478E-3</v>
      </c>
      <c r="C204" s="6">
        <f>IFERROR(LN(Cotacao!F205/Cotacao!F204),C203)</f>
        <v>1.2651117553558727E-2</v>
      </c>
      <c r="D204" s="6">
        <f>IFERROR(LN(Cotacao!H205/Cotacao!H204),D203)</f>
        <v>1.4378036485267361E-2</v>
      </c>
      <c r="E204" s="6">
        <f>IFERROR(LN(Cotacao!J205/Cotacao!J204),E203)</f>
        <v>-5.4933718817837519E-2</v>
      </c>
      <c r="F204" s="6">
        <f>IFERROR(LN(Cotacao!L205/Cotacao!L204),F203)</f>
        <v>2.2948932985544783E-2</v>
      </c>
      <c r="G204" s="6">
        <f>IFERROR(LN(Cotacao!N205/Cotacao!N204),G203)</f>
        <v>-1.877470939535383E-2</v>
      </c>
      <c r="H204" s="6">
        <f>IFERROR(LN(Cotacao!P205/Cotacao!P204),H203)</f>
        <v>-4.5289932487064481E-3</v>
      </c>
      <c r="I204" s="6">
        <f>IFERROR(LN(Cotacao!R205/Cotacao!R204),I203)</f>
        <v>-4.0057278169269633E-3</v>
      </c>
      <c r="J204" s="6">
        <f>IFERROR(LN(Cotacao!T205/Cotacao!T204),J203)</f>
        <v>2.5130664725579517E-2</v>
      </c>
      <c r="K204" s="6">
        <f>IFERROR(LN(Cotacao!V205/Cotacao!V204),K203)</f>
        <v>-6.2435166396851592E-3</v>
      </c>
      <c r="L204" s="6">
        <f>IFERROR(LN(Cotacao!X205/Cotacao!X204),L203)</f>
        <v>-1.0833224337069854E-2</v>
      </c>
      <c r="M204" s="6">
        <f>IFERROR(LN(Profit!B204/Profit!B203),M203)</f>
        <v>-8.1939127621494537E-2</v>
      </c>
      <c r="N204" s="6">
        <f>IFERROR(LN(Cotacao!AB205/Cotacao!AB204),N203)</f>
        <v>3.2704705573928926E-2</v>
      </c>
      <c r="O204" s="6">
        <f>IFERROR(LN(Cotacao!AD205/Cotacao!AD204),O203)</f>
        <v>-4.8076133435774993E-2</v>
      </c>
      <c r="P204" s="6">
        <f>IFERROR(LN(Cotacao!AF205/Cotacao!AF204),P203)</f>
        <v>-5.6179923042231489E-3</v>
      </c>
      <c r="Q204" s="6">
        <f>IFERROR(LN(Cotacao!AH205/Cotacao!AH204),Q203)</f>
        <v>-3.562717764315116E-2</v>
      </c>
      <c r="R204" s="6">
        <f>IFERROR(LN(Cotacao!AJ205/Cotacao!AJ204),R203)</f>
        <v>-1.6580314679195338E-3</v>
      </c>
      <c r="S204" s="6">
        <f>IFERROR(LN(Cotacao!AL205/Cotacao!AL204),S203)</f>
        <v>2.140390866315358E-2</v>
      </c>
      <c r="T204" s="6">
        <f>IFERROR(LN(Cotacao!AN205/Cotacao!AN204),T203)</f>
        <v>2.5058183865484256E-3</v>
      </c>
      <c r="U204" s="6">
        <f>IFERROR(LN(Cotacao!AP205/Cotacao!AP204),U203)</f>
        <v>1.0000083334583399E-2</v>
      </c>
      <c r="V204" s="6">
        <f>IFERROR(LN(Cotacao!AR205/Cotacao!AR204),V203)</f>
        <v>0</v>
      </c>
      <c r="W204" s="6">
        <f>IFERROR(LN(Cotacao!AT205/Cotacao!AT204),W203)</f>
        <v>3.0305349495328843E-2</v>
      </c>
      <c r="X204" s="6">
        <f>IFERROR(LN(Cotacao!AV205/Cotacao!AV204),X203)</f>
        <v>2.3839873184160775E-3</v>
      </c>
      <c r="Y204" s="6">
        <f>IFERROR(LN(Cotacao!AX205/Cotacao!AX204),Y203)</f>
        <v>-2.9259230875397545E-3</v>
      </c>
      <c r="Z204" s="6">
        <f>IFERROR(LN(Cotacao!AZ205/Cotacao!AZ204),Z203)</f>
        <v>-1.0016778243471232E-2</v>
      </c>
      <c r="AA204" s="6">
        <f>IFERROR(LN(Cotacao!BB205/Cotacao!BB204),AA203)</f>
        <v>-5.6338177182560199E-3</v>
      </c>
      <c r="AB204" s="6">
        <f>IFERROR(LN(Cotacao!BD205/Cotacao!BD204),AB203)</f>
        <v>4.7333189088931679E-2</v>
      </c>
      <c r="AC204" s="6">
        <f>IFERROR(LN(Cotacao!BF205/Cotacao!BF204),AC203)</f>
        <v>9.2634288979340076E-2</v>
      </c>
      <c r="AD204" s="6">
        <f>IFERROR(LN(Cotacao!BH205/Cotacao!BH204),AD203)</f>
        <v>-1.8229671491661159E-2</v>
      </c>
      <c r="AE204" s="6">
        <f>IFERROR(LN(Cotacao!BJ205/Cotacao!BJ204),AE203)</f>
        <v>-5.1659165152282034E-3</v>
      </c>
      <c r="AF204" s="6">
        <f>IFERROR(LN(Cotacao!BL205/Cotacao!BL204),AF203)</f>
        <v>1.6503726830686488E-2</v>
      </c>
      <c r="AG204" s="6">
        <f>IFERROR(LN(Cotacao!BN205/Cotacao!BN204),AG203)</f>
        <v>2.6461853542212324E-2</v>
      </c>
      <c r="AH204" s="6">
        <f>IFERROR(LN(Cotacao!BP205/Cotacao!BP204),AH203)</f>
        <v>-1.1222062906263913E-2</v>
      </c>
      <c r="AI204" s="6">
        <f>IFERROR(LN(Cotacao!BR205/Cotacao!BR204),AI203)</f>
        <v>-6.6205819742834848E-2</v>
      </c>
      <c r="AJ204" s="6">
        <f>IFERROR(LN(Profit!C204/Profit!C203),AJ203)</f>
        <v>-0.10847430684220516</v>
      </c>
      <c r="AK204" s="6">
        <f>IFERROR(LN(Cotacao!BV205/Cotacao!BV204),AK203)</f>
        <v>-2.2195064063349141E-4</v>
      </c>
      <c r="AL204" s="6">
        <f>IFERROR(LN(Cotacao!BX205/Cotacao!BX204),AL203)</f>
        <v>1.1385322225125429E-2</v>
      </c>
    </row>
    <row r="205" spans="1:38">
      <c r="A205" s="3" t="str">
        <f>Cotacao!C205</f>
        <v>4/20/2020 16:56:00</v>
      </c>
      <c r="B205" s="6">
        <f>IFERROR(LN(Cotacao!D206/Cotacao!D205),B204)</f>
        <v>4.2111485350127063E-2</v>
      </c>
      <c r="C205" s="6">
        <f>IFERROR(LN(Cotacao!F206/Cotacao!F205),C204)</f>
        <v>2.6317308317373358E-2</v>
      </c>
      <c r="D205" s="6">
        <f>IFERROR(LN(Cotacao!H206/Cotacao!H205),D204)</f>
        <v>9.7967964544592983E-3</v>
      </c>
      <c r="E205" s="6">
        <f>IFERROR(LN(Cotacao!J206/Cotacao!J205),E204)</f>
        <v>3.9220713153281329E-2</v>
      </c>
      <c r="F205" s="6">
        <f>IFERROR(LN(Cotacao!L206/Cotacao!L205),F204)</f>
        <v>2.0726130517116952E-2</v>
      </c>
      <c r="G205" s="6">
        <f>IFERROR(LN(Cotacao!N206/Cotacao!N205),G204)</f>
        <v>-1.1154490838656095E-3</v>
      </c>
      <c r="H205" s="6">
        <f>IFERROR(LN(Cotacao!P206/Cotacao!P205),H204)</f>
        <v>-1.0954011857723357E-2</v>
      </c>
      <c r="I205" s="6">
        <f>IFERROR(LN(Cotacao!R206/Cotacao!R205),I204)</f>
        <v>2.6034294365875614E-2</v>
      </c>
      <c r="J205" s="6">
        <f>IFERROR(LN(Cotacao!T206/Cotacao!T205),J204)</f>
        <v>6.3625695880211552E-2</v>
      </c>
      <c r="K205" s="6">
        <f>IFERROR(LN(Cotacao!V206/Cotacao!V205),K204)</f>
        <v>5.6810406180267906E-2</v>
      </c>
      <c r="L205" s="6">
        <f>IFERROR(LN(Cotacao!X206/Cotacao!X205),L204)</f>
        <v>-5.7217321248465196E-3</v>
      </c>
      <c r="M205" s="6">
        <f>IFERROR(LN(Profit!B205/Profit!B204),M204)</f>
        <v>3.8421936896255927E-2</v>
      </c>
      <c r="N205" s="6">
        <f>IFERROR(LN(Cotacao!AB206/Cotacao!AB205),N204)</f>
        <v>6.617484062264558E-3</v>
      </c>
      <c r="O205" s="6">
        <f>IFERROR(LN(Cotacao!AD206/Cotacao!AD205),O204)</f>
        <v>3.4377289077613053E-2</v>
      </c>
      <c r="P205" s="6">
        <f>IFERROR(LN(Cotacao!AF206/Cotacao!AF205),P204)</f>
        <v>5.5189116332012476E-2</v>
      </c>
      <c r="Q205" s="6">
        <f>IFERROR(LN(Cotacao!AH206/Cotacao!AH205),Q204)</f>
        <v>1.0309369658861287E-2</v>
      </c>
      <c r="R205" s="6">
        <f>IFERROR(LN(Cotacao!AJ206/Cotacao!AJ205),R204)</f>
        <v>2.0327155080731501E-2</v>
      </c>
      <c r="S205" s="6">
        <f>IFERROR(LN(Cotacao!AL206/Cotacao!AL205),S204)</f>
        <v>7.6961041136128394E-2</v>
      </c>
      <c r="T205" s="6">
        <f>IFERROR(LN(Cotacao!AN206/Cotacao!AN205),T204)</f>
        <v>9.2527350515295408E-3</v>
      </c>
      <c r="U205" s="6">
        <f>IFERROR(LN(Cotacao!AP206/Cotacao!AP205),U204)</f>
        <v>4.4676172597160517E-3</v>
      </c>
      <c r="V205" s="6">
        <f>IFERROR(LN(Cotacao!AR206/Cotacao!AR205),V204)</f>
        <v>-1.9980026626729977E-3</v>
      </c>
      <c r="W205" s="6">
        <f>IFERROR(LN(Cotacao!AT206/Cotacao!AT205),W204)</f>
        <v>-2.1296279552963055E-2</v>
      </c>
      <c r="X205" s="6">
        <f>IFERROR(LN(Cotacao!AV206/Cotacao!AV205),X204)</f>
        <v>-4.196328204957623E-3</v>
      </c>
      <c r="Y205" s="6">
        <f>IFERROR(LN(Cotacao!AX206/Cotacao!AX205),Y204)</f>
        <v>-1.4217169624168577E-3</v>
      </c>
      <c r="Z205" s="6">
        <f>IFERROR(LN(Cotacao!AZ206/Cotacao!AZ205),Z204)</f>
        <v>3.3500868852820269E-3</v>
      </c>
      <c r="AA205" s="6">
        <f>IFERROR(LN(Cotacao!BB206/Cotacao!BB205),AA204)</f>
        <v>1.6751561217558726E-2</v>
      </c>
      <c r="AB205" s="6">
        <f>IFERROR(LN(Cotacao!BD206/Cotacao!BD205),AB204)</f>
        <v>6.4049425731987519E-2</v>
      </c>
      <c r="AC205" s="6">
        <f>IFERROR(LN(Cotacao!BF206/Cotacao!BF205),AC204)</f>
        <v>-1.5178348474352362E-3</v>
      </c>
      <c r="AD205" s="6">
        <f>IFERROR(LN(Cotacao!BH206/Cotacao!BH205),AD204)</f>
        <v>2.6581791999845547E-2</v>
      </c>
      <c r="AE205" s="6">
        <f>IFERROR(LN(Cotacao!BJ206/Cotacao!BJ205),AE204)</f>
        <v>-2.5264291079274605E-3</v>
      </c>
      <c r="AF205" s="6">
        <f>IFERROR(LN(Cotacao!BL206/Cotacao!BL205),AF204)</f>
        <v>4.5496474092105624E-2</v>
      </c>
      <c r="AG205" s="6">
        <f>IFERROR(LN(Cotacao!BN206/Cotacao!BN205),AG204)</f>
        <v>3.4385954330484123E-2</v>
      </c>
      <c r="AH205" s="6">
        <f>IFERROR(LN(Cotacao!BP206/Cotacao!BP205),AH204)</f>
        <v>4.8939429040221902E-2</v>
      </c>
      <c r="AI205" s="6">
        <f>IFERROR(LN(Cotacao!BR206/Cotacao!BR205),AI204)</f>
        <v>-3.9104215085076027E-2</v>
      </c>
      <c r="AJ205" s="6">
        <f>IFERROR(LN(Profit!C205/Profit!C204),AJ204)</f>
        <v>-5.3615345980164583E-2</v>
      </c>
      <c r="AK205" s="6">
        <f>IFERROR(LN(Cotacao!BV206/Cotacao!BV205),AK204)</f>
        <v>2.1476347994998989E-2</v>
      </c>
      <c r="AL205" s="6">
        <f>IFERROR(LN(Cotacao!BX206/Cotacao!BX205),AL204)</f>
        <v>2.4232313387767806E-2</v>
      </c>
    </row>
    <row r="206" spans="1:38">
      <c r="A206" s="3" t="str">
        <f>Cotacao!C206</f>
        <v>4/22/2020 16:56:00</v>
      </c>
      <c r="B206" s="6">
        <f>IFERROR(LN(Cotacao!D207/Cotacao!D206),B205)</f>
        <v>-2.0834086902842025E-2</v>
      </c>
      <c r="C206" s="6">
        <f>IFERROR(LN(Cotacao!F207/Cotacao!F206),C205)</f>
        <v>-2.8987536873252298E-2</v>
      </c>
      <c r="D206" s="6">
        <f>IFERROR(LN(Cotacao!H207/Cotacao!H206),D205)</f>
        <v>-3.90720887790882E-3</v>
      </c>
      <c r="E206" s="6">
        <f>IFERROR(LN(Cotacao!J207/Cotacao!J206),E205)</f>
        <v>3.8829059718043478E-2</v>
      </c>
      <c r="F206" s="6">
        <f>IFERROR(LN(Cotacao!L207/Cotacao!L206),F205)</f>
        <v>-3.4786116085415653E-2</v>
      </c>
      <c r="G206" s="6">
        <f>IFERROR(LN(Cotacao!N207/Cotacao!N206),G205)</f>
        <v>-1.3483350337287101E-2</v>
      </c>
      <c r="H206" s="6">
        <f>IFERROR(LN(Cotacao!P207/Cotacao!P206),H205)</f>
        <v>-2.5564952582790488E-2</v>
      </c>
      <c r="I206" s="6">
        <f>IFERROR(LN(Cotacao!R207/Cotacao!R206),I205)</f>
        <v>-5.6022555486696752E-3</v>
      </c>
      <c r="J206" s="6">
        <f>IFERROR(LN(Cotacao!T207/Cotacao!T206),J205)</f>
        <v>-2.9189007610309365E-2</v>
      </c>
      <c r="K206" s="6">
        <f>IFERROR(LN(Cotacao!V207/Cotacao!V206),K205)</f>
        <v>-1.9920977494554539E-2</v>
      </c>
      <c r="L206" s="6">
        <f>IFERROR(LN(Cotacao!X207/Cotacao!X206),L205)</f>
        <v>1.3553669384460993E-3</v>
      </c>
      <c r="M206" s="6">
        <f>IFERROR(LN(Profit!B206/Profit!B205),M205)</f>
        <v>-3.9989949761624288E-2</v>
      </c>
      <c r="N206" s="6">
        <f>IFERROR(LN(Cotacao!AB207/Cotacao!AB206),N205)</f>
        <v>-4.8333647384511923E-2</v>
      </c>
      <c r="O206" s="6">
        <f>IFERROR(LN(Cotacao!AD207/Cotacao!AD206),O205)</f>
        <v>-1.8796237324767685E-2</v>
      </c>
      <c r="P206" s="6">
        <f>IFERROR(LN(Cotacao!AF207/Cotacao!AF206),P205)</f>
        <v>-1.1489977038760936E-2</v>
      </c>
      <c r="Q206" s="6">
        <f>IFERROR(LN(Cotacao!AH207/Cotacao!AH206),Q205)</f>
        <v>1.4118970798617384E-2</v>
      </c>
      <c r="R206" s="6">
        <f>IFERROR(LN(Cotacao!AJ207/Cotacao!AJ206),R205)</f>
        <v>1.6246957270019829E-3</v>
      </c>
      <c r="S206" s="6">
        <f>IFERROR(LN(Cotacao!AL207/Cotacao!AL206),S205)</f>
        <v>-2.6491615446976341E-2</v>
      </c>
      <c r="T206" s="6">
        <f>IFERROR(LN(Cotacao!AN207/Cotacao!AN206),T205)</f>
        <v>1.5349765320000132E-2</v>
      </c>
      <c r="U206" s="6">
        <f>IFERROR(LN(Cotacao!AP207/Cotacao!AP206),U205)</f>
        <v>1.9792188549079626E-3</v>
      </c>
      <c r="V206" s="6">
        <f>IFERROR(LN(Cotacao!AR207/Cotacao!AR206),V205)</f>
        <v>9.9950033308342321E-4</v>
      </c>
      <c r="W206" s="6">
        <f>IFERROR(LN(Cotacao!AT207/Cotacao!AT206),W205)</f>
        <v>3.5184666075664828E-3</v>
      </c>
      <c r="X206" s="6">
        <f>IFERROR(LN(Cotacao!AV207/Cotacao!AV206),X205)</f>
        <v>-1.0610179112015571E-2</v>
      </c>
      <c r="Y206" s="6">
        <f>IFERROR(LN(Cotacao!AX207/Cotacao!AX206),Y205)</f>
        <v>3.8162904093999445E-3</v>
      </c>
      <c r="Z206" s="6">
        <f>IFERROR(LN(Cotacao!AZ207/Cotacao!AZ206),Z205)</f>
        <v>3.3389012655146303E-3</v>
      </c>
      <c r="AA206" s="6">
        <f>IFERROR(LN(Cotacao!BB207/Cotacao!BB206),AA205)</f>
        <v>1.0995497137156801E-2</v>
      </c>
      <c r="AB206" s="6">
        <f>IFERROR(LN(Cotacao!BD207/Cotacao!BD206),AB205)</f>
        <v>-8.0543166437839528E-2</v>
      </c>
      <c r="AC206" s="6">
        <f>IFERROR(LN(Cotacao!BF207/Cotacao!BF206),AC205)</f>
        <v>-2.6162046109570541E-2</v>
      </c>
      <c r="AD206" s="6">
        <f>IFERROR(LN(Cotacao!BH207/Cotacao!BH206),AD205)</f>
        <v>3.1984647641926373E-4</v>
      </c>
      <c r="AE206" s="6">
        <f>IFERROR(LN(Cotacao!BJ207/Cotacao!BJ206),AE205)</f>
        <v>1.3094559169719779E-2</v>
      </c>
      <c r="AF206" s="6">
        <f>IFERROR(LN(Cotacao!BL207/Cotacao!BL206),AF205)</f>
        <v>-3.3042379965386455E-2</v>
      </c>
      <c r="AG206" s="6">
        <f>IFERROR(LN(Cotacao!BN207/Cotacao!BN206),AG205)</f>
        <v>-1.8256572400600704E-2</v>
      </c>
      <c r="AH206" s="6">
        <f>IFERROR(LN(Cotacao!BP207/Cotacao!BP206),AH205)</f>
        <v>1.1869575555383729E-2</v>
      </c>
      <c r="AI206" s="6">
        <f>IFERROR(LN(Cotacao!BR207/Cotacao!BR206),AI205)</f>
        <v>7.042282625412951E-3</v>
      </c>
      <c r="AJ206" s="6">
        <f>IFERROR(LN(Profit!C206/Profit!C205),AJ205)</f>
        <v>-0.14112195117431195</v>
      </c>
      <c r="AK206" s="6">
        <f>IFERROR(LN(Cotacao!BV207/Cotacao!BV206),AK205)</f>
        <v>-1.2644807479251331E-2</v>
      </c>
      <c r="AL206" s="6">
        <f>IFERROR(LN(Cotacao!BX207/Cotacao!BX206),AL205)</f>
        <v>-5.5401803756153561E-3</v>
      </c>
    </row>
    <row r="207" spans="1:38">
      <c r="A207" s="3" t="str">
        <f>Cotacao!C207</f>
        <v>4/23/2020 16:56:00</v>
      </c>
      <c r="B207" s="6">
        <f>IFERROR(LN(Cotacao!D208/Cotacao!D207),B206)</f>
        <v>-6.8992871486951435E-2</v>
      </c>
      <c r="C207" s="6">
        <f>IFERROR(LN(Cotacao!F208/Cotacao!F207),C206)</f>
        <v>-7.0412628182597775E-2</v>
      </c>
      <c r="D207" s="6">
        <f>IFERROR(LN(Cotacao!H208/Cotacao!H207),D206)</f>
        <v>-6.6775749867864526E-2</v>
      </c>
      <c r="E207" s="6">
        <f>IFERROR(LN(Cotacao!J208/Cotacao!J207),E206)</f>
        <v>-9.3462051866211787E-2</v>
      </c>
      <c r="F207" s="6">
        <f>IFERROR(LN(Cotacao!L208/Cotacao!L207),F206)</f>
        <v>-5.7054306817835861E-2</v>
      </c>
      <c r="G207" s="6">
        <f>IFERROR(LN(Cotacao!N208/Cotacao!N207),G206)</f>
        <v>-5.1055170800284065E-2</v>
      </c>
      <c r="H207" s="6">
        <f>IFERROR(LN(Cotacao!P208/Cotacao!P207),H206)</f>
        <v>-3.5949234122929677E-2</v>
      </c>
      <c r="I207" s="6">
        <f>IFERROR(LN(Cotacao!R208/Cotacao!R207),I206)</f>
        <v>-5.4254504724330181E-2</v>
      </c>
      <c r="J207" s="6">
        <f>IFERROR(LN(Cotacao!T208/Cotacao!T207),J206)</f>
        <v>-8.688316364244468E-2</v>
      </c>
      <c r="K207" s="6">
        <f>IFERROR(LN(Cotacao!V208/Cotacao!V207),K206)</f>
        <v>-7.3025135014889775E-2</v>
      </c>
      <c r="L207" s="6">
        <f>IFERROR(LN(Cotacao!X208/Cotacao!X207),L206)</f>
        <v>-1.9250581326938066E-2</v>
      </c>
      <c r="M207" s="6">
        <f>IFERROR(LN(Profit!B207/Profit!B206),M206)</f>
        <v>-2.1011674886797112E-2</v>
      </c>
      <c r="N207" s="6">
        <f>IFERROR(LN(Cotacao!AB208/Cotacao!AB207),N206)</f>
        <v>2.0032298762597496E-2</v>
      </c>
      <c r="O207" s="6">
        <f>IFERROR(LN(Cotacao!AD208/Cotacao!AD207),O206)</f>
        <v>3.5890670684067788E-2</v>
      </c>
      <c r="P207" s="6">
        <f>IFERROR(LN(Cotacao!AF208/Cotacao!AF207),P206)</f>
        <v>-6.9791120885922153E-2</v>
      </c>
      <c r="Q207" s="6">
        <f>IFERROR(LN(Cotacao!AH208/Cotacao!AH207),Q206)</f>
        <v>5.7293613811369515E-3</v>
      </c>
      <c r="R207" s="6">
        <f>IFERROR(LN(Cotacao!AJ208/Cotacao!AJ207),R206)</f>
        <v>-6.0434400461612081E-2</v>
      </c>
      <c r="S207" s="6">
        <f>IFERROR(LN(Cotacao!AL208/Cotacao!AL207),S206)</f>
        <v>-4.5774581384944286E-2</v>
      </c>
      <c r="T207" s="6">
        <f>IFERROR(LN(Cotacao!AN208/Cotacao!AN207),T206)</f>
        <v>-3.2619294728074087E-2</v>
      </c>
      <c r="U207" s="6">
        <f>IFERROR(LN(Cotacao!AP208/Cotacao!AP207),U206)</f>
        <v>-4.1893585110371744E-2</v>
      </c>
      <c r="V207" s="6">
        <f>IFERROR(LN(Cotacao!AR208/Cotacao!AR207),V206)</f>
        <v>-3.1458707817792142E-2</v>
      </c>
      <c r="W207" s="6">
        <f>IFERROR(LN(Cotacao!AT208/Cotacao!AT207),W206)</f>
        <v>-4.9332346818700364E-2</v>
      </c>
      <c r="X207" s="6">
        <f>IFERROR(LN(Cotacao!AV208/Cotacao!AV207),X206)</f>
        <v>-1.9267770357656734E-2</v>
      </c>
      <c r="Y207" s="6">
        <f>IFERROR(LN(Cotacao!AX208/Cotacao!AX207),Y206)</f>
        <v>-1.7244117266879491E-2</v>
      </c>
      <c r="Z207" s="6">
        <f>IFERROR(LN(Cotacao!AZ208/Cotacao!AZ207),Z206)</f>
        <v>-6.688988150796652E-3</v>
      </c>
      <c r="AA207" s="6">
        <f>IFERROR(LN(Cotacao!BB208/Cotacao!BB207),AA206)</f>
        <v>-2.7182246139756817E-2</v>
      </c>
      <c r="AB207" s="6">
        <f>IFERROR(LN(Cotacao!BD208/Cotacao!BD207),AB206)</f>
        <v>-7.1164425000459247E-2</v>
      </c>
      <c r="AC207" s="6">
        <f>IFERROR(LN(Cotacao!BF208/Cotacao!BF207),AC206)</f>
        <v>-6.6619687341395686E-2</v>
      </c>
      <c r="AD207" s="6">
        <f>IFERROR(LN(Cotacao!BH208/Cotacao!BH207),AD206)</f>
        <v>-2.6901638476264766E-2</v>
      </c>
      <c r="AE207" s="6">
        <f>IFERROR(LN(Cotacao!BJ208/Cotacao!BJ207),AE206)</f>
        <v>-3.4883373642799055E-3</v>
      </c>
      <c r="AF207" s="6">
        <f>IFERROR(LN(Cotacao!BL208/Cotacao!BL207),AF206)</f>
        <v>-2.2478596528482549E-2</v>
      </c>
      <c r="AG207" s="6">
        <f>IFERROR(LN(Cotacao!BN208/Cotacao!BN207),AG206)</f>
        <v>-0.10873320013646555</v>
      </c>
      <c r="AH207" s="6">
        <f>IFERROR(LN(Cotacao!BP208/Cotacao!BP207),AH206)</f>
        <v>-6.0809004595605745E-2</v>
      </c>
      <c r="AI207" s="6">
        <f>IFERROR(LN(Cotacao!BR208/Cotacao!BR207),AI206)</f>
        <v>-7.275935428242819E-2</v>
      </c>
      <c r="AJ207" s="6">
        <f>IFERROR(LN(Profit!C207/Profit!C206),AJ206)</f>
        <v>-1.076614953946007E-2</v>
      </c>
      <c r="AK207" s="6">
        <f>IFERROR(LN(Cotacao!BV208/Cotacao!BV207),AK206)</f>
        <v>-5.6047963887250994E-2</v>
      </c>
      <c r="AL207" s="6">
        <f>IFERROR(LN(Cotacao!BX208/Cotacao!BX207),AL206)</f>
        <v>-6.7406828331316726E-2</v>
      </c>
    </row>
    <row r="208" spans="1:38">
      <c r="A208" s="3" t="str">
        <f>Cotacao!C208</f>
        <v>4/24/2020 16:56:00</v>
      </c>
      <c r="B208" s="6">
        <f>IFERROR(LN(Cotacao!D209/Cotacao!D208),B207)</f>
        <v>1.2700955194564606E-2</v>
      </c>
      <c r="C208" s="6">
        <f>IFERROR(LN(Cotacao!F209/Cotacao!F208),C207)</f>
        <v>3.6221263434318356E-2</v>
      </c>
      <c r="D208" s="6">
        <f>IFERROR(LN(Cotacao!H209/Cotacao!H208),D207)</f>
        <v>4.7506378946094371E-2</v>
      </c>
      <c r="E208" s="6">
        <f>IFERROR(LN(Cotacao!J209/Cotacao!J208),E207)</f>
        <v>6.1397392236710313E-2</v>
      </c>
      <c r="F208" s="6">
        <f>IFERROR(LN(Cotacao!L209/Cotacao!L208),F207)</f>
        <v>3.4380304429848241E-2</v>
      </c>
      <c r="G208" s="6">
        <f>IFERROR(LN(Cotacao!N209/Cotacao!N208),G207)</f>
        <v>3.1637084943182445E-2</v>
      </c>
      <c r="H208" s="6">
        <f>IFERROR(LN(Cotacao!P209/Cotacao!P208),H207)</f>
        <v>1.1644964196879834E-2</v>
      </c>
      <c r="I208" s="6">
        <f>IFERROR(LN(Cotacao!R209/Cotacao!R208),I207)</f>
        <v>2.5762548930023998E-2</v>
      </c>
      <c r="J208" s="6">
        <f>IFERROR(LN(Cotacao!T209/Cotacao!T208),J207)</f>
        <v>5.2446475372542524E-2</v>
      </c>
      <c r="K208" s="6">
        <f>IFERROR(LN(Cotacao!V209/Cotacao!V208),K207)</f>
        <v>5.2699232000850832E-2</v>
      </c>
      <c r="L208" s="6">
        <f>IFERROR(LN(Cotacao!X209/Cotacao!X208),L207)</f>
        <v>-4.2494423246500733E-4</v>
      </c>
      <c r="M208" s="6">
        <f>IFERROR(LN(Profit!B208/Profit!B207),M207)</f>
        <v>1.2343377898875952E-2</v>
      </c>
      <c r="N208" s="6">
        <f>IFERROR(LN(Cotacao!AB209/Cotacao!AB208),N207)</f>
        <v>1.6050046841393707E-2</v>
      </c>
      <c r="O208" s="6">
        <f>IFERROR(LN(Cotacao!AD209/Cotacao!AD208),O207)</f>
        <v>2.6757449169549332E-2</v>
      </c>
      <c r="P208" s="6">
        <f>IFERROR(LN(Cotacao!AF209/Cotacao!AF208),P207)</f>
        <v>8.2042422666442585E-2</v>
      </c>
      <c r="Q208" s="6">
        <f>IFERROR(LN(Cotacao!AH209/Cotacao!AH208),Q207)</f>
        <v>1.7891995803092552E-2</v>
      </c>
      <c r="R208" s="6">
        <f>IFERROR(LN(Cotacao!AJ209/Cotacao!AJ208),R207)</f>
        <v>2.3435243797378113E-2</v>
      </c>
      <c r="S208" s="6">
        <f>IFERROR(LN(Cotacao!AL209/Cotacao!AL208),S207)</f>
        <v>-2.1302580703868264E-2</v>
      </c>
      <c r="T208" s="6">
        <f>IFERROR(LN(Cotacao!AN209/Cotacao!AN208),T207)</f>
        <v>3.2383836397045429E-3</v>
      </c>
      <c r="U208" s="6">
        <f>IFERROR(LN(Cotacao!AP209/Cotacao!AP208),U207)</f>
        <v>1.1276388067934537E-2</v>
      </c>
      <c r="V208" s="6">
        <f>IFERROR(LN(Cotacao!AR209/Cotacao!AR208),V207)</f>
        <v>2.5446665661164176E-2</v>
      </c>
      <c r="W208" s="6">
        <f>IFERROR(LN(Cotacao!AT209/Cotacao!AT208),W207)</f>
        <v>3.2269655103376572E-2</v>
      </c>
      <c r="X208" s="6">
        <f>IFERROR(LN(Cotacao!AV209/Cotacao!AV208),X207)</f>
        <v>1.9267770357656786E-2</v>
      </c>
      <c r="Y208" s="6">
        <f>IFERROR(LN(Cotacao!AX209/Cotacao!AX208),Y207)</f>
        <v>-7.508289829723484E-3</v>
      </c>
      <c r="Z208" s="6">
        <f>IFERROR(LN(Cotacao!AZ209/Cotacao!AZ208),Z207)</f>
        <v>3.3500868852820269E-3</v>
      </c>
      <c r="AA208" s="6">
        <f>IFERROR(LN(Cotacao!BB209/Cotacao!BB208),AA207)</f>
        <v>-5.3786400015411982E-3</v>
      </c>
      <c r="AB208" s="6">
        <f>IFERROR(LN(Cotacao!BD209/Cotacao!BD208),AB207)</f>
        <v>2.3783246053015517E-2</v>
      </c>
      <c r="AC208" s="6">
        <f>IFERROR(LN(Cotacao!BF209/Cotacao!BF208),AC207)</f>
        <v>7.4901308173117701E-2</v>
      </c>
      <c r="AD208" s="6">
        <f>IFERROR(LN(Cotacao!BH209/Cotacao!BH208),AD207)</f>
        <v>3.6766475834010895E-2</v>
      </c>
      <c r="AE208" s="6">
        <f>IFERROR(LN(Cotacao!BJ209/Cotacao!BJ208),AE207)</f>
        <v>2.1734127829709771E-3</v>
      </c>
      <c r="AF208" s="6">
        <f>IFERROR(LN(Cotacao!BL209/Cotacao!BL208),AF207)</f>
        <v>4.7670102018130225E-2</v>
      </c>
      <c r="AG208" s="6">
        <f>IFERROR(LN(Cotacao!BN209/Cotacao!BN208),AG207)</f>
        <v>5.8523847577236693E-2</v>
      </c>
      <c r="AH208" s="6">
        <f>IFERROR(LN(Cotacao!BP209/Cotacao!BP208),AH207)</f>
        <v>3.0866647980527264E-2</v>
      </c>
      <c r="AI208" s="6">
        <f>IFERROR(LN(Cotacao!BR209/Cotacao!BR208),AI207)</f>
        <v>1.0723963362975642E-2</v>
      </c>
      <c r="AJ208" s="6">
        <f>IFERROR(LN(Profit!C208/Profit!C207),AJ207)</f>
        <v>-4.1718875694063823E-3</v>
      </c>
      <c r="AK208" s="6">
        <f>IFERROR(LN(Cotacao!BV209/Cotacao!BV208),AK207)</f>
        <v>3.7876572397681392E-2</v>
      </c>
      <c r="AL208" s="6">
        <f>IFERROR(LN(Cotacao!BX209/Cotacao!BX208),AL207)</f>
        <v>4.8337265610965859E-2</v>
      </c>
    </row>
    <row r="209" spans="1:38">
      <c r="A209" s="3" t="str">
        <f>Cotacao!C209</f>
        <v>4/27/2020 16:56:00</v>
      </c>
      <c r="B209" s="6">
        <f>IFERROR(LN(Cotacao!D210/Cotacao!D209),B208)</f>
        <v>6.3284951783357385E-2</v>
      </c>
      <c r="C209" s="6">
        <f>IFERROR(LN(Cotacao!F210/Cotacao!F209),C208)</f>
        <v>-1.5822788111294914E-3</v>
      </c>
      <c r="D209" s="6">
        <f>IFERROR(LN(Cotacao!H210/Cotacao!H209),D208)</f>
        <v>4.231493557229596E-3</v>
      </c>
      <c r="E209" s="6">
        <f>IFERROR(LN(Cotacao!J210/Cotacao!J209),E208)</f>
        <v>-1.1299555253933282E-2</v>
      </c>
      <c r="F209" s="6">
        <f>IFERROR(LN(Cotacao!L210/Cotacao!L209),F208)</f>
        <v>1.7943065119405424E-2</v>
      </c>
      <c r="G209" s="6">
        <f>IFERROR(LN(Cotacao!N210/Cotacao!N209),G208)</f>
        <v>6.7992756005658628E-2</v>
      </c>
      <c r="H209" s="6">
        <f>IFERROR(LN(Cotacao!P210/Cotacao!P209),H208)</f>
        <v>8.1044098577802176E-2</v>
      </c>
      <c r="I209" s="6">
        <f>IFERROR(LN(Cotacao!R210/Cotacao!R209),I208)</f>
        <v>3.0175930371315683E-2</v>
      </c>
      <c r="J209" s="6">
        <f>IFERROR(LN(Cotacao!T210/Cotacao!T209),J208)</f>
        <v>7.5202263709209211E-2</v>
      </c>
      <c r="K209" s="6">
        <f>IFERROR(LN(Cotacao!V210/Cotacao!V209),K208)</f>
        <v>1.4271394105332761E-2</v>
      </c>
      <c r="L209" s="6">
        <f>IFERROR(LN(Cotacao!X210/Cotacao!X209),L208)</f>
        <v>1.4452490599932985E-2</v>
      </c>
      <c r="M209" s="6">
        <f>IFERROR(LN(Profit!B209/Profit!B208),M208)</f>
        <v>-6.0352597085236596E-2</v>
      </c>
      <c r="N209" s="6">
        <f>IFERROR(LN(Cotacao!AB210/Cotacao!AB209),N208)</f>
        <v>-2.5713565209293404E-3</v>
      </c>
      <c r="O209" s="6">
        <f>IFERROR(LN(Cotacao!AD210/Cotacao!AD209),O208)</f>
        <v>-5.294519316974099E-3</v>
      </c>
      <c r="P209" s="6">
        <f>IFERROR(LN(Cotacao!AF210/Cotacao!AF209),P208)</f>
        <v>-2.4264621999631319E-2</v>
      </c>
      <c r="Q209" s="6">
        <f>IFERROR(LN(Cotacao!AH210/Cotacao!AH209),Q208)</f>
        <v>1.3458952233551631E-3</v>
      </c>
      <c r="R209" s="6">
        <f>IFERROR(LN(Cotacao!AJ210/Cotacao!AJ209),R208)</f>
        <v>-1.0371560850971946E-2</v>
      </c>
      <c r="S209" s="6">
        <f>IFERROR(LN(Cotacao!AL210/Cotacao!AL209),S208)</f>
        <v>1.1890746521521773E-2</v>
      </c>
      <c r="T209" s="6">
        <f>IFERROR(LN(Cotacao!AN210/Cotacao!AN209),T208)</f>
        <v>5.9694542116176738E-3</v>
      </c>
      <c r="U209" s="6">
        <f>IFERROR(LN(Cotacao!AP210/Cotacao!AP209),U208)</f>
        <v>-1.024599127403816E-2</v>
      </c>
      <c r="V209" s="6">
        <f>IFERROR(LN(Cotacao!AR210/Cotacao!AR209),V208)</f>
        <v>5.0125418235444138E-3</v>
      </c>
      <c r="W209" s="6">
        <f>IFERROR(LN(Cotacao!AT210/Cotacao!AT209),W208)</f>
        <v>-1.4652276786870375E-2</v>
      </c>
      <c r="X209" s="6">
        <f>IFERROR(LN(Cotacao!AV210/Cotacao!AV209),X208)</f>
        <v>8.2988028146950641E-3</v>
      </c>
      <c r="Y209" s="6">
        <f>IFERROR(LN(Cotacao!AX210/Cotacao!AX209),Y208)</f>
        <v>1.6837385118241999E-2</v>
      </c>
      <c r="Z209" s="6">
        <f>IFERROR(LN(Cotacao!AZ210/Cotacao!AZ209),Z208)</f>
        <v>-6.7114345879868038E-3</v>
      </c>
      <c r="AA209" s="6">
        <f>IFERROR(LN(Cotacao!BB210/Cotacao!BB209),AA208)</f>
        <v>5.9431333837338838E-3</v>
      </c>
      <c r="AB209" s="6">
        <f>IFERROR(LN(Cotacao!BD210/Cotacao!BD209),AB208)</f>
        <v>6.8841229967212855E-2</v>
      </c>
      <c r="AC209" s="6">
        <f>IFERROR(LN(Cotacao!BF210/Cotacao!BF209),AC208)</f>
        <v>1.0766574138972425E-2</v>
      </c>
      <c r="AD209" s="6">
        <f>IFERROR(LN(Cotacao!BH210/Cotacao!BH209),AD208)</f>
        <v>7.2566969335566738E-3</v>
      </c>
      <c r="AE209" s="6">
        <f>IFERROR(LN(Cotacao!BJ210/Cotacao!BJ209),AE208)</f>
        <v>1.3266867790089945E-2</v>
      </c>
      <c r="AF209" s="6">
        <f>IFERROR(LN(Cotacao!BL210/Cotacao!BL209),AF208)</f>
        <v>2.3851215822179847E-2</v>
      </c>
      <c r="AG209" s="6">
        <f>IFERROR(LN(Cotacao!BN210/Cotacao!BN209),AG208)</f>
        <v>1.4425152068930892E-2</v>
      </c>
      <c r="AH209" s="6">
        <f>IFERROR(LN(Cotacao!BP210/Cotacao!BP209),AH208)</f>
        <v>4.7486666265987874E-2</v>
      </c>
      <c r="AI209" s="6">
        <f>IFERROR(LN(Cotacao!BR210/Cotacao!BR209),AI208)</f>
        <v>0.15025739654010861</v>
      </c>
      <c r="AJ209" s="6">
        <f>IFERROR(LN(Profit!C209/Profit!C208),AJ208)</f>
        <v>-5.6765022804190754E-2</v>
      </c>
      <c r="AK209" s="6">
        <f>IFERROR(LN(Cotacao!BV210/Cotacao!BV209),AK208)</f>
        <v>3.853330383859932E-2</v>
      </c>
      <c r="AL209" s="6">
        <f>IFERROR(LN(Cotacao!BX210/Cotacao!BX209),AL208)</f>
        <v>4.2858424684365508E-2</v>
      </c>
    </row>
    <row r="210" spans="1:38">
      <c r="A210" s="3" t="str">
        <f>Cotacao!C210</f>
        <v>4/28/2020 16:56:00</v>
      </c>
      <c r="B210" s="6">
        <f>IFERROR(LN(Cotacao!D211/Cotacao!D210),B209)</f>
        <v>1.2465535376561494E-2</v>
      </c>
      <c r="C210" s="6">
        <f>IFERROR(LN(Cotacao!F211/Cotacao!F210),C209)</f>
        <v>2.8874421099137019E-2</v>
      </c>
      <c r="D210" s="6">
        <f>IFERROR(LN(Cotacao!H211/Cotacao!H210),D209)</f>
        <v>-6.2289973425018134E-3</v>
      </c>
      <c r="E210" s="6">
        <f>IFERROR(LN(Cotacao!J211/Cotacao!J210),E209)</f>
        <v>6.3828041533972521E-2</v>
      </c>
      <c r="F210" s="6">
        <f>IFERROR(LN(Cotacao!L211/Cotacao!L210),F209)</f>
        <v>5.9101826882579939E-3</v>
      </c>
      <c r="G210" s="6">
        <f>IFERROR(LN(Cotacao!N211/Cotacao!N210),G209)</f>
        <v>-2.1574981400211257E-3</v>
      </c>
      <c r="H210" s="6">
        <f>IFERROR(LN(Cotacao!P211/Cotacao!P210),H209)</f>
        <v>1.0619568827460131E-2</v>
      </c>
      <c r="I210" s="6">
        <f>IFERROR(LN(Cotacao!R211/Cotacao!R210),I209)</f>
        <v>4.5499763544148829E-2</v>
      </c>
      <c r="J210" s="6">
        <f>IFERROR(LN(Cotacao!T211/Cotacao!T210),J209)</f>
        <v>5.7872820442873806E-2</v>
      </c>
      <c r="K210" s="6">
        <f>IFERROR(LN(Cotacao!V211/Cotacao!V210),K209)</f>
        <v>6.0862745403701117E-2</v>
      </c>
      <c r="L210" s="6">
        <f>IFERROR(LN(Cotacao!X211/Cotacao!X210),L209)</f>
        <v>-1.6686415256412075E-2</v>
      </c>
      <c r="M210" s="6">
        <f>IFERROR(LN(Profit!B210/Profit!B209),M209)</f>
        <v>7.1204489323824184E-3</v>
      </c>
      <c r="N210" s="6">
        <f>IFERROR(LN(Cotacao!AB211/Cotacao!AB210),N209)</f>
        <v>5.1480052616970258E-4</v>
      </c>
      <c r="O210" s="6">
        <f>IFERROR(LN(Cotacao!AD211/Cotacao!AD210),O209)</f>
        <v>3.7125722478760878E-2</v>
      </c>
      <c r="P210" s="6">
        <f>IFERROR(LN(Cotacao!AF211/Cotacao!AF210),P209)</f>
        <v>-1.5717415895409707E-2</v>
      </c>
      <c r="Q210" s="6">
        <f>IFERROR(LN(Cotacao!AH211/Cotacao!AH210),Q209)</f>
        <v>4.6428307572161286E-2</v>
      </c>
      <c r="R210" s="6">
        <f>IFERROR(LN(Cotacao!AJ211/Cotacao!AJ210),R209)</f>
        <v>-5.7612449977238987E-3</v>
      </c>
      <c r="S210" s="6">
        <f>IFERROR(LN(Cotacao!AL211/Cotacao!AL210),S209)</f>
        <v>3.48467313301681E-2</v>
      </c>
      <c r="T210" s="6">
        <f>IFERROR(LN(Cotacao!AN211/Cotacao!AN210),T209)</f>
        <v>1.5238615120877501E-2</v>
      </c>
      <c r="U210" s="6">
        <f>IFERROR(LN(Cotacao!AP211/Cotacao!AP210),U209)</f>
        <v>1.4213644884331744E-2</v>
      </c>
      <c r="V210" s="6">
        <f>IFERROR(LN(Cotacao!AR211/Cotacao!AR210),V209)</f>
        <v>5.9820716775474689E-3</v>
      </c>
      <c r="W210" s="6">
        <f>IFERROR(LN(Cotacao!AT211/Cotacao!AT210),W209)</f>
        <v>2.7828721267138673E-2</v>
      </c>
      <c r="X210" s="6">
        <f>IFERROR(LN(Cotacao!AV211/Cotacao!AV210),X209)</f>
        <v>-7.4407841058571399E-4</v>
      </c>
      <c r="Y210" s="6">
        <f>IFERROR(LN(Cotacao!AX211/Cotacao!AX210),Y209)</f>
        <v>8.8889474172459942E-3</v>
      </c>
      <c r="Z210" s="6">
        <f>IFERROR(LN(Cotacao!AZ211/Cotacao!AZ210),Z209)</f>
        <v>1.0050335853501286E-2</v>
      </c>
      <c r="AA210" s="6">
        <f>IFERROR(LN(Cotacao!BB211/Cotacao!BB210),AA209)</f>
        <v>-1.8075016217897128E-3</v>
      </c>
      <c r="AB210" s="6">
        <f>IFERROR(LN(Cotacao!BD211/Cotacao!BD210),AB209)</f>
        <v>-3.5448459665397667E-3</v>
      </c>
      <c r="AC210" s="6">
        <f>IFERROR(LN(Cotacao!BF211/Cotacao!BF210),AC209)</f>
        <v>3.4088513629468471E-2</v>
      </c>
      <c r="AD210" s="6">
        <f>IFERROR(LN(Cotacao!BH211/Cotacao!BH210),AD209)</f>
        <v>5.8903371356769499E-2</v>
      </c>
      <c r="AE210" s="6">
        <f>IFERROR(LN(Cotacao!BJ211/Cotacao!BJ210),AE209)</f>
        <v>3.8026426597460694E-2</v>
      </c>
      <c r="AF210" s="6">
        <f>IFERROR(LN(Cotacao!BL211/Cotacao!BL210),AF209)</f>
        <v>-4.3384015985981298E-3</v>
      </c>
      <c r="AG210" s="6">
        <f>IFERROR(LN(Cotacao!BN211/Cotacao!BN210),AG209)</f>
        <v>2.509411605425707E-3</v>
      </c>
      <c r="AH210" s="6">
        <f>IFERROR(LN(Cotacao!BP211/Cotacao!BP210),AH209)</f>
        <v>5.360945060538088E-2</v>
      </c>
      <c r="AI210" s="6">
        <f>IFERROR(LN(Cotacao!BR211/Cotacao!BR210),AI209)</f>
        <v>-1.2933205676889664E-2</v>
      </c>
      <c r="AJ210" s="6">
        <f>IFERROR(LN(Profit!C210/Profit!C209),AJ209)</f>
        <v>4.1600452505145658E-2</v>
      </c>
      <c r="AK210" s="6">
        <f>IFERROR(LN(Cotacao!BV211/Cotacao!BV210),AK209)</f>
        <v>2.259988894275099E-2</v>
      </c>
      <c r="AL210" s="6">
        <f>IFERROR(LN(Cotacao!BX211/Cotacao!BX210),AL209)</f>
        <v>2.3236076680848226E-2</v>
      </c>
    </row>
    <row r="211" spans="1:38">
      <c r="A211" s="3" t="str">
        <f>Cotacao!C211</f>
        <v>4/29/2020 16:56:00</v>
      </c>
      <c r="B211" s="6">
        <f>IFERROR(LN(Cotacao!D212/Cotacao!D211),B210)</f>
        <v>-1.6655485640415534E-2</v>
      </c>
      <c r="C211" s="6">
        <f>IFERROR(LN(Cotacao!F212/Cotacao!F211),C210)</f>
        <v>2.0933209666465721E-2</v>
      </c>
      <c r="D211" s="6">
        <f>IFERROR(LN(Cotacao!H212/Cotacao!H211),D210)</f>
        <v>-2.249557770252714E-2</v>
      </c>
      <c r="E211" s="6">
        <f>IFERROR(LN(Cotacao!J212/Cotacao!J211),E210)</f>
        <v>-2.7014068411256156E-2</v>
      </c>
      <c r="F211" s="6">
        <f>IFERROR(LN(Cotacao!L212/Cotacao!L211),F210)</f>
        <v>1.7662648100812898E-3</v>
      </c>
      <c r="G211" s="6">
        <f>IFERROR(LN(Cotacao!N212/Cotacao!N211),G210)</f>
        <v>-2.8479471321868573E-2</v>
      </c>
      <c r="H211" s="6">
        <f>IFERROR(LN(Cotacao!P212/Cotacao!P211),H210)</f>
        <v>-3.2203140494634706E-2</v>
      </c>
      <c r="I211" s="6">
        <f>IFERROR(LN(Cotacao!R212/Cotacao!R211),I210)</f>
        <v>-5.9051636669731025E-2</v>
      </c>
      <c r="J211" s="6">
        <f>IFERROR(LN(Cotacao!T212/Cotacao!T211),J210)</f>
        <v>-3.2470385030784046E-2</v>
      </c>
      <c r="K211" s="6">
        <f>IFERROR(LN(Cotacao!V212/Cotacao!V211),K210)</f>
        <v>-5.2798185566970766E-2</v>
      </c>
      <c r="L211" s="6">
        <f>IFERROR(LN(Cotacao!X212/Cotacao!X211),L210)</f>
        <v>1.6581675795724438E-2</v>
      </c>
      <c r="M211" s="6">
        <f>IFERROR(LN(Profit!B211/Profit!B210),M210)</f>
        <v>4.1649372992842021E-3</v>
      </c>
      <c r="N211" s="6">
        <f>IFERROR(LN(Cotacao!AB212/Cotacao!AB211),N210)</f>
        <v>-2.2379284222908302E-2</v>
      </c>
      <c r="O211" s="6">
        <f>IFERROR(LN(Cotacao!AD212/Cotacao!AD211),O210)</f>
        <v>-5.5204554347095681E-2</v>
      </c>
      <c r="P211" s="6">
        <f>IFERROR(LN(Cotacao!AF212/Cotacao!AF211),P210)</f>
        <v>-7.6090133357713155E-2</v>
      </c>
      <c r="Q211" s="6">
        <f>IFERROR(LN(Cotacao!AH212/Cotacao!AH211),Q210)</f>
        <v>-4.0839827620272433E-2</v>
      </c>
      <c r="R211" s="6">
        <f>IFERROR(LN(Cotacao!AJ212/Cotacao!AJ211),R210)</f>
        <v>-7.0868974801252356E-3</v>
      </c>
      <c r="S211" s="6">
        <f>IFERROR(LN(Cotacao!AL212/Cotacao!AL211),S210)</f>
        <v>-3.7213596340434321E-2</v>
      </c>
      <c r="T211" s="6">
        <f>IFERROR(LN(Cotacao!AN212/Cotacao!AN211),T210)</f>
        <v>-1.9949546016677531E-3</v>
      </c>
      <c r="U211" s="6">
        <f>IFERROR(LN(Cotacao!AP212/Cotacao!AP211),U210)</f>
        <v>-4.8855059005224397E-3</v>
      </c>
      <c r="V211" s="6">
        <f>IFERROR(LN(Cotacao!AR212/Cotacao!AR211),V210)</f>
        <v>6.9341535889987874E-3</v>
      </c>
      <c r="W211" s="6">
        <f>IFERROR(LN(Cotacao!AT212/Cotacao!AT211),W210)</f>
        <v>2.5169760528080395E-2</v>
      </c>
      <c r="X211" s="6">
        <f>IFERROR(LN(Cotacao!AV212/Cotacao!AV211),X210)</f>
        <v>8.974577547101157E-3</v>
      </c>
      <c r="Y211" s="6">
        <f>IFERROR(LN(Cotacao!AX212/Cotacao!AX211),Y210)</f>
        <v>8.8106296821549059E-3</v>
      </c>
      <c r="Z211" s="6">
        <f>IFERROR(LN(Cotacao!AZ212/Cotacao!AZ211),Z210)</f>
        <v>0</v>
      </c>
      <c r="AA211" s="6">
        <f>IFERROR(LN(Cotacao!BB212/Cotacao!BB211),AA210)</f>
        <v>-2.2179942051411862E-2</v>
      </c>
      <c r="AB211" s="6">
        <f>IFERROR(LN(Cotacao!BD212/Cotacao!BD211),AB210)</f>
        <v>-5.8496206681608612E-2</v>
      </c>
      <c r="AC211" s="6">
        <f>IFERROR(LN(Cotacao!BF212/Cotacao!BF211),AC210)</f>
        <v>7.040472140873269E-2</v>
      </c>
      <c r="AD211" s="6">
        <f>IFERROR(LN(Cotacao!BH212/Cotacao!BH211),AD210)</f>
        <v>-5.2948174318095738E-2</v>
      </c>
      <c r="AE211" s="6">
        <f>IFERROR(LN(Cotacao!BJ212/Cotacao!BJ211),AE210)</f>
        <v>-6.3325080732091416E-3</v>
      </c>
      <c r="AF211" s="6">
        <f>IFERROR(LN(Cotacao!BL212/Cotacao!BL211),AF210)</f>
        <v>-3.5902552843599611E-2</v>
      </c>
      <c r="AG211" s="6">
        <f>IFERROR(LN(Cotacao!BN212/Cotacao!BN211),AG210)</f>
        <v>-3.7798166555407089E-2</v>
      </c>
      <c r="AH211" s="6">
        <f>IFERROR(LN(Cotacao!BP212/Cotacao!BP211),AH210)</f>
        <v>-8.2759093038597097E-3</v>
      </c>
      <c r="AI211" s="6">
        <f>IFERROR(LN(Cotacao!BR212/Cotacao!BR211),AI210)</f>
        <v>-5.0535060790828028E-2</v>
      </c>
      <c r="AJ211" s="6">
        <f>IFERROR(LN(Profit!C211/Profit!C210),AJ210)</f>
        <v>4.9679089033009431E-2</v>
      </c>
      <c r="AK211" s="6">
        <f>IFERROR(LN(Cotacao!BV212/Cotacao!BV211),AK210)</f>
        <v>-3.2565975237531831E-2</v>
      </c>
      <c r="AL211" s="6">
        <f>IFERROR(LN(Cotacao!BX212/Cotacao!BX211),AL210)</f>
        <v>-4.9592733593503465E-3</v>
      </c>
    </row>
    <row r="212" spans="1:38">
      <c r="A212" s="3" t="str">
        <f>Cotacao!C212</f>
        <v>4/30/2020 16:56:00</v>
      </c>
      <c r="B212" s="6">
        <f>IFERROR(LN(Cotacao!D213/Cotacao!D212),B211)</f>
        <v>-6.5051832238694776E-2</v>
      </c>
      <c r="C212" s="6">
        <f>IFERROR(LN(Cotacao!F213/Cotacao!F212),C211)</f>
        <v>-4.822535195447334E-2</v>
      </c>
      <c r="D212" s="6">
        <f>IFERROR(LN(Cotacao!H213/Cotacao!H212),D211)</f>
        <v>-5.89669699896054E-3</v>
      </c>
      <c r="E212" s="6">
        <f>IFERROR(LN(Cotacao!J213/Cotacao!J212),E211)</f>
        <v>-4.5946456685988894E-2</v>
      </c>
      <c r="F212" s="6">
        <f>IFERROR(LN(Cotacao!L213/Cotacao!L212),F211)</f>
        <v>-3.5356548323076439E-3</v>
      </c>
      <c r="G212" s="6">
        <f>IFERROR(LN(Cotacao!N213/Cotacao!N212),G211)</f>
        <v>-3.3901551675681457E-2</v>
      </c>
      <c r="H212" s="6">
        <f>IFERROR(LN(Cotacao!P213/Cotacao!P212),H211)</f>
        <v>-4.1769412876295028E-2</v>
      </c>
      <c r="I212" s="6">
        <f>IFERROR(LN(Cotacao!R213/Cotacao!R212),I211)</f>
        <v>-2.3002739354708829E-2</v>
      </c>
      <c r="J212" s="6">
        <f>IFERROR(LN(Cotacao!T213/Cotacao!T212),J211)</f>
        <v>-2.0674294216143741E-2</v>
      </c>
      <c r="K212" s="6">
        <f>IFERROR(LN(Cotacao!V213/Cotacao!V212),K211)</f>
        <v>-6.0423144559626982E-3</v>
      </c>
      <c r="L212" s="6">
        <f>IFERROR(LN(Cotacao!X213/Cotacao!X212),L211)</f>
        <v>-7.2536454704995798E-3</v>
      </c>
      <c r="M212" s="6">
        <f>IFERROR(LN(Profit!B212/Profit!B211),M211)</f>
        <v>4.6293283970844847E-2</v>
      </c>
      <c r="N212" s="6">
        <f>IFERROR(LN(Cotacao!AB213/Cotacao!AB212),N211)</f>
        <v>3.1529190596155149E-3</v>
      </c>
      <c r="O212" s="6">
        <f>IFERROR(LN(Cotacao!AD213/Cotacao!AD212),O211)</f>
        <v>-1.29209550074613E-2</v>
      </c>
      <c r="P212" s="6">
        <f>IFERROR(LN(Cotacao!AF213/Cotacao!AF212),P211)</f>
        <v>-9.4461844520500604E-3</v>
      </c>
      <c r="Q212" s="6">
        <f>IFERROR(LN(Cotacao!AH213/Cotacao!AH212),Q211)</f>
        <v>-2.0949071104374075E-2</v>
      </c>
      <c r="R212" s="6">
        <f>IFERROR(LN(Cotacao!AJ213/Cotacao!AJ212),R211)</f>
        <v>5.1659606597384888E-2</v>
      </c>
      <c r="S212" s="6">
        <f>IFERROR(LN(Cotacao!AL213/Cotacao!AL212),S211)</f>
        <v>2.3668650102662441E-3</v>
      </c>
      <c r="T212" s="6">
        <f>IFERROR(LN(Cotacao!AN213/Cotacao!AN212),T211)</f>
        <v>-6.127036959556121E-3</v>
      </c>
      <c r="U212" s="6">
        <f>IFERROR(LN(Cotacao!AP213/Cotacao!AP212),U211)</f>
        <v>-7.5788973997396149E-3</v>
      </c>
      <c r="V212" s="6">
        <f>IFERROR(LN(Cotacao!AR213/Cotacao!AR212),V211)</f>
        <v>-1.3916725600129949E-2</v>
      </c>
      <c r="W212" s="6">
        <f>IFERROR(LN(Cotacao!AT213/Cotacao!AT212),W211)</f>
        <v>4.9498158285172893E-2</v>
      </c>
      <c r="X212" s="6">
        <f>IFERROR(LN(Cotacao!AV213/Cotacao!AV212),X211)</f>
        <v>-1.2371291802546829E-2</v>
      </c>
      <c r="Y212" s="6">
        <f>IFERROR(LN(Cotacao!AX213/Cotacao!AX212),Y211)</f>
        <v>-1.7699577099400975E-2</v>
      </c>
      <c r="Z212" s="6">
        <f>IFERROR(LN(Cotacao!AZ213/Cotacao!AZ212),Z211)</f>
        <v>5.8268908123975824E-2</v>
      </c>
      <c r="AA212" s="6">
        <f>IFERROR(LN(Cotacao!BB213/Cotacao!BB212),AA211)</f>
        <v>-2.9387140675656082E-2</v>
      </c>
      <c r="AB212" s="6">
        <f>IFERROR(LN(Cotacao!BD213/Cotacao!BD212),AB211)</f>
        <v>1.7910926566530243E-2</v>
      </c>
      <c r="AC212" s="6">
        <f>IFERROR(LN(Cotacao!BF213/Cotacao!BF212),AC211)</f>
        <v>-2.8892969754169096E-2</v>
      </c>
      <c r="AD212" s="6">
        <f>IFERROR(LN(Cotacao!BH213/Cotacao!BH212),AD211)</f>
        <v>-1.0681848346860453E-2</v>
      </c>
      <c r="AE212" s="6">
        <f>IFERROR(LN(Cotacao!BJ213/Cotacao!BJ212),AE211)</f>
        <v>-1.6424479049407029E-2</v>
      </c>
      <c r="AF212" s="6">
        <f>IFERROR(LN(Cotacao!BL213/Cotacao!BL212),AF211)</f>
        <v>-2.5068952712715637E-3</v>
      </c>
      <c r="AG212" s="6">
        <f>IFERROR(LN(Cotacao!BN213/Cotacao!BN212),AG211)</f>
        <v>-1.0416667608567657E-3</v>
      </c>
      <c r="AH212" s="6">
        <f>IFERROR(LN(Cotacao!BP213/Cotacao!BP212),AH211)</f>
        <v>-3.7825564941643991E-2</v>
      </c>
      <c r="AI212" s="6">
        <f>IFERROR(LN(Cotacao!BR213/Cotacao!BR212),AI211)</f>
        <v>-3.5842562454286755E-2</v>
      </c>
      <c r="AJ212" s="6">
        <f>IFERROR(LN(Profit!C212/Profit!C211),AJ211)</f>
        <v>7.6931123857401612E-2</v>
      </c>
      <c r="AK212" s="6">
        <f>IFERROR(LN(Cotacao!BV213/Cotacao!BV212),AK211)</f>
        <v>-2.0450561196112885E-2</v>
      </c>
      <c r="AL212" s="6">
        <f>IFERROR(LN(Cotacao!BX213/Cotacao!BX212),AL211)</f>
        <v>-4.1325198757788895E-2</v>
      </c>
    </row>
    <row r="213" spans="1:38">
      <c r="A213" s="3" t="str">
        <f>Cotacao!C213</f>
        <v>5/4/2020 16:56:00</v>
      </c>
      <c r="B213" s="6">
        <f>IFERROR(LN(Cotacao!D214/Cotacao!D213),B212)</f>
        <v>1.4925375905060505E-3</v>
      </c>
      <c r="C213" s="6">
        <f>IFERROR(LN(Cotacao!F214/Cotacao!F213),C212)</f>
        <v>-1.5936592262812754E-2</v>
      </c>
      <c r="D213" s="6">
        <f>IFERROR(LN(Cotacao!H214/Cotacao!H213),D212)</f>
        <v>1.0280134547085225E-3</v>
      </c>
      <c r="E213" s="6">
        <f>IFERROR(LN(Cotacao!J214/Cotacao!J213),E212)</f>
        <v>7.5090451355069823E-2</v>
      </c>
      <c r="F213" s="6">
        <f>IFERROR(LN(Cotacao!L214/Cotacao!L213),F212)</f>
        <v>-5.3270324255375702E-3</v>
      </c>
      <c r="G213" s="6">
        <f>IFERROR(LN(Cotacao!N214/Cotacao!N213),G212)</f>
        <v>2.3851215822180062E-2</v>
      </c>
      <c r="H213" s="6">
        <f>IFERROR(LN(Cotacao!P214/Cotacao!P213),H212)</f>
        <v>3.2636929313022527E-2</v>
      </c>
      <c r="I213" s="6">
        <f>IFERROR(LN(Cotacao!R214/Cotacao!R213),I212)</f>
        <v>1.041676085825558E-2</v>
      </c>
      <c r="J213" s="6">
        <f>IFERROR(LN(Cotacao!T214/Cotacao!T213),J212)</f>
        <v>-1.220354128072889E-2</v>
      </c>
      <c r="K213" s="6">
        <f>IFERROR(LN(Cotacao!V214/Cotacao!V213),K212)</f>
        <v>-6.0790460763822263E-3</v>
      </c>
      <c r="L213" s="6">
        <f>IFERROR(LN(Cotacao!X214/Cotacao!X213),L212)</f>
        <v>-7.7318607924028778E-3</v>
      </c>
      <c r="M213" s="6">
        <f>IFERROR(LN(Profit!B213/Profit!B212),M212)</f>
        <v>-2.0445691160289416E-2</v>
      </c>
      <c r="N213" s="6">
        <f>IFERROR(LN(Cotacao!AB214/Cotacao!AB213),N212)</f>
        <v>-6.3158104681237419E-3</v>
      </c>
      <c r="O213" s="6">
        <f>IFERROR(LN(Cotacao!AD214/Cotacao!AD213),O212)</f>
        <v>-1.5172704863331591E-2</v>
      </c>
      <c r="P213" s="6">
        <f>IFERROR(LN(Cotacao!AF214/Cotacao!AF213),P212)</f>
        <v>-2.6668247082161294E-2</v>
      </c>
      <c r="Q213" s="6">
        <f>IFERROR(LN(Cotacao!AH214/Cotacao!AH213),Q212)</f>
        <v>-5.2493558861436782E-3</v>
      </c>
      <c r="R213" s="6">
        <f>IFERROR(LN(Cotacao!AJ214/Cotacao!AJ213),R212)</f>
        <v>1.9055918201012791E-2</v>
      </c>
      <c r="S213" s="6">
        <f>IFERROR(LN(Cotacao!AL214/Cotacao!AL213),S212)</f>
        <v>-2.8778964550043404E-2</v>
      </c>
      <c r="T213" s="6">
        <f>IFERROR(LN(Cotacao!AN214/Cotacao!AN213),T212)</f>
        <v>1.0463913006304924E-2</v>
      </c>
      <c r="U213" s="6">
        <f>IFERROR(LN(Cotacao!AP214/Cotacao!AP213),U212)</f>
        <v>-2.2643072663296655E-3</v>
      </c>
      <c r="V213" s="6">
        <f>IFERROR(LN(Cotacao!AR214/Cotacao!AR213),V212)</f>
        <v>-1.0015023370895213E-3</v>
      </c>
      <c r="W213" s="6">
        <f>IFERROR(LN(Cotacao!AT214/Cotacao!AT213),W212)</f>
        <v>9.1548423022495709E-4</v>
      </c>
      <c r="X213" s="6">
        <f>IFERROR(LN(Cotacao!AV214/Cotacao!AV213),X212)</f>
        <v>-7.4969114141784097E-3</v>
      </c>
      <c r="Y213" s="6">
        <f>IFERROR(LN(Cotacao!AX214/Cotacao!AX213),Y212)</f>
        <v>-8.9686699827603751E-3</v>
      </c>
      <c r="Z213" s="6">
        <f>IFERROR(LN(Cotacao!AZ214/Cotacao!AZ213),Z212)</f>
        <v>5.5059777183027389E-2</v>
      </c>
      <c r="AA213" s="6">
        <f>IFERROR(LN(Cotacao!BB214/Cotacao!BB213),AA212)</f>
        <v>-1.7837775145925702E-2</v>
      </c>
      <c r="AB213" s="6">
        <f>IFERROR(LN(Cotacao!BD214/Cotacao!BD213),AB212)</f>
        <v>2.2164767108919688E-3</v>
      </c>
      <c r="AC213" s="6">
        <f>IFERROR(LN(Cotacao!BF214/Cotacao!BF213),AC212)</f>
        <v>-2.9752674461444702E-2</v>
      </c>
      <c r="AD213" s="6">
        <f>IFERROR(LN(Cotacao!BH214/Cotacao!BH213),AD212)</f>
        <v>2.895143839660427E-2</v>
      </c>
      <c r="AE213" s="6">
        <f>IFERROR(LN(Cotacao!BJ214/Cotacao!BJ213),AE212)</f>
        <v>3.8289772370972515E-3</v>
      </c>
      <c r="AF213" s="6">
        <f>IFERROR(LN(Cotacao!BL214/Cotacao!BL213),AF212)</f>
        <v>-2.1053409197832492E-2</v>
      </c>
      <c r="AG213" s="6">
        <f>IFERROR(LN(Cotacao!BN214/Cotacao!BN213),AG212)</f>
        <v>9.3361673992958822E-3</v>
      </c>
      <c r="AH213" s="6">
        <f>IFERROR(LN(Cotacao!BP214/Cotacao!BP213),AH212)</f>
        <v>3.1712736793404112E-2</v>
      </c>
      <c r="AI213" s="6">
        <f>IFERROR(LN(Cotacao!BR214/Cotacao!BR213),AI212)</f>
        <v>7.0917020138736436E-2</v>
      </c>
      <c r="AJ213" s="6">
        <f>IFERROR(LN(Profit!C213/Profit!C212),AJ212)</f>
        <v>-2.4225257345149322E-2</v>
      </c>
      <c r="AK213" s="6">
        <f>IFERROR(LN(Cotacao!BV214/Cotacao!BV213),AK212)</f>
        <v>7.5096186748160407E-3</v>
      </c>
      <c r="AL213" s="6">
        <f>IFERROR(LN(Cotacao!BX214/Cotacao!BX213),AL212)</f>
        <v>1.688113482209579E-2</v>
      </c>
    </row>
    <row r="214" spans="1:38">
      <c r="A214" s="3" t="str">
        <f>Cotacao!C214</f>
        <v>5/5/2020 16:56:00</v>
      </c>
      <c r="B214" s="6">
        <f>IFERROR(LN(Cotacao!D215/Cotacao!D214),B213)</f>
        <v>-2.797914079508031E-2</v>
      </c>
      <c r="C214" s="6">
        <f>IFERROR(LN(Cotacao!F215/Cotacao!F214),C213)</f>
        <v>-1.5378692402651271E-2</v>
      </c>
      <c r="D214" s="6">
        <f>IFERROR(LN(Cotacao!H215/Cotacao!H214),D213)</f>
        <v>-3.6026801704885994E-3</v>
      </c>
      <c r="E214" s="6">
        <f>IFERROR(LN(Cotacao!J215/Cotacao!J214),E213)</f>
        <v>-1.0695289116747919E-2</v>
      </c>
      <c r="F214" s="6">
        <f>IFERROR(LN(Cotacao!L215/Cotacao!L214),F213)</f>
        <v>-1.1876485956562887E-3</v>
      </c>
      <c r="G214" s="6">
        <f>IFERROR(LN(Cotacao!N215/Cotacao!N214),G213)</f>
        <v>-2.3851215822180024E-2</v>
      </c>
      <c r="H214" s="6">
        <f>IFERROR(LN(Cotacao!P215/Cotacao!P214),H213)</f>
        <v>-1.3857034661426241E-2</v>
      </c>
      <c r="I214" s="6">
        <f>IFERROR(LN(Cotacao!R215/Cotacao!R214),I213)</f>
        <v>-4.6162805578145363E-3</v>
      </c>
      <c r="J214" s="6">
        <f>IFERROR(LN(Cotacao!T215/Cotacao!T214),J213)</f>
        <v>-1.0974047031976675E-2</v>
      </c>
      <c r="K214" s="6">
        <f>IFERROR(LN(Cotacao!V215/Cotacao!V214),K213)</f>
        <v>2.0304575503819213E-3</v>
      </c>
      <c r="L214" s="6">
        <f>IFERROR(LN(Cotacao!X215/Cotacao!X214),L213)</f>
        <v>1.0050335853501506E-2</v>
      </c>
      <c r="M214" s="6">
        <f>IFERROR(LN(Profit!B214/Profit!B213),M213)</f>
        <v>-7.7251858064068335E-3</v>
      </c>
      <c r="N214" s="6">
        <f>IFERROR(LN(Cotacao!AB215/Cotacao!AB214),N213)</f>
        <v>-4.7631738639124397E-3</v>
      </c>
      <c r="O214" s="6">
        <f>IFERROR(LN(Cotacao!AD215/Cotacao!AD214),O213)</f>
        <v>2.7417755823431908E-2</v>
      </c>
      <c r="P214" s="6">
        <f>IFERROR(LN(Cotacao!AF215/Cotacao!AF214),P213)</f>
        <v>2.3211026698303574E-2</v>
      </c>
      <c r="Q214" s="6">
        <f>IFERROR(LN(Cotacao!AH215/Cotacao!AH214),Q213)</f>
        <v>1.4313546655417678E-2</v>
      </c>
      <c r="R214" s="6">
        <f>IFERROR(LN(Cotacao!AJ215/Cotacao!AJ214),R213)</f>
        <v>-4.0241502997253797E-3</v>
      </c>
      <c r="S214" s="6">
        <f>IFERROR(LN(Cotacao!AL215/Cotacao!AL214),S213)</f>
        <v>9.6853057344636791E-3</v>
      </c>
      <c r="T214" s="6">
        <f>IFERROR(LN(Cotacao!AN215/Cotacao!AN214),T213)</f>
        <v>2.9197101033348462E-3</v>
      </c>
      <c r="U214" s="6">
        <f>IFERROR(LN(Cotacao!AP215/Cotacao!AP214),U213)</f>
        <v>-4.6475683965469623E-3</v>
      </c>
      <c r="V214" s="6">
        <f>IFERROR(LN(Cotacao!AR215/Cotacao!AR214),V213)</f>
        <v>-1.00250634962559E-3</v>
      </c>
      <c r="W214" s="6">
        <f>IFERROR(LN(Cotacao!AT215/Cotacao!AT214),W213)</f>
        <v>2.5299090564298719E-2</v>
      </c>
      <c r="X214" s="6">
        <f>IFERROR(LN(Cotacao!AV215/Cotacao!AV214),X213)</f>
        <v>1.0810916104215676E-2</v>
      </c>
      <c r="Y214" s="6">
        <f>IFERROR(LN(Cotacao!AX215/Cotacao!AX214),Y213)</f>
        <v>1.1554609272113147E-2</v>
      </c>
      <c r="Z214" s="6">
        <f>IFERROR(LN(Cotacao!AZ215/Cotacao!AZ214),Z213)</f>
        <v>1.1834457647002798E-2</v>
      </c>
      <c r="AA214" s="6">
        <f>IFERROR(LN(Cotacao!BB215/Cotacao!BB214),AA213)</f>
        <v>5.9211096803460754E-3</v>
      </c>
      <c r="AB214" s="6">
        <f>IFERROR(LN(Cotacao!BD215/Cotacao!BD214),AB213)</f>
        <v>-5.1487525717674718E-2</v>
      </c>
      <c r="AC214" s="6">
        <f>IFERROR(LN(Cotacao!BF215/Cotacao!BF214),AC213)</f>
        <v>4.616570410277477E-2</v>
      </c>
      <c r="AD214" s="6">
        <f>IFERROR(LN(Cotacao!BH215/Cotacao!BH214),AD213)</f>
        <v>-2.7654035137784712E-3</v>
      </c>
      <c r="AE214" s="6">
        <f>IFERROR(LN(Cotacao!BJ215/Cotacao!BJ214),AE213)</f>
        <v>2.0489290452471415E-2</v>
      </c>
      <c r="AF214" s="6">
        <f>IFERROR(LN(Cotacao!BL215/Cotacao!BL214),AF213)</f>
        <v>-4.6248797749891945E-3</v>
      </c>
      <c r="AG214" s="6">
        <f>IFERROR(LN(Cotacao!BN215/Cotacao!BN214),AG213)</f>
        <v>-7.7740738767581594E-3</v>
      </c>
      <c r="AH214" s="6">
        <f>IFERROR(LN(Cotacao!BP215/Cotacao!BP214),AH213)</f>
        <v>-3.7483093254740474E-2</v>
      </c>
      <c r="AI214" s="6">
        <f>IFERROR(LN(Cotacao!BR215/Cotacao!BR214),AI213)</f>
        <v>-1.8585238303338893E-2</v>
      </c>
      <c r="AJ214" s="6">
        <f>IFERROR(LN(Profit!C214/Profit!C213),AJ213)</f>
        <v>1.596385098901399E-2</v>
      </c>
      <c r="AK214" s="6">
        <f>IFERROR(LN(Cotacao!BV215/Cotacao!BV214),AK213)</f>
        <v>-5.1358032168086929E-3</v>
      </c>
      <c r="AL214" s="6">
        <f>IFERROR(LN(Cotacao!BX215/Cotacao!BX214),AL213)</f>
        <v>-2.468351510628073E-2</v>
      </c>
    </row>
    <row r="215" spans="1:38">
      <c r="A215" s="3" t="str">
        <f>Cotacao!C215</f>
        <v>5/6/2020 16:56:00</v>
      </c>
      <c r="B215" s="6">
        <f>IFERROR(LN(Cotacao!D216/Cotacao!D215),B214)</f>
        <v>-2.799560748942698E-2</v>
      </c>
      <c r="C215" s="6">
        <f>IFERROR(LN(Cotacao!F216/Cotacao!F215),C214)</f>
        <v>-4.2914312397189312E-2</v>
      </c>
      <c r="D215" s="6">
        <f>IFERROR(LN(Cotacao!H216/Cotacao!H215),D214)</f>
        <v>-4.7244568807651356E-2</v>
      </c>
      <c r="E215" s="6">
        <f>IFERROR(LN(Cotacao!J216/Cotacao!J215),E214)</f>
        <v>-3.2789822822990956E-2</v>
      </c>
      <c r="F215" s="6">
        <f>IFERROR(LN(Cotacao!L216/Cotacao!L215),F214)</f>
        <v>-5.2451045975793427E-2</v>
      </c>
      <c r="G215" s="6">
        <f>IFERROR(LN(Cotacao!N216/Cotacao!N215),G214)</f>
        <v>-4.8273056513334446E-2</v>
      </c>
      <c r="H215" s="6">
        <f>IFERROR(LN(Cotacao!P216/Cotacao!P215),H214)</f>
        <v>-3.3099948426344838E-2</v>
      </c>
      <c r="I215" s="6">
        <f>IFERROR(LN(Cotacao!R216/Cotacao!R215),I214)</f>
        <v>-4.3138150738085503E-2</v>
      </c>
      <c r="J215" s="6">
        <f>IFERROR(LN(Cotacao!T216/Cotacao!T215),J214)</f>
        <v>-3.9386244094150882E-2</v>
      </c>
      <c r="K215" s="6">
        <f>IFERROR(LN(Cotacao!V216/Cotacao!V215),K214)</f>
        <v>-3.5091319811270061E-2</v>
      </c>
      <c r="L215" s="6">
        <f>IFERROR(LN(Cotacao!X216/Cotacao!X215),L214)</f>
        <v>-1.5808509153185383E-2</v>
      </c>
      <c r="M215" s="6">
        <f>IFERROR(LN(Profit!B215/Profit!B214),M214)</f>
        <v>2.1801428681216518E-2</v>
      </c>
      <c r="N215" s="6">
        <f>IFERROR(LN(Cotacao!AB216/Cotacao!AB215),N214)</f>
        <v>1.8918062886445413E-2</v>
      </c>
      <c r="O215" s="6">
        <f>IFERROR(LN(Cotacao!AD216/Cotacao!AD215),O214)</f>
        <v>-1.6360283105206798E-2</v>
      </c>
      <c r="P215" s="6">
        <f>IFERROR(LN(Cotacao!AF216/Cotacao!AF215),P214)</f>
        <v>-1.9231361927887644E-2</v>
      </c>
      <c r="Q215" s="6">
        <f>IFERROR(LN(Cotacao!AH216/Cotacao!AH215),Q214)</f>
        <v>3.8066113944353677E-2</v>
      </c>
      <c r="R215" s="6">
        <f>IFERROR(LN(Cotacao!AJ216/Cotacao!AJ215),R214)</f>
        <v>-0.13191978873018118</v>
      </c>
      <c r="S215" s="6">
        <f>IFERROR(LN(Cotacao!AL216/Cotacao!AL215),S214)</f>
        <v>-4.434223954350789E-2</v>
      </c>
      <c r="T215" s="6">
        <f>IFERROR(LN(Cotacao!AN216/Cotacao!AN215),T214)</f>
        <v>1.1655012974351919E-3</v>
      </c>
      <c r="U215" s="6">
        <f>IFERROR(LN(Cotacao!AP216/Cotacao!AP215),U214)</f>
        <v>1.947780695957094E-2</v>
      </c>
      <c r="V215" s="6">
        <f>IFERROR(LN(Cotacao!AR216/Cotacao!AR215),V214)</f>
        <v>-2.0080328032457458E-3</v>
      </c>
      <c r="W215" s="6">
        <f>IFERROR(LN(Cotacao!AT216/Cotacao!AT215),W214)</f>
        <v>-1.460858032998774E-2</v>
      </c>
      <c r="X215" s="6">
        <f>IFERROR(LN(Cotacao!AV216/Cotacao!AV215),X214)</f>
        <v>1.069528911674795E-2</v>
      </c>
      <c r="Y215" s="6">
        <f>IFERROR(LN(Cotacao!AX216/Cotacao!AX215),Y214)</f>
        <v>6.0374861543900371E-3</v>
      </c>
      <c r="Z215" s="6">
        <f>IFERROR(LN(Cotacao!AZ216/Cotacao!AZ215),Z214)</f>
        <v>0</v>
      </c>
      <c r="AA215" s="6">
        <f>IFERROR(LN(Cotacao!BB216/Cotacao!BB215),AA214)</f>
        <v>-2.7145243632878983E-3</v>
      </c>
      <c r="AB215" s="6">
        <f>IFERROR(LN(Cotacao!BD216/Cotacao!BD215),AB214)</f>
        <v>-8.1727628038455832E-2</v>
      </c>
      <c r="AC215" s="6">
        <f>IFERROR(LN(Cotacao!BF216/Cotacao!BF215),AC214)</f>
        <v>-5.4480743451295138E-2</v>
      </c>
      <c r="AD215" s="6">
        <f>IFERROR(LN(Cotacao!BH216/Cotacao!BH215),AD214)</f>
        <v>-2.3032452956756821E-2</v>
      </c>
      <c r="AE215" s="6">
        <f>IFERROR(LN(Cotacao!BJ216/Cotacao!BJ215),AE214)</f>
        <v>-1.5612805669524645E-3</v>
      </c>
      <c r="AF215" s="6">
        <f>IFERROR(LN(Cotacao!BL216/Cotacao!BL215),AF214)</f>
        <v>6.6735360612875348E-3</v>
      </c>
      <c r="AG215" s="6">
        <f>IFERROR(LN(Cotacao!BN216/Cotacao!BN215),AG214)</f>
        <v>-4.2242965466746024E-2</v>
      </c>
      <c r="AH215" s="6">
        <f>IFERROR(LN(Cotacao!BP216/Cotacao!BP215),AH214)</f>
        <v>9.2166551049240476E-3</v>
      </c>
      <c r="AI215" s="6">
        <f>IFERROR(LN(Cotacao!BR216/Cotacao!BR215),AI214)</f>
        <v>-4.8111619884015546E-4</v>
      </c>
      <c r="AJ215" s="6">
        <f>IFERROR(LN(Profit!C215/Profit!C214),AJ214)</f>
        <v>-2.5975486403260677E-2</v>
      </c>
      <c r="AK215" s="6">
        <f>IFERROR(LN(Cotacao!BV216/Cotacao!BV215),AK214)</f>
        <v>-1.2025803042244184E-2</v>
      </c>
      <c r="AL215" s="6">
        <f>IFERROR(LN(Cotacao!BX216/Cotacao!BX215),AL214)</f>
        <v>-3.0678414226385807E-2</v>
      </c>
    </row>
    <row r="216" spans="1:38">
      <c r="A216" s="3" t="str">
        <f>Cotacao!C216</f>
        <v>5/7/2020 16:56:00</v>
      </c>
      <c r="B216" s="6">
        <f>IFERROR(LN(Cotacao!D217/Cotacao!D216),B215)</f>
        <v>1.720136235854668E-2</v>
      </c>
      <c r="C216" s="6">
        <f>IFERROR(LN(Cotacao!F217/Cotacao!F216),C215)</f>
        <v>-9.4098213566210405E-3</v>
      </c>
      <c r="D216" s="6">
        <f>IFERROR(LN(Cotacao!H217/Cotacao!H216),D215)</f>
        <v>3.2702635064096972E-2</v>
      </c>
      <c r="E216" s="6">
        <f>IFERROR(LN(Cotacao!J217/Cotacao!J216),E215)</f>
        <v>-1.3423020332140548E-2</v>
      </c>
      <c r="F216" s="6">
        <f>IFERROR(LN(Cotacao!L217/Cotacao!L216),F215)</f>
        <v>6.8643015238989968E-3</v>
      </c>
      <c r="G216" s="6">
        <f>IFERROR(LN(Cotacao!N217/Cotacao!N216),G215)</f>
        <v>2.383903117605236E-2</v>
      </c>
      <c r="H216" s="6">
        <f>IFERROR(LN(Cotacao!P217/Cotacao!P216),H215)</f>
        <v>2.5630259166334927E-2</v>
      </c>
      <c r="I216" s="6">
        <f>IFERROR(LN(Cotacao!R217/Cotacao!R216),I215)</f>
        <v>-3.0238910250767834E-3</v>
      </c>
      <c r="J216" s="6">
        <f>IFERROR(LN(Cotacao!T217/Cotacao!T216),J215)</f>
        <v>-7.9222596557109119E-3</v>
      </c>
      <c r="K216" s="6">
        <f>IFERROR(LN(Cotacao!V217/Cotacao!V216),K215)</f>
        <v>1.2526259819180477E-2</v>
      </c>
      <c r="L216" s="6">
        <f>IFERROR(LN(Cotacao!X217/Cotacao!X216),L215)</f>
        <v>-4.3941981643341047E-3</v>
      </c>
      <c r="M216" s="6">
        <f>IFERROR(LN(Profit!B216/Profit!B215),M215)</f>
        <v>-1.6509334099451264E-2</v>
      </c>
      <c r="N216" s="6">
        <f>IFERROR(LN(Cotacao!AB217/Cotacao!AB216),N215)</f>
        <v>-2.6907452919924382E-2</v>
      </c>
      <c r="O216" s="6">
        <f>IFERROR(LN(Cotacao!AD217/Cotacao!AD216),O215)</f>
        <v>4.1152321451065794E-3</v>
      </c>
      <c r="P216" s="6">
        <f>IFERROR(LN(Cotacao!AF217/Cotacao!AF216),P215)</f>
        <v>-3.0939251199483741E-3</v>
      </c>
      <c r="Q216" s="6">
        <f>IFERROR(LN(Cotacao!AH217/Cotacao!AH216),Q215)</f>
        <v>5.9026615787475922E-2</v>
      </c>
      <c r="R216" s="6">
        <f>IFERROR(LN(Cotacao!AJ217/Cotacao!AJ216),R215)</f>
        <v>0.10825487368419086</v>
      </c>
      <c r="S216" s="6">
        <f>IFERROR(LN(Cotacao!AL217/Cotacao!AL216),S215)</f>
        <v>5.0251362026729795E-3</v>
      </c>
      <c r="T216" s="6">
        <f>IFERROR(LN(Cotacao!AN217/Cotacao!AN216),T215)</f>
        <v>0</v>
      </c>
      <c r="U216" s="6">
        <f>IFERROR(LN(Cotacao!AP217/Cotacao!AP216),U215)</f>
        <v>0</v>
      </c>
      <c r="V216" s="6">
        <f>IFERROR(LN(Cotacao!AR217/Cotacao!AR216),V215)</f>
        <v>5.0125418235444138E-3</v>
      </c>
      <c r="W216" s="6">
        <f>IFERROR(LN(Cotacao!AT217/Cotacao!AT216),W215)</f>
        <v>-4.9669659297267117E-3</v>
      </c>
      <c r="X216" s="6">
        <f>IFERROR(LN(Cotacao!AV217/Cotacao!AV216),X215)</f>
        <v>-4.4287778449356996E-3</v>
      </c>
      <c r="Y216" s="6">
        <f>IFERROR(LN(Cotacao!AX217/Cotacao!AX216),Y215)</f>
        <v>-7.0175726586464227E-3</v>
      </c>
      <c r="Z216" s="6">
        <f>IFERROR(LN(Cotacao!AZ217/Cotacao!AZ216),Z215)</f>
        <v>-2.985296314968116E-2</v>
      </c>
      <c r="AA216" s="6">
        <f>IFERROR(LN(Cotacao!BB217/Cotacao!BB216),AA215)</f>
        <v>2.528911533466496E-2</v>
      </c>
      <c r="AB216" s="6">
        <f>IFERROR(LN(Cotacao!BD217/Cotacao!BD216),AB215)</f>
        <v>0</v>
      </c>
      <c r="AC216" s="6">
        <f>IFERROR(LN(Cotacao!BF217/Cotacao!BF216),AC215)</f>
        <v>-7.8895872751629324E-3</v>
      </c>
      <c r="AD216" s="6">
        <f>IFERROR(LN(Cotacao!BH217/Cotacao!BH216),AD215)</f>
        <v>2.5183982909207037E-2</v>
      </c>
      <c r="AE216" s="6">
        <f>IFERROR(LN(Cotacao!BJ217/Cotacao!BJ216),AE215)</f>
        <v>1.5504186535965254E-2</v>
      </c>
      <c r="AF216" s="6">
        <f>IFERROR(LN(Cotacao!BL217/Cotacao!BL216),AF215)</f>
        <v>-2.1984591621662972E-2</v>
      </c>
      <c r="AG216" s="6">
        <f>IFERROR(LN(Cotacao!BN217/Cotacao!BN216),AG215)</f>
        <v>2.4394722641954154E-2</v>
      </c>
      <c r="AH216" s="6">
        <f>IFERROR(LN(Cotacao!BP217/Cotacao!BP216),AH215)</f>
        <v>5.7922647732704509E-2</v>
      </c>
      <c r="AI216" s="6">
        <f>IFERROR(LN(Cotacao!BR217/Cotacao!BR216),AI215)</f>
        <v>-2.7318772078756104E-2</v>
      </c>
      <c r="AJ216" s="6">
        <f>IFERROR(LN(Profit!C216/Profit!C215),AJ215)</f>
        <v>6.9417941699581953E-3</v>
      </c>
      <c r="AK216" s="6">
        <f>IFERROR(LN(Cotacao!BV217/Cotacao!BV216),AK215)</f>
        <v>2.7085302645424598E-2</v>
      </c>
      <c r="AL216" s="6">
        <f>IFERROR(LN(Cotacao!BX217/Cotacao!BX216),AL215)</f>
        <v>1.5646188287558791E-2</v>
      </c>
    </row>
    <row r="217" spans="1:38">
      <c r="A217" s="3" t="str">
        <f>Cotacao!C217</f>
        <v>5/8/2020 16:56:00</v>
      </c>
      <c r="B217" s="6">
        <f>IFERROR(LN(Cotacao!D218/Cotacao!D217),B216)</f>
        <v>-5.9898141581068959E-2</v>
      </c>
      <c r="C217" s="6">
        <f>IFERROR(LN(Cotacao!F218/Cotacao!F217),C216)</f>
        <v>1.1960843148226395E-2</v>
      </c>
      <c r="D217" s="6">
        <f>IFERROR(LN(Cotacao!H218/Cotacao!H217),D216)</f>
        <v>-1.3430089943064643E-2</v>
      </c>
      <c r="E217" s="6">
        <f>IFERROR(LN(Cotacao!J218/Cotacao!J217),E216)</f>
        <v>-4.373539350780805E-2</v>
      </c>
      <c r="F217" s="6">
        <f>IFERROR(LN(Cotacao!L218/Cotacao!L217),F216)</f>
        <v>-3.6091286562372822E-2</v>
      </c>
      <c r="G217" s="6">
        <f>IFERROR(LN(Cotacao!N218/Cotacao!N217),G216)</f>
        <v>-8.2791720690206481E-3</v>
      </c>
      <c r="H217" s="6">
        <f>IFERROR(LN(Cotacao!P218/Cotacao!P217),H216)</f>
        <v>1.7189738016593306E-2</v>
      </c>
      <c r="I217" s="6">
        <f>IFERROR(LN(Cotacao!R218/Cotacao!R217),I216)</f>
        <v>-4.395631789911561E-2</v>
      </c>
      <c r="J217" s="6">
        <f>IFERROR(LN(Cotacao!T218/Cotacao!T217),J216)</f>
        <v>-1.4471782554660287E-3</v>
      </c>
      <c r="K217" s="6">
        <f>IFERROR(LN(Cotacao!V218/Cotacao!V217),K216)</f>
        <v>-2.9475818132953691E-2</v>
      </c>
      <c r="L217" s="6">
        <f>IFERROR(LN(Cotacao!X218/Cotacao!X217),L216)</f>
        <v>9.5142093491887483E-3</v>
      </c>
      <c r="M217" s="6">
        <f>IFERROR(LN(Profit!B217/Profit!B216),M216)</f>
        <v>3.6280638471946645E-2</v>
      </c>
      <c r="N217" s="6">
        <f>IFERROR(LN(Cotacao!AB218/Cotacao!AB217),N216)</f>
        <v>1.0689471889049637E-3</v>
      </c>
      <c r="O217" s="6">
        <f>IFERROR(LN(Cotacao!AD218/Cotacao!AD217),O216)</f>
        <v>-7.1636433020601714E-2</v>
      </c>
      <c r="P217" s="6">
        <f>IFERROR(LN(Cotacao!AF218/Cotacao!AF217),P216)</f>
        <v>-1.6064602503806674E-2</v>
      </c>
      <c r="Q217" s="6">
        <f>IFERROR(LN(Cotacao!AH218/Cotacao!AH217),Q216)</f>
        <v>-2.3194247470986688E-2</v>
      </c>
      <c r="R217" s="6">
        <f>IFERROR(LN(Cotacao!AJ218/Cotacao!AJ217),R216)</f>
        <v>-2.4238545587048643E-2</v>
      </c>
      <c r="S217" s="6">
        <f>IFERROR(LN(Cotacao!AL218/Cotacao!AL217),S216)</f>
        <v>-3.5718082602079232E-2</v>
      </c>
      <c r="T217" s="6">
        <f>IFERROR(LN(Cotacao!AN218/Cotacao!AN217),T216)</f>
        <v>-5.8258084956786947E-4</v>
      </c>
      <c r="U217" s="6">
        <f>IFERROR(LN(Cotacao!AP218/Cotacao!AP217),U216)</f>
        <v>2.9509518093780499E-2</v>
      </c>
      <c r="V217" s="6">
        <f>IFERROR(LN(Cotacao!AR218/Cotacao!AR217),V216)</f>
        <v>1.9980026626730579E-3</v>
      </c>
      <c r="W217" s="6">
        <f>IFERROR(LN(Cotacao!AT218/Cotacao!AT217),W216)</f>
        <v>1.3049308382047183E-2</v>
      </c>
      <c r="X217" s="6">
        <f>IFERROR(LN(Cotacao!AV218/Cotacao!AV217),X216)</f>
        <v>-1.4806287150112599E-3</v>
      </c>
      <c r="Y217" s="6">
        <f>IFERROR(LN(Cotacao!AX218/Cotacao!AX217),Y216)</f>
        <v>6.3977470754255318E-3</v>
      </c>
      <c r="Z217" s="6">
        <f>IFERROR(LN(Cotacao!AZ218/Cotacao!AZ217),Z216)</f>
        <v>-2.144033123786929E-2</v>
      </c>
      <c r="AA217" s="6">
        <f>IFERROR(LN(Cotacao!BB218/Cotacao!BB217),AA216)</f>
        <v>2.3860536066056953E-2</v>
      </c>
      <c r="AB217" s="6">
        <f>IFERROR(LN(Cotacao!BD218/Cotacao!BD217),AB216)</f>
        <v>-5.0718620979602284E-3</v>
      </c>
      <c r="AC217" s="6">
        <f>IFERROR(LN(Cotacao!BF218/Cotacao!BF217),AC216)</f>
        <v>-1.486252441038562E-3</v>
      </c>
      <c r="AD217" s="6">
        <f>IFERROR(LN(Cotacao!BH218/Cotacao!BH217),AD216)</f>
        <v>2.2766198010499918E-2</v>
      </c>
      <c r="AE217" s="6">
        <f>IFERROR(LN(Cotacao!BJ218/Cotacao!BJ217),AE216)</f>
        <v>1.1928570865273812E-2</v>
      </c>
      <c r="AF217" s="6">
        <f>IFERROR(LN(Cotacao!BL218/Cotacao!BL217),AF216)</f>
        <v>1.5311055560375245E-2</v>
      </c>
      <c r="AG217" s="6">
        <f>IFERROR(LN(Cotacao!BN218/Cotacao!BN217),AG216)</f>
        <v>-2.575249610241474E-2</v>
      </c>
      <c r="AH217" s="6">
        <f>IFERROR(LN(Cotacao!BP218/Cotacao!BP217),AH216)</f>
        <v>-1.8018505502678365E-2</v>
      </c>
      <c r="AI217" s="6">
        <f>IFERROR(LN(Cotacao!BR218/Cotacao!BR217),AI216)</f>
        <v>4.2600826889695548E-2</v>
      </c>
      <c r="AJ217" s="6">
        <f>IFERROR(LN(Profit!C217/Profit!C216),AJ216)</f>
        <v>2.4298841666203524E-2</v>
      </c>
      <c r="AK217" s="6">
        <f>IFERROR(LN(Cotacao!BV218/Cotacao!BV217),AK216)</f>
        <v>-1.5047863480912898E-2</v>
      </c>
      <c r="AL217" s="6">
        <f>IFERROR(LN(Cotacao!BX218/Cotacao!BX217),AL216)</f>
        <v>-1.3724958109664898E-2</v>
      </c>
    </row>
    <row r="218" spans="1:38">
      <c r="A218" s="3" t="str">
        <f>Cotacao!C218</f>
        <v>5/11/2020 16:56:00</v>
      </c>
      <c r="B218" s="6">
        <f>IFERROR(LN(Cotacao!D219/Cotacao!D218),B217)</f>
        <v>-2.079076966907378E-2</v>
      </c>
      <c r="C218" s="6">
        <f>IFERROR(LN(Cotacao!F219/Cotacao!F218),C217)</f>
        <v>-3.0174703122213042E-2</v>
      </c>
      <c r="D218" s="6">
        <f>IFERROR(LN(Cotacao!H219/Cotacao!H218),D217)</f>
        <v>-1.6573488151867204E-2</v>
      </c>
      <c r="E218" s="6">
        <f>IFERROR(LN(Cotacao!J219/Cotacao!J218),E217)</f>
        <v>1.2858154943368659E-2</v>
      </c>
      <c r="F218" s="6">
        <f>IFERROR(LN(Cotacao!L219/Cotacao!L218),F217)</f>
        <v>-2.5823126034726844E-3</v>
      </c>
      <c r="G218" s="6">
        <f>IFERROR(LN(Cotacao!N219/Cotacao!N218),G217)</f>
        <v>-2.8917677639579656E-2</v>
      </c>
      <c r="H218" s="6">
        <f>IFERROR(LN(Cotacao!P219/Cotacao!P218),H217)</f>
        <v>-3.8023824919435276E-2</v>
      </c>
      <c r="I218" s="6">
        <f>IFERROR(LN(Cotacao!R219/Cotacao!R218),I217)</f>
        <v>-2.8894465999715003E-2</v>
      </c>
      <c r="J218" s="6">
        <f>IFERROR(LN(Cotacao!T219/Cotacao!T218),J217)</f>
        <v>-1.3853666699834592E-2</v>
      </c>
      <c r="K218" s="6">
        <f>IFERROR(LN(Cotacao!V219/Cotacao!V218),K217)</f>
        <v>-4.814934389758261E-2</v>
      </c>
      <c r="L218" s="6">
        <f>IFERROR(LN(Cotacao!X219/Cotacao!X218),L217)</f>
        <v>-6.0829385582480706E-3</v>
      </c>
      <c r="M218" s="6">
        <f>IFERROR(LN(Profit!B218/Profit!B217),M217)</f>
        <v>5.8559605173991091E-3</v>
      </c>
      <c r="N218" s="6">
        <f>IFERROR(LN(Cotacao!AB219/Cotacao!AB218),N217)</f>
        <v>1.0098411620920102E-2</v>
      </c>
      <c r="O218" s="6">
        <f>IFERROR(LN(Cotacao!AD219/Cotacao!AD218),O217)</f>
        <v>-1.3323661198470543E-2</v>
      </c>
      <c r="P218" s="6">
        <f>IFERROR(LN(Cotacao!AF219/Cotacao!AF218),P217)</f>
        <v>2.246687082978194E-3</v>
      </c>
      <c r="Q218" s="6">
        <f>IFERROR(LN(Cotacao!AH219/Cotacao!AH218),Q217)</f>
        <v>-5.6728800101876527E-3</v>
      </c>
      <c r="R218" s="6">
        <f>IFERROR(LN(Cotacao!AJ219/Cotacao!AJ218),R217)</f>
        <v>-1.38432622776132E-2</v>
      </c>
      <c r="S218" s="6">
        <f>IFERROR(LN(Cotacao!AL219/Cotacao!AL218),S217)</f>
        <v>-4.5160396118853308E-2</v>
      </c>
      <c r="T218" s="6">
        <f>IFERROR(LN(Cotacao!AN219/Cotacao!AN218),T217)</f>
        <v>-3.9705762780377829E-3</v>
      </c>
      <c r="U218" s="6">
        <f>IFERROR(LN(Cotacao!AP219/Cotacao!AP218),U217)</f>
        <v>-1.2298082201586321E-2</v>
      </c>
      <c r="V218" s="6">
        <f>IFERROR(LN(Cotacao!AR219/Cotacao!AR218),V217)</f>
        <v>9.9750631712533814E-4</v>
      </c>
      <c r="W218" s="6">
        <f>IFERROR(LN(Cotacao!AT219/Cotacao!AT218),W217)</f>
        <v>-1.2222520406053023E-2</v>
      </c>
      <c r="X218" s="6">
        <f>IFERROR(LN(Cotacao!AV219/Cotacao!AV218),X217)</f>
        <v>-1.0707080049377022E-3</v>
      </c>
      <c r="Y218" s="6">
        <f>IFERROR(LN(Cotacao!AX219/Cotacao!AX218),Y217)</f>
        <v>7.9684806553841471E-4</v>
      </c>
      <c r="Z218" s="6">
        <f>IFERROR(LN(Cotacao!AZ219/Cotacao!AZ218),Z217)</f>
        <v>0</v>
      </c>
      <c r="AA218" s="6">
        <f>IFERROR(LN(Cotacao!BB219/Cotacao!BB218),AA217)</f>
        <v>1.0924069857099193E-2</v>
      </c>
      <c r="AB218" s="6">
        <f>IFERROR(LN(Cotacao!BD219/Cotacao!BD218),AB217)</f>
        <v>-6.8387727746850716E-2</v>
      </c>
      <c r="AC218" s="6">
        <f>IFERROR(LN(Cotacao!BF219/Cotacao!BF218),AC217)</f>
        <v>-5.7654322602901306E-2</v>
      </c>
      <c r="AD218" s="6">
        <f>IFERROR(LN(Cotacao!BH219/Cotacao!BH218),AD217)</f>
        <v>2.6067826769917684E-2</v>
      </c>
      <c r="AE218" s="6">
        <f>IFERROR(LN(Cotacao!BJ219/Cotacao!BJ218),AE217)</f>
        <v>-4.8765716878764074E-3</v>
      </c>
      <c r="AF218" s="6">
        <f>IFERROR(LN(Cotacao!BL219/Cotacao!BL218),AF217)</f>
        <v>-3.4852210767210727E-2</v>
      </c>
      <c r="AG218" s="6">
        <f>IFERROR(LN(Cotacao!BN219/Cotacao!BN218),AG217)</f>
        <v>-2.9507173139566828E-2</v>
      </c>
      <c r="AH218" s="6">
        <f>IFERROR(LN(Cotacao!BP219/Cotacao!BP218),AH217)</f>
        <v>-5.5111602386911408E-4</v>
      </c>
      <c r="AI218" s="6">
        <f>IFERROR(LN(Cotacao!BR219/Cotacao!BR218),AI217)</f>
        <v>-1.4320053774748558E-2</v>
      </c>
      <c r="AJ218" s="6">
        <f>IFERROR(LN(Profit!C218/Profit!C217),AJ217)</f>
        <v>-2.892134604507066E-2</v>
      </c>
      <c r="AK218" s="6">
        <f>IFERROR(LN(Cotacao!BV219/Cotacao!BV218),AK217)</f>
        <v>-1.5199428822334741E-2</v>
      </c>
      <c r="AL218" s="6">
        <f>IFERROR(LN(Cotacao!BX219/Cotacao!BX218),AL217)</f>
        <v>-2.6450394588185457E-2</v>
      </c>
    </row>
    <row r="219" spans="1:38">
      <c r="A219" s="3" t="str">
        <f>Cotacao!C219</f>
        <v>5/12/2020 16:56:00</v>
      </c>
      <c r="B219" s="6">
        <f>IFERROR(LN(Cotacao!D220/Cotacao!D219),B218)</f>
        <v>8.3682496705165792E-3</v>
      </c>
      <c r="C219" s="6">
        <f>IFERROR(LN(Cotacao!F220/Cotacao!F219),C218)</f>
        <v>1.1314306946075527E-2</v>
      </c>
      <c r="D219" s="6">
        <f>IFERROR(LN(Cotacao!H220/Cotacao!H219),D218)</f>
        <v>-1.0295403861099787E-2</v>
      </c>
      <c r="E219" s="6">
        <f>IFERROR(LN(Cotacao!J220/Cotacao!J219),E218)</f>
        <v>-1.8757877070557025E-2</v>
      </c>
      <c r="F219" s="6">
        <f>IFERROR(LN(Cotacao!L220/Cotacao!L219),F218)</f>
        <v>-1.1703644644003891E-2</v>
      </c>
      <c r="G219" s="6">
        <f>IFERROR(LN(Cotacao!N220/Cotacao!N219),G218)</f>
        <v>4.8780584534329936E-3</v>
      </c>
      <c r="H219" s="6">
        <f>IFERROR(LN(Cotacao!P220/Cotacao!P219),H218)</f>
        <v>-2.3952107259547105E-3</v>
      </c>
      <c r="I219" s="6">
        <f>IFERROR(LN(Cotacao!R220/Cotacao!R219),I218)</f>
        <v>-2.3065272930996104E-2</v>
      </c>
      <c r="J219" s="6">
        <f>IFERROR(LN(Cotacao!T220/Cotacao!T219),J218)</f>
        <v>-2.9052322594501877E-2</v>
      </c>
      <c r="K219" s="6">
        <f>IFERROR(LN(Cotacao!V220/Cotacao!V219),K218)</f>
        <v>-1.3544225107757149E-2</v>
      </c>
      <c r="L219" s="6">
        <f>IFERROR(LN(Cotacao!X220/Cotacao!X219),L218)</f>
        <v>-1.9346726096840149E-2</v>
      </c>
      <c r="M219" s="6">
        <f>IFERROR(LN(Profit!B219/Profit!B218),M218)</f>
        <v>2.2325792575656211E-2</v>
      </c>
      <c r="N219" s="6">
        <f>IFERROR(LN(Cotacao!AB220/Cotacao!AB219),N218)</f>
        <v>-5.289606047694965E-4</v>
      </c>
      <c r="O219" s="6">
        <f>IFERROR(LN(Cotacao!AD220/Cotacao!AD219),O218)</f>
        <v>-6.7289973529184709E-3</v>
      </c>
      <c r="P219" s="6">
        <f>IFERROR(LN(Cotacao!AF220/Cotacao!AF219),P218)</f>
        <v>-8.9806921168449289E-4</v>
      </c>
      <c r="Q219" s="6">
        <f>IFERROR(LN(Cotacao!AH220/Cotacao!AH219),Q218)</f>
        <v>2.2500949290837818E-2</v>
      </c>
      <c r="R219" s="6">
        <f>IFERROR(LN(Cotacao!AJ220/Cotacao!AJ219),R218)</f>
        <v>1.2149781771280262E-2</v>
      </c>
      <c r="S219" s="6">
        <f>IFERROR(LN(Cotacao!AL220/Cotacao!AL219),S218)</f>
        <v>1.6172859245600968E-2</v>
      </c>
      <c r="T219" s="6">
        <f>IFERROR(LN(Cotacao!AN220/Cotacao!AN219),T218)</f>
        <v>-1.1296895852750644E-2</v>
      </c>
      <c r="U219" s="6">
        <f>IFERROR(LN(Cotacao!AP220/Cotacao!AP219),U218)</f>
        <v>2.8897434288929157E-3</v>
      </c>
      <c r="V219" s="6">
        <f>IFERROR(LN(Cotacao!AR220/Cotacao!AR219),V218)</f>
        <v>-3.9960093133819758E-3</v>
      </c>
      <c r="W219" s="6">
        <f>IFERROR(LN(Cotacao!AT220/Cotacao!AT219),W218)</f>
        <v>-8.2988028146950658E-3</v>
      </c>
      <c r="X219" s="6">
        <f>IFERROR(LN(Cotacao!AV220/Cotacao!AV219),X218)</f>
        <v>-5.3708040691244812E-3</v>
      </c>
      <c r="Y219" s="6">
        <f>IFERROR(LN(Cotacao!AX220/Cotacao!AX219),Y218)</f>
        <v>-3.9906052160218666E-3</v>
      </c>
      <c r="Z219" s="6">
        <f>IFERROR(LN(Cotacao!AZ220/Cotacao!AZ219),Z218)</f>
        <v>-3.1007776782481593E-3</v>
      </c>
      <c r="AA219" s="6">
        <f>IFERROR(LN(Cotacao!BB220/Cotacao!BB219),AA218)</f>
        <v>-1.1959743137244684E-2</v>
      </c>
      <c r="AB219" s="6">
        <f>IFERROR(LN(Cotacao!BD220/Cotacao!BD219),AB218)</f>
        <v>-3.0403078687814559E-2</v>
      </c>
      <c r="AC219" s="6">
        <f>IFERROR(LN(Cotacao!BF220/Cotacao!BF219),AC218)</f>
        <v>-7.2977389783435764E-2</v>
      </c>
      <c r="AD219" s="6">
        <f>IFERROR(LN(Cotacao!BH220/Cotacao!BH219),AD218)</f>
        <v>1.460920639674648E-3</v>
      </c>
      <c r="AE219" s="6">
        <f>IFERROR(LN(Cotacao!BJ220/Cotacao!BJ219),AE218)</f>
        <v>-5.8219867221974923E-3</v>
      </c>
      <c r="AF219" s="6">
        <f>IFERROR(LN(Cotacao!BL220/Cotacao!BL219),AF218)</f>
        <v>1.3245226750020723E-2</v>
      </c>
      <c r="AG219" s="6">
        <f>IFERROR(LN(Cotacao!BN220/Cotacao!BN219),AG218)</f>
        <v>1.1962863488657228E-2</v>
      </c>
      <c r="AH219" s="6">
        <f>IFERROR(LN(Cotacao!BP220/Cotacao!BP219),AH218)</f>
        <v>-3.0788885937523727E-2</v>
      </c>
      <c r="AI219" s="6">
        <f>IFERROR(LN(Cotacao!BR220/Cotacao!BR219),AI218)</f>
        <v>-2.6304487886734874E-2</v>
      </c>
      <c r="AJ219" s="6">
        <f>IFERROR(LN(Profit!C219/Profit!C218),AJ218)</f>
        <v>6.9257683529600359E-3</v>
      </c>
      <c r="AK219" s="6">
        <f>IFERROR(LN(Cotacao!BV220/Cotacao!BV219),AK218)</f>
        <v>-1.2817701617040792E-3</v>
      </c>
      <c r="AL219" s="6">
        <f>IFERROR(LN(Cotacao!BX220/Cotacao!BX219),AL218)</f>
        <v>4.7188447768334116E-3</v>
      </c>
    </row>
    <row r="220" spans="1:38">
      <c r="A220" s="3" t="str">
        <f>Cotacao!C220</f>
        <v>5/13/2020 16:56:00</v>
      </c>
      <c r="B220" s="6">
        <f>IFERROR(LN(Cotacao!D221/Cotacao!D220),B219)</f>
        <v>-1.8503471564559754E-2</v>
      </c>
      <c r="C220" s="6">
        <f>IFERROR(LN(Cotacao!F221/Cotacao!F220),C219)</f>
        <v>2.563147579102492E-2</v>
      </c>
      <c r="D220" s="6">
        <f>IFERROR(LN(Cotacao!H221/Cotacao!H220),D219)</f>
        <v>4.3432962060975612E-2</v>
      </c>
      <c r="E220" s="6">
        <f>IFERROR(LN(Cotacao!J221/Cotacao!J220),E219)</f>
        <v>0.11607217125275422</v>
      </c>
      <c r="F220" s="6">
        <f>IFERROR(LN(Cotacao!L221/Cotacao!L220),F219)</f>
        <v>3.0276064488762241E-2</v>
      </c>
      <c r="G220" s="6">
        <f>IFERROR(LN(Cotacao!N221/Cotacao!N220),G219)</f>
        <v>3.5846131773135663E-2</v>
      </c>
      <c r="H220" s="6">
        <f>IFERROR(LN(Cotacao!P221/Cotacao!P220),H219)</f>
        <v>3.0233762409608407E-2</v>
      </c>
      <c r="I220" s="6">
        <f>IFERROR(LN(Cotacao!R221/Cotacao!R220),I219)</f>
        <v>-6.6688898770376765E-4</v>
      </c>
      <c r="J220" s="6">
        <f>IFERROR(LN(Cotacao!T221/Cotacao!T220),J219)</f>
        <v>2.0943173845243173E-2</v>
      </c>
      <c r="K220" s="6">
        <f>IFERROR(LN(Cotacao!V221/Cotacao!V220),K219)</f>
        <v>-6.8415318167167121E-3</v>
      </c>
      <c r="L220" s="6">
        <f>IFERROR(LN(Cotacao!X221/Cotacao!X220),L219)</f>
        <v>-3.3062696456904801E-2</v>
      </c>
      <c r="M220" s="6">
        <f>IFERROR(LN(Profit!B220/Profit!B219),M219)</f>
        <v>-3.8138871553939522E-3</v>
      </c>
      <c r="N220" s="6">
        <f>IFERROR(LN(Cotacao!AB221/Cotacao!AB220),N219)</f>
        <v>-3.1796529173795732E-3</v>
      </c>
      <c r="O220" s="6">
        <f>IFERROR(LN(Cotacao!AD221/Cotacao!AD220),O219)</f>
        <v>2.5917778003787119E-2</v>
      </c>
      <c r="P220" s="6">
        <f>IFERROR(LN(Cotacao!AF221/Cotacao!AF220),P219)</f>
        <v>1.0279420123825336E-2</v>
      </c>
      <c r="Q220" s="6">
        <f>IFERROR(LN(Cotacao!AH221/Cotacao!AH220),Q219)</f>
        <v>-9.3139450088839601E-3</v>
      </c>
      <c r="R220" s="6">
        <f>IFERROR(LN(Cotacao!AJ221/Cotacao!AJ220),R219)</f>
        <v>5.914677149957445E-3</v>
      </c>
      <c r="S220" s="6">
        <f>IFERROR(LN(Cotacao!AL221/Cotacao!AL220),S219)</f>
        <v>4.1890941709160127E-2</v>
      </c>
      <c r="T220" s="6">
        <f>IFERROR(LN(Cotacao!AN221/Cotacao!AN220),T219)</f>
        <v>-1.5396461855927501E-3</v>
      </c>
      <c r="U220" s="6">
        <f>IFERROR(LN(Cotacao!AP221/Cotacao!AP220),U219)</f>
        <v>9.945301665083635E-4</v>
      </c>
      <c r="V220" s="6">
        <f>IFERROR(LN(Cotacao!AR221/Cotacao!AR220),V219)</f>
        <v>-2.0040086867151429E-3</v>
      </c>
      <c r="W220" s="6">
        <f>IFERROR(LN(Cotacao!AT221/Cotacao!AT220),W219)</f>
        <v>-1.1735256218420965E-2</v>
      </c>
      <c r="X220" s="6">
        <f>IFERROR(LN(Cotacao!AV221/Cotacao!AV220),X219)</f>
        <v>2.3171145752823889E-3</v>
      </c>
      <c r="Y220" s="6">
        <f>IFERROR(LN(Cotacao!AX221/Cotacao!AX220),Y219)</f>
        <v>-3.5549236065819488E-4</v>
      </c>
      <c r="Z220" s="6">
        <f>IFERROR(LN(Cotacao!AZ221/Cotacao!AZ220),Z219)</f>
        <v>6.1919702479209804E-3</v>
      </c>
      <c r="AA220" s="6">
        <f>IFERROR(LN(Cotacao!BB221/Cotacao!BB220),AA219)</f>
        <v>1.0931792464053197E-3</v>
      </c>
      <c r="AB220" s="6">
        <f>IFERROR(LN(Cotacao!BD221/Cotacao!BD220),AB219)</f>
        <v>6.4304630363496054E-2</v>
      </c>
      <c r="AC220" s="6">
        <f>IFERROR(LN(Cotacao!BF221/Cotacao!BF220),AC219)</f>
        <v>-1.4798221098949729E-2</v>
      </c>
      <c r="AD220" s="6">
        <f>IFERROR(LN(Cotacao!BH221/Cotacao!BH220),AD219)</f>
        <v>1.4587894636598666E-3</v>
      </c>
      <c r="AE220" s="6">
        <f>IFERROR(LN(Cotacao!BJ221/Cotacao!BJ220),AE219)</f>
        <v>-1.100066714340461E-2</v>
      </c>
      <c r="AF220" s="6">
        <f>IFERROR(LN(Cotacao!BL221/Cotacao!BL220),AF219)</f>
        <v>-1.7253248147559453E-2</v>
      </c>
      <c r="AG220" s="6">
        <f>IFERROR(LN(Cotacao!BN221/Cotacao!BN220),AG219)</f>
        <v>4.4884527706335692E-2</v>
      </c>
      <c r="AH220" s="6">
        <f>IFERROR(LN(Cotacao!BP221/Cotacao!BP220),AH219)</f>
        <v>-1.0860352528983508E-2</v>
      </c>
      <c r="AI220" s="6">
        <f>IFERROR(LN(Cotacao!BR221/Cotacao!BR220),AI219)</f>
        <v>3.6825866628267617E-2</v>
      </c>
      <c r="AJ220" s="6">
        <f>IFERROR(LN(Profit!C220/Profit!C219),AJ219)</f>
        <v>1.3709277925033363E-2</v>
      </c>
      <c r="AK220" s="6">
        <f>IFERROR(LN(Cotacao!BV221/Cotacao!BV220),AK219)</f>
        <v>1.580063769906552E-2</v>
      </c>
      <c r="AL220" s="6">
        <f>IFERROR(LN(Cotacao!BX221/Cotacao!BX220),AL219)</f>
        <v>1.5956750317468016E-2</v>
      </c>
    </row>
    <row r="221" spans="1:38">
      <c r="A221" s="3" t="str">
        <f>Cotacao!C221</f>
        <v>5/14/2020 16:56:00</v>
      </c>
      <c r="B221" s="6">
        <f>IFERROR(LN(Cotacao!D222/Cotacao!D221),B220)</f>
        <v>-7.6694027394636193E-3</v>
      </c>
      <c r="C221" s="6">
        <f>IFERROR(LN(Cotacao!F222/Cotacao!F221),C220)</f>
        <v>-4.8389569597402253E-2</v>
      </c>
      <c r="D221" s="6">
        <f>IFERROR(LN(Cotacao!H222/Cotacao!H221),D220)</f>
        <v>1.30293178041584E-3</v>
      </c>
      <c r="E221" s="6">
        <f>IFERROR(LN(Cotacao!J222/Cotacao!J221),E220)</f>
        <v>1.4644613188197732E-2</v>
      </c>
      <c r="F221" s="6">
        <f>IFERROR(LN(Cotacao!L222/Cotacao!L221),F220)</f>
        <v>-8.2829399963478077E-3</v>
      </c>
      <c r="G221" s="6">
        <f>IFERROR(LN(Cotacao!N222/Cotacao!N221),G220)</f>
        <v>-4.5626160826775293E-2</v>
      </c>
      <c r="H221" s="6">
        <f>IFERROR(LN(Cotacao!P222/Cotacao!P221),H220)</f>
        <v>-3.9872391247377348E-2</v>
      </c>
      <c r="I221" s="6">
        <f>IFERROR(LN(Cotacao!R222/Cotacao!R221),I220)</f>
        <v>-1.0731155964665652E-2</v>
      </c>
      <c r="J221" s="6">
        <f>IFERROR(LN(Cotacao!T222/Cotacao!T221),J220)</f>
        <v>6.6396407698987962E-3</v>
      </c>
      <c r="K221" s="6">
        <f>IFERROR(LN(Cotacao!V222/Cotacao!V221),K220)</f>
        <v>4.2559614418795903E-2</v>
      </c>
      <c r="L221" s="6">
        <f>IFERROR(LN(Cotacao!X222/Cotacao!X221),L220)</f>
        <v>3.0440030763893254E-2</v>
      </c>
      <c r="M221" s="6">
        <f>IFERROR(LN(Profit!B221/Profit!B220),M220)</f>
        <v>1.5273007932604667E-3</v>
      </c>
      <c r="N221" s="6">
        <f>IFERROR(LN(Cotacao!AB222/Cotacao!AB221),N220)</f>
        <v>3.1864800916238237E-2</v>
      </c>
      <c r="O221" s="6">
        <f>IFERROR(LN(Cotacao!AD222/Cotacao!AD221),O220)</f>
        <v>-5.0985554732867637E-2</v>
      </c>
      <c r="P221" s="6">
        <f>IFERROR(LN(Cotacao!AF222/Cotacao!AF221),P220)</f>
        <v>-2.9785595409371757E-2</v>
      </c>
      <c r="Q221" s="6">
        <f>IFERROR(LN(Cotacao!AH222/Cotacao!AH221),Q220)</f>
        <v>-8.321198732698968E-4</v>
      </c>
      <c r="R221" s="6">
        <f>IFERROR(LN(Cotacao!AJ222/Cotacao!AJ221),R220)</f>
        <v>-2.9495619738864408E-2</v>
      </c>
      <c r="S221" s="6">
        <f>IFERROR(LN(Cotacao!AL222/Cotacao!AL221),S220)</f>
        <v>-5.5350095083164956E-2</v>
      </c>
      <c r="T221" s="6">
        <f>IFERROR(LN(Cotacao!AN222/Cotacao!AN221),T220)</f>
        <v>5.9087858040501153E-3</v>
      </c>
      <c r="U221" s="6">
        <f>IFERROR(LN(Cotacao!AP222/Cotacao!AP221),U220)</f>
        <v>1.13665666570656E-2</v>
      </c>
      <c r="V221" s="6">
        <f>IFERROR(LN(Cotacao!AR222/Cotacao!AR221),V220)</f>
        <v>3.0045090202987222E-3</v>
      </c>
      <c r="W221" s="6">
        <f>IFERROR(LN(Cotacao!AT222/Cotacao!AT221),W220)</f>
        <v>5.8848425402453584E-3</v>
      </c>
      <c r="X221" s="6">
        <f>IFERROR(LN(Cotacao!AV222/Cotacao!AV221),X220)</f>
        <v>1.1832512744155614E-2</v>
      </c>
      <c r="Y221" s="6">
        <f>IFERROR(LN(Cotacao!AX222/Cotacao!AX221),Y220)</f>
        <v>3.9920212695374567E-3</v>
      </c>
      <c r="Z221" s="6">
        <f>IFERROR(LN(Cotacao!AZ222/Cotacao!AZ221),Z220)</f>
        <v>9.2166551049240476E-3</v>
      </c>
      <c r="AA221" s="6">
        <f>IFERROR(LN(Cotacao!BB222/Cotacao!BB221),AA220)</f>
        <v>3.2723857315729676E-3</v>
      </c>
      <c r="AB221" s="6">
        <f>IFERROR(LN(Cotacao!BD222/Cotacao!BD221),AB220)</f>
        <v>8.6499550122169921E-2</v>
      </c>
      <c r="AC221" s="6">
        <f>IFERROR(LN(Cotacao!BF222/Cotacao!BF221),AC220)</f>
        <v>-1.0954275003464922E-2</v>
      </c>
      <c r="AD221" s="6">
        <f>IFERROR(LN(Cotacao!BH222/Cotacao!BH221),AD220)</f>
        <v>1.2170535620255335E-2</v>
      </c>
      <c r="AE221" s="6">
        <f>IFERROR(LN(Cotacao!BJ222/Cotacao!BJ221),AE220)</f>
        <v>6.1332782170737442E-3</v>
      </c>
      <c r="AF221" s="6">
        <f>IFERROR(LN(Cotacao!BL222/Cotacao!BL221),AF220)</f>
        <v>-2.5489449391484374E-2</v>
      </c>
      <c r="AG221" s="6">
        <f>IFERROR(LN(Cotacao!BN222/Cotacao!BN221),AG220)</f>
        <v>4.4474754512159459E-2</v>
      </c>
      <c r="AH221" s="6">
        <f>IFERROR(LN(Cotacao!BP222/Cotacao!BP221),AH220)</f>
        <v>-1.4472032608534432E-2</v>
      </c>
      <c r="AI221" s="6">
        <f>IFERROR(LN(Cotacao!BR222/Cotacao!BR221),AI220)</f>
        <v>-9.5603022619822255E-3</v>
      </c>
      <c r="AJ221" s="6">
        <f>IFERROR(LN(Profit!C221/Profit!C220),AJ220)</f>
        <v>5.0877171511811377E-2</v>
      </c>
      <c r="AK221" s="6">
        <f>IFERROR(LN(Cotacao!BV222/Cotacao!BV221),AK220)</f>
        <v>-1.8576428288610367E-2</v>
      </c>
      <c r="AL221" s="6">
        <f>IFERROR(LN(Cotacao!BX222/Cotacao!BX221),AL220)</f>
        <v>3.4688799479068852E-3</v>
      </c>
    </row>
    <row r="222" spans="1:38">
      <c r="A222" s="3" t="str">
        <f>Cotacao!C222</f>
        <v>5/15/2020 16:56:00</v>
      </c>
      <c r="B222" s="6">
        <f>IFERROR(LN(Cotacao!D223/Cotacao!D222),B221)</f>
        <v>3.8595394302580598E-2</v>
      </c>
      <c r="C222" s="6">
        <f>IFERROR(LN(Cotacao!F223/Cotacao!F222),C221)</f>
        <v>3.949309067020141E-2</v>
      </c>
      <c r="D222" s="6">
        <f>IFERROR(LN(Cotacao!H223/Cotacao!H222),D221)</f>
        <v>3.8068206323634099E-2</v>
      </c>
      <c r="E222" s="6">
        <f>IFERROR(LN(Cotacao!J223/Cotacao!J222),E221)</f>
        <v>1.3409174614966895E-2</v>
      </c>
      <c r="F222" s="6">
        <f>IFERROR(LN(Cotacao!L223/Cotacao!L222),F221)</f>
        <v>3.7669237093114559E-2</v>
      </c>
      <c r="G222" s="6">
        <f>IFERROR(LN(Cotacao!N223/Cotacao!N222),G221)</f>
        <v>4.7970827786029319E-2</v>
      </c>
      <c r="H222" s="6">
        <f>IFERROR(LN(Cotacao!P223/Cotacao!P222),H221)</f>
        <v>3.4740586189857418E-2</v>
      </c>
      <c r="I222" s="6">
        <f>IFERROR(LN(Cotacao!R223/Cotacao!R222),I221)</f>
        <v>3.2507008162604573E-2</v>
      </c>
      <c r="J222" s="6">
        <f>IFERROR(LN(Cotacao!T223/Cotacao!T222),J221)</f>
        <v>0.12947907541957468</v>
      </c>
      <c r="K222" s="6">
        <f>IFERROR(LN(Cotacao!V223/Cotacao!V222),K221)</f>
        <v>2.5975486403260736E-2</v>
      </c>
      <c r="L222" s="6">
        <f>IFERROR(LN(Cotacao!X223/Cotacao!X222),L221)</f>
        <v>1.7463429869145765E-2</v>
      </c>
      <c r="M222" s="6">
        <f>IFERROR(LN(Profit!B222/Profit!B221),M221)</f>
        <v>-1.0354838447017177E-2</v>
      </c>
      <c r="N222" s="6">
        <f>IFERROR(LN(Cotacao!AB223/Cotacao!AB222),N221)</f>
        <v>-1.3979000609163097E-2</v>
      </c>
      <c r="O222" s="6">
        <f>IFERROR(LN(Cotacao!AD223/Cotacao!AD222),O221)</f>
        <v>1.3751171612824419E-2</v>
      </c>
      <c r="P222" s="6">
        <f>IFERROR(LN(Cotacao!AF223/Cotacao!AF222),P221)</f>
        <v>2.3988477725045931E-2</v>
      </c>
      <c r="Q222" s="6">
        <f>IFERROR(LN(Cotacao!AH223/Cotacao!AH222),Q221)</f>
        <v>6.466858551962365E-2</v>
      </c>
      <c r="R222" s="6">
        <f>IFERROR(LN(Cotacao!AJ223/Cotacao!AJ222),R221)</f>
        <v>3.3489319214131487E-2</v>
      </c>
      <c r="S222" s="6">
        <f>IFERROR(LN(Cotacao!AL223/Cotacao!AL222),S221)</f>
        <v>8.0667903067454916E-2</v>
      </c>
      <c r="T222" s="6">
        <f>IFERROR(LN(Cotacao!AN223/Cotacao!AN222),T221)</f>
        <v>-1.0303875138271945E-2</v>
      </c>
      <c r="U222" s="6">
        <f>IFERROR(LN(Cotacao!AP223/Cotacao!AP222),U221)</f>
        <v>-6.4086982962787246E-3</v>
      </c>
      <c r="V222" s="6">
        <f>IFERROR(LN(Cotacao!AR223/Cotacao!AR222),V221)</f>
        <v>5.9820716775474689E-3</v>
      </c>
      <c r="W222" s="6">
        <f>IFERROR(LN(Cotacao!AT223/Cotacao!AT222),W221)</f>
        <v>5.8504136781755605E-3</v>
      </c>
      <c r="X222" s="6">
        <f>IFERROR(LN(Cotacao!AV223/Cotacao!AV222),X221)</f>
        <v>-2.3974034038416598E-2</v>
      </c>
      <c r="Y222" s="6">
        <f>IFERROR(LN(Cotacao!AX223/Cotacao!AX222),Y221)</f>
        <v>-8.8538669321654279E-5</v>
      </c>
      <c r="Z222" s="6">
        <f>IFERROR(LN(Cotacao!AZ223/Cotacao!AZ222),Z221)</f>
        <v>-2.4769068112408858E-2</v>
      </c>
      <c r="AA222" s="6">
        <f>IFERROR(LN(Cotacao!BB223/Cotacao!BB222),AA221)</f>
        <v>4.175371410480592E-3</v>
      </c>
      <c r="AB222" s="6">
        <f>IFERROR(LN(Cotacao!BD223/Cotacao!BD222),AB221)</f>
        <v>7.8866200525228275E-2</v>
      </c>
      <c r="AC222" s="6">
        <f>IFERROR(LN(Cotacao!BF223/Cotacao!BF222),AC221)</f>
        <v>2.7445976608747688E-2</v>
      </c>
      <c r="AD222" s="6">
        <f>IFERROR(LN(Cotacao!BH223/Cotacao!BH222),AD221)</f>
        <v>4.4501851478655714E-2</v>
      </c>
      <c r="AE222" s="6">
        <f>IFERROR(LN(Cotacao!BJ223/Cotacao!BJ222),AE221)</f>
        <v>3.0218024289164476E-3</v>
      </c>
      <c r="AF222" s="6">
        <f>IFERROR(LN(Cotacao!BL223/Cotacao!BL222),AF221)</f>
        <v>5.751077059022518E-3</v>
      </c>
      <c r="AG222" s="6">
        <f>IFERROR(LN(Cotacao!BN223/Cotacao!BN222),AG221)</f>
        <v>6.0118676953631024E-2</v>
      </c>
      <c r="AH222" s="6">
        <f>IFERROR(LN(Cotacao!BP223/Cotacao!BP222),AH221)</f>
        <v>7.7932386525760275E-2</v>
      </c>
      <c r="AI222" s="6">
        <f>IFERROR(LN(Cotacao!BR223/Cotacao!BR222),AI221)</f>
        <v>0.18296176168137795</v>
      </c>
      <c r="AJ222" s="6">
        <f>IFERROR(LN(Profit!C222/Profit!C221),AJ221)</f>
        <v>1.9224515168629809E-2</v>
      </c>
      <c r="AK222" s="6">
        <f>IFERROR(LN(Cotacao!BV223/Cotacao!BV222),AK221)</f>
        <v>4.583667423767307E-2</v>
      </c>
      <c r="AL222" s="6">
        <f>IFERROR(LN(Cotacao!BX223/Cotacao!BX222),AL221)</f>
        <v>3.0690038863412282E-2</v>
      </c>
    </row>
    <row r="223" spans="1:38">
      <c r="A223" s="3" t="str">
        <f>Cotacao!C223</f>
        <v>5/18/2020 16:56:00</v>
      </c>
      <c r="B223" s="6">
        <f>IFERROR(LN(Cotacao!D224/Cotacao!D223),B222)</f>
        <v>8.1967672041784907E-3</v>
      </c>
      <c r="C223" s="6">
        <f>IFERROR(LN(Cotacao!F224/Cotacao!F223),C222)</f>
        <v>-8.5142619021751282E-4</v>
      </c>
      <c r="D223" s="6">
        <f>IFERROR(LN(Cotacao!H224/Cotacao!H223),D222)</f>
        <v>-1.15987180277795E-2</v>
      </c>
      <c r="E223" s="6">
        <f>IFERROR(LN(Cotacao!J224/Cotacao!J223),E222)</f>
        <v>6.8309577985818798E-2</v>
      </c>
      <c r="F223" s="6">
        <f>IFERROR(LN(Cotacao!L224/Cotacao!L223),F222)</f>
        <v>-1.5523441188371246E-2</v>
      </c>
      <c r="G223" s="6">
        <f>IFERROR(LN(Cotacao!N224/Cotacao!N223),G222)</f>
        <v>-3.5760663879098091E-2</v>
      </c>
      <c r="H223" s="6">
        <f>IFERROR(LN(Cotacao!P224/Cotacao!P223),H222)</f>
        <v>-3.619442700808518E-2</v>
      </c>
      <c r="I223" s="6">
        <f>IFERROR(LN(Cotacao!R224/Cotacao!R223),I222)</f>
        <v>-2.7797951361031754E-2</v>
      </c>
      <c r="J223" s="6">
        <f>IFERROR(LN(Cotacao!T224/Cotacao!T223),J222)</f>
        <v>-2.2869340361316472E-2</v>
      </c>
      <c r="K223" s="6">
        <f>IFERROR(LN(Cotacao!V224/Cotacao!V223),K222)</f>
        <v>-2.1390382487494184E-3</v>
      </c>
      <c r="L223" s="6">
        <f>IFERROR(LN(Cotacao!X224/Cotacao!X223),L222)</f>
        <v>2.096155910160525E-2</v>
      </c>
      <c r="M223" s="6">
        <f>IFERROR(LN(Profit!B223/Profit!B222),M222)</f>
        <v>8.8275376537566199E-3</v>
      </c>
      <c r="N223" s="6">
        <f>IFERROR(LN(Cotacao!AB224/Cotacao!AB223),N222)</f>
        <v>-4.7034317176358536E-3</v>
      </c>
      <c r="O223" s="6">
        <f>IFERROR(LN(Cotacao!AD224/Cotacao!AD223),O222)</f>
        <v>5.2468627691891284E-2</v>
      </c>
      <c r="P223" s="6">
        <f>IFERROR(LN(Cotacao!AF224/Cotacao!AF223),P222)</f>
        <v>-1.6685843720228678E-2</v>
      </c>
      <c r="Q223" s="6">
        <f>IFERROR(LN(Cotacao!AH224/Cotacao!AH223),Q222)</f>
        <v>2.008565013495223E-2</v>
      </c>
      <c r="R223" s="6">
        <f>IFERROR(LN(Cotacao!AJ224/Cotacao!AJ223),R222)</f>
        <v>-2.4849956623423708E-2</v>
      </c>
      <c r="S223" s="6">
        <f>IFERROR(LN(Cotacao!AL224/Cotacao!AL223),S222)</f>
        <v>-2.5317807984289897E-2</v>
      </c>
      <c r="T223" s="6">
        <f>IFERROR(LN(Cotacao!AN224/Cotacao!AN223),T222)</f>
        <v>5.9506101131099687E-4</v>
      </c>
      <c r="U223" s="6">
        <f>IFERROR(LN(Cotacao!AP224/Cotacao!AP223),U222)</f>
        <v>3.0615795974791703E-3</v>
      </c>
      <c r="V223" s="6">
        <f>IFERROR(LN(Cotacao!AR224/Cotacao!AR223),V222)</f>
        <v>4.9578683607866868E-3</v>
      </c>
      <c r="W223" s="6">
        <f>IFERROR(LN(Cotacao!AT224/Cotacao!AT223),W222)</f>
        <v>0</v>
      </c>
      <c r="X223" s="6">
        <f>IFERROR(LN(Cotacao!AV224/Cotacao!AV223),X222)</f>
        <v>2.5903503099179862E-3</v>
      </c>
      <c r="Y223" s="6">
        <f>IFERROR(LN(Cotacao!AX224/Cotacao!AX223),Y222)</f>
        <v>4.4261497646421724E-4</v>
      </c>
      <c r="Z223" s="6">
        <f>IFERROR(LN(Cotacao!AZ224/Cotacao!AZ223),Z222)</f>
        <v>9.3604427595638928E-3</v>
      </c>
      <c r="AA223" s="6">
        <f>IFERROR(LN(Cotacao!BB224/Cotacao!BB223),AA222)</f>
        <v>8.2988028146950641E-3</v>
      </c>
      <c r="AB223" s="6">
        <f>IFERROR(LN(Cotacao!BD224/Cotacao!BD223),AB222)</f>
        <v>2.5689486115311085E-2</v>
      </c>
      <c r="AC223" s="6">
        <f>IFERROR(LN(Cotacao!BF224/Cotacao!BF223),AC222)</f>
        <v>4.2512611998162607E-2</v>
      </c>
      <c r="AD223" s="6">
        <f>IFERROR(LN(Cotacao!BH224/Cotacao!BH223),AD222)</f>
        <v>-2.2285044789434872E-2</v>
      </c>
      <c r="AE223" s="6">
        <f>IFERROR(LN(Cotacao!BJ224/Cotacao!BJ223),AE222)</f>
        <v>3.9944745077506493E-3</v>
      </c>
      <c r="AF223" s="6">
        <f>IFERROR(LN(Cotacao!BL224/Cotacao!BL223),AF222)</f>
        <v>8.1588703882868874E-3</v>
      </c>
      <c r="AG223" s="6">
        <f>IFERROR(LN(Cotacao!BN224/Cotacao!BN223),AG222)</f>
        <v>-3.0712122453834659E-2</v>
      </c>
      <c r="AH223" s="6">
        <f>IFERROR(LN(Cotacao!BP224/Cotacao!BP223),AH222)</f>
        <v>7.5228726629874149E-3</v>
      </c>
      <c r="AI223" s="6">
        <f>IFERROR(LN(Cotacao!BR224/Cotacao!BR223),AI222)</f>
        <v>7.6961041136128394E-2</v>
      </c>
      <c r="AJ223" s="6">
        <f>IFERROR(LN(Profit!C223/Profit!C222),AJ222)</f>
        <v>-1.7070115771603587E-2</v>
      </c>
      <c r="AK223" s="6">
        <f>IFERROR(LN(Cotacao!BV224/Cotacao!BV223),AK222)</f>
        <v>-5.581703725164199E-3</v>
      </c>
      <c r="AL223" s="6">
        <f>IFERROR(LN(Cotacao!BX224/Cotacao!BX223),AL222)</f>
        <v>-2.3406127035057112E-2</v>
      </c>
    </row>
    <row r="224" spans="1:38">
      <c r="A224" s="3" t="str">
        <f>Cotacao!C224</f>
        <v>5/19/2020 16:56:00</v>
      </c>
      <c r="B224" s="6">
        <f>IFERROR(LN(Cotacao!D225/Cotacao!D224),B223)</f>
        <v>3.4500012018343851E-2</v>
      </c>
      <c r="C224" s="6">
        <f>IFERROR(LN(Cotacao!F225/Cotacao!F224),C223)</f>
        <v>2.1272077793753896E-3</v>
      </c>
      <c r="D224" s="6">
        <f>IFERROR(LN(Cotacao!H225/Cotacao!H224),D223)</f>
        <v>-9.6840716038408634E-3</v>
      </c>
      <c r="E224" s="6">
        <f>IFERROR(LN(Cotacao!J225/Cotacao!J224),E223)</f>
        <v>-1.7374954470353171E-2</v>
      </c>
      <c r="F224" s="6">
        <f>IFERROR(LN(Cotacao!L225/Cotacao!L224),F223)</f>
        <v>-1.5132697348871455E-2</v>
      </c>
      <c r="G224" s="6">
        <f>IFERROR(LN(Cotacao!N225/Cotacao!N224),G223)</f>
        <v>1.2128564252092296E-3</v>
      </c>
      <c r="H224" s="6">
        <f>IFERROR(LN(Cotacao!P225/Cotacao!P224),H223)</f>
        <v>6.2847680878934031E-3</v>
      </c>
      <c r="I224" s="6">
        <f>IFERROR(LN(Cotacao!R225/Cotacao!R224),I223)</f>
        <v>5.2299499402848844E-2</v>
      </c>
      <c r="J224" s="6">
        <f>IFERROR(LN(Cotacao!T225/Cotacao!T224),J223)</f>
        <v>-3.973515161860495E-3</v>
      </c>
      <c r="K224" s="6">
        <f>IFERROR(LN(Cotacao!V225/Cotacao!V224),K223)</f>
        <v>1.2766130823035751E-2</v>
      </c>
      <c r="L224" s="6">
        <f>IFERROR(LN(Cotacao!X225/Cotacao!X224),L223)</f>
        <v>1.0524101160778391E-3</v>
      </c>
      <c r="M224" s="6">
        <f>IFERROR(LN(Profit!B224/Profit!B223),M223)</f>
        <v>1.8550598208508025E-2</v>
      </c>
      <c r="N224" s="6">
        <f>IFERROR(LN(Cotacao!AB225/Cotacao!AB224),N223)</f>
        <v>3.0438253886451116E-2</v>
      </c>
      <c r="O224" s="6">
        <f>IFERROR(LN(Cotacao!AD225/Cotacao!AD224),O223)</f>
        <v>3.6059049815702425E-2</v>
      </c>
      <c r="P224" s="6">
        <f>IFERROR(LN(Cotacao!AF225/Cotacao!AF224),P223)</f>
        <v>4.9898039570373766E-3</v>
      </c>
      <c r="Q224" s="6">
        <f>IFERROR(LN(Cotacao!AH225/Cotacao!AH224),Q223)</f>
        <v>3.8167985267008112E-3</v>
      </c>
      <c r="R224" s="6">
        <f>IFERROR(LN(Cotacao!AJ225/Cotacao!AJ224),R223)</f>
        <v>1.260835166215259E-2</v>
      </c>
      <c r="S224" s="6">
        <f>IFERROR(LN(Cotacao!AL225/Cotacao!AL224),S223)</f>
        <v>2.5317807984290001E-2</v>
      </c>
      <c r="T224" s="6">
        <f>IFERROR(LN(Cotacao!AN225/Cotacao!AN224),T223)</f>
        <v>-1.9054429964213838E-3</v>
      </c>
      <c r="U224" s="6">
        <f>IFERROR(LN(Cotacao!AP225/Cotacao!AP224),U223)</f>
        <v>5.8991420705226559E-3</v>
      </c>
      <c r="V224" s="6">
        <f>IFERROR(LN(Cotacao!AR225/Cotacao!AR224),V223)</f>
        <v>1.0821551743178516E-2</v>
      </c>
      <c r="W224" s="6">
        <f>IFERROR(LN(Cotacao!AT225/Cotacao!AT224),W223)</f>
        <v>0</v>
      </c>
      <c r="X224" s="6">
        <f>IFERROR(LN(Cotacao!AV225/Cotacao!AV224),X223)</f>
        <v>-6.5304987615534705E-3</v>
      </c>
      <c r="Y224" s="6">
        <f>IFERROR(LN(Cotacao!AX225/Cotacao!AX224),Y223)</f>
        <v>1.8568465479278282E-3</v>
      </c>
      <c r="Z224" s="6">
        <f>IFERROR(LN(Cotacao!AZ225/Cotacao!AZ224),Z223)</f>
        <v>-3.1104224143925024E-3</v>
      </c>
      <c r="AA224" s="6">
        <f>IFERROR(LN(Cotacao!BB225/Cotacao!BB224),AA223)</f>
        <v>1.8097505222179928E-3</v>
      </c>
      <c r="AB224" s="6">
        <f>IFERROR(LN(Cotacao!BD225/Cotacao!BD224),AB223)</f>
        <v>1.2243581105711408E-2</v>
      </c>
      <c r="AC224" s="6">
        <f>IFERROR(LN(Cotacao!BF225/Cotacao!BF224),AC223)</f>
        <v>4.4921687391511651E-2</v>
      </c>
      <c r="AD224" s="6">
        <f>IFERROR(LN(Cotacao!BH225/Cotacao!BH224),AD223)</f>
        <v>-1.590039177545963E-2</v>
      </c>
      <c r="AE224" s="6">
        <f>IFERROR(LN(Cotacao!BJ225/Cotacao!BJ224),AE223)</f>
        <v>-3.0670142856587348E-4</v>
      </c>
      <c r="AF224" s="6">
        <f>IFERROR(LN(Cotacao!BL225/Cotacao!BL224),AF223)</f>
        <v>1.9313905082527383E-2</v>
      </c>
      <c r="AG224" s="6">
        <f>IFERROR(LN(Cotacao!BN225/Cotacao!BN224),AG223)</f>
        <v>-1.9665689720408269E-3</v>
      </c>
      <c r="AH224" s="6">
        <f>IFERROR(LN(Cotacao!BP225/Cotacao!BP224),AH223)</f>
        <v>3.2651663110143336E-2</v>
      </c>
      <c r="AI224" s="6">
        <f>IFERROR(LN(Cotacao!BR225/Cotacao!BR224),AI223)</f>
        <v>-2.7789997129678862E-2</v>
      </c>
      <c r="AJ224" s="6">
        <f>IFERROR(LN(Profit!C224/Profit!C223),AJ223)</f>
        <v>8.7190700938823834E-2</v>
      </c>
      <c r="AK224" s="6">
        <f>IFERROR(LN(Cotacao!BV225/Cotacao!BV224),AK223)</f>
        <v>7.1220045605945763E-3</v>
      </c>
      <c r="AL224" s="6">
        <f>IFERROR(LN(Cotacao!BX225/Cotacao!BX224),AL223)</f>
        <v>4.9533345704473545E-3</v>
      </c>
    </row>
    <row r="225" spans="1:38">
      <c r="A225" s="3" t="str">
        <f>Cotacao!C225</f>
        <v>5/20/2020 16:56:00</v>
      </c>
      <c r="B225" s="6">
        <f>IFERROR(LN(Cotacao!D226/Cotacao!D225),B224)</f>
        <v>4.3971603423151297E-2</v>
      </c>
      <c r="C225" s="6">
        <f>IFERROR(LN(Cotacao!F226/Cotacao!F225),C224)</f>
        <v>2.6008177359310398E-2</v>
      </c>
      <c r="D225" s="6">
        <f>IFERROR(LN(Cotacao!H226/Cotacao!H225),D224)</f>
        <v>2.1032068807942662E-2</v>
      </c>
      <c r="E225" s="6">
        <f>IFERROR(LN(Cotacao!J226/Cotacao!J225),E224)</f>
        <v>3.8209041373195106E-2</v>
      </c>
      <c r="F225" s="6">
        <f>IFERROR(LN(Cotacao!L226/Cotacao!L225),F224)</f>
        <v>3.8022654354005404E-2</v>
      </c>
      <c r="G225" s="6">
        <f>IFERROR(LN(Cotacao!N226/Cotacao!N225),G224)</f>
        <v>5.1959738930710958E-2</v>
      </c>
      <c r="H225" s="6">
        <f>IFERROR(LN(Cotacao!P226/Cotacao!P225),H224)</f>
        <v>3.5971696602931438E-2</v>
      </c>
      <c r="I225" s="6">
        <f>IFERROR(LN(Cotacao!R226/Cotacao!R225),I224)</f>
        <v>1.5798116876591311E-2</v>
      </c>
      <c r="J225" s="6">
        <f>IFERROR(LN(Cotacao!T226/Cotacao!T225),J224)</f>
        <v>1.3838771099970275E-2</v>
      </c>
      <c r="K225" s="6">
        <f>IFERROR(LN(Cotacao!V226/Cotacao!V225),K224)</f>
        <v>2.2989518224698562E-2</v>
      </c>
      <c r="L225" s="6">
        <f>IFERROR(LN(Cotacao!X226/Cotacao!X225),L224)</f>
        <v>4.2065412335506652E-4</v>
      </c>
      <c r="M225" s="6">
        <f>IFERROR(LN(Profit!B225/Profit!B224),M224)</f>
        <v>-3.0052614654634277E-3</v>
      </c>
      <c r="N225" s="6">
        <f>IFERROR(LN(Cotacao!AB226/Cotacao!AB225),N224)</f>
        <v>1.1619226451997587E-2</v>
      </c>
      <c r="O225" s="6">
        <f>IFERROR(LN(Cotacao!AD226/Cotacao!AD225),O224)</f>
        <v>4.8128569702693205E-2</v>
      </c>
      <c r="P225" s="6">
        <f>IFERROR(LN(Cotacao!AF226/Cotacao!AF225),P224)</f>
        <v>3.2935776264102219E-2</v>
      </c>
      <c r="Q225" s="6">
        <f>IFERROR(LN(Cotacao!AH226/Cotacao!AH225),Q224)</f>
        <v>-2.6441760505670153E-2</v>
      </c>
      <c r="R225" s="6">
        <f>IFERROR(LN(Cotacao!AJ226/Cotacao!AJ225),R224)</f>
        <v>2.756867401903635E-3</v>
      </c>
      <c r="S225" s="6">
        <f>IFERROR(LN(Cotacao!AL226/Cotacao!AL225),S224)</f>
        <v>5.3540766928029761E-2</v>
      </c>
      <c r="T225" s="6">
        <f>IFERROR(LN(Cotacao!AN226/Cotacao!AN225),T224)</f>
        <v>5.9584104724146091E-4</v>
      </c>
      <c r="U225" s="6">
        <f>IFERROR(LN(Cotacao!AP226/Cotacao!AP225),U224)</f>
        <v>1.762977929690115E-3</v>
      </c>
      <c r="V225" s="6">
        <f>IFERROR(LN(Cotacao!AR226/Cotacao!AR225),V224)</f>
        <v>1.9550348358032951E-3</v>
      </c>
      <c r="W225" s="6">
        <f>IFERROR(LN(Cotacao!AT226/Cotacao!AT225),W224)</f>
        <v>0</v>
      </c>
      <c r="X225" s="6">
        <f>IFERROR(LN(Cotacao!AV226/Cotacao!AV225),X224)</f>
        <v>1.4013074411424235E-2</v>
      </c>
      <c r="Y225" s="6">
        <f>IFERROR(LN(Cotacao!AX226/Cotacao!AX225),Y224)</f>
        <v>4.2313180197626242E-3</v>
      </c>
      <c r="Z225" s="6">
        <f>IFERROR(LN(Cotacao!AZ226/Cotacao!AZ225),Z224)</f>
        <v>0</v>
      </c>
      <c r="AA225" s="6">
        <f>IFERROR(LN(Cotacao!BB226/Cotacao!BB225),AA224)</f>
        <v>-1.0679492547397935E-2</v>
      </c>
      <c r="AB225" s="6">
        <f>IFERROR(LN(Cotacao!BD226/Cotacao!BD225),AB224)</f>
        <v>-3.585518362596885E-3</v>
      </c>
      <c r="AC225" s="6">
        <f>IFERROR(LN(Cotacao!BF226/Cotacao!BF225),AC224)</f>
        <v>1.5384918839479237E-2</v>
      </c>
      <c r="AD225" s="6">
        <f>IFERROR(LN(Cotacao!BH226/Cotacao!BH225),AD224)</f>
        <v>3.680707659477344E-2</v>
      </c>
      <c r="AE225" s="6">
        <f>IFERROR(LN(Cotacao!BJ226/Cotacao!BJ225),AE224)</f>
        <v>3.3685531776306739E-3</v>
      </c>
      <c r="AF225" s="6">
        <f>IFERROR(LN(Cotacao!BL226/Cotacao!BL225),AF224)</f>
        <v>-5.3276631077876502E-3</v>
      </c>
      <c r="AG225" s="6">
        <f>IFERROR(LN(Cotacao!BN226/Cotacao!BN225),AG224)</f>
        <v>7.0762957503256535E-2</v>
      </c>
      <c r="AH225" s="6">
        <f>IFERROR(LN(Cotacao!BP226/Cotacao!BP225),AH224)</f>
        <v>-5.7157858912312556E-3</v>
      </c>
      <c r="AI225" s="6">
        <f>IFERROR(LN(Cotacao!BR226/Cotacao!BR225),AI224)</f>
        <v>4.6139135797875409E-2</v>
      </c>
      <c r="AJ225" s="6">
        <f>IFERROR(LN(Profit!C225/Profit!C224),AJ224)</f>
        <v>4.1216394052088053E-2</v>
      </c>
      <c r="AK225" s="6">
        <f>IFERROR(LN(Cotacao!BV226/Cotacao!BV225),AK224)</f>
        <v>2.0781714753155097E-2</v>
      </c>
      <c r="AL225" s="6">
        <f>IFERROR(LN(Cotacao!BX226/Cotacao!BX225),AL224)</f>
        <v>2.1805375228571955E-2</v>
      </c>
    </row>
    <row r="226" spans="1:38">
      <c r="A226" s="3" t="str">
        <f>Cotacao!C226</f>
        <v>5/21/2020 16:56:00</v>
      </c>
      <c r="B226" s="6">
        <f>IFERROR(LN(Cotacao!D227/Cotacao!D226),B225)</f>
        <v>9.7635022678512172E-3</v>
      </c>
      <c r="C226" s="6">
        <f>IFERROR(LN(Cotacao!F227/Cotacao!F226),C225)</f>
        <v>-2.6858517546603403E-2</v>
      </c>
      <c r="D226" s="6">
        <f>IFERROR(LN(Cotacao!H227/Cotacao!H226),D225)</f>
        <v>-1.4904911523269318E-2</v>
      </c>
      <c r="E226" s="6">
        <f>IFERROR(LN(Cotacao!J227/Cotacao!J226),E225)</f>
        <v>-3.0449545602283933E-2</v>
      </c>
      <c r="F226" s="6">
        <f>IFERROR(LN(Cotacao!L227/Cotacao!L226),F225)</f>
        <v>-2.4494807103400446E-3</v>
      </c>
      <c r="G226" s="6">
        <f>IFERROR(LN(Cotacao!N227/Cotacao!N226),G225)</f>
        <v>1.9373825339688872E-2</v>
      </c>
      <c r="H226" s="6">
        <f>IFERROR(LN(Cotacao!P227/Cotacao!P226),H225)</f>
        <v>6.0255106986421246E-3</v>
      </c>
      <c r="I226" s="6">
        <f>IFERROR(LN(Cotacao!R227/Cotacao!R226),I225)</f>
        <v>6.2500203451713258E-3</v>
      </c>
      <c r="J226" s="6">
        <f>IFERROR(LN(Cotacao!T227/Cotacao!T226),J225)</f>
        <v>-2.3172172187275391E-2</v>
      </c>
      <c r="K226" s="6">
        <f>IFERROR(LN(Cotacao!V227/Cotacao!V226),K225)</f>
        <v>1.435922107788888E-2</v>
      </c>
      <c r="L226" s="6">
        <f>IFERROR(LN(Cotacao!X227/Cotacao!X226),L225)</f>
        <v>-4.2065412335510073E-4</v>
      </c>
      <c r="M226" s="6">
        <f>IFERROR(LN(Profit!B226/Profit!B225),M225)</f>
        <v>-1.5163292803345399E-2</v>
      </c>
      <c r="N226" s="6">
        <f>IFERROR(LN(Cotacao!AB227/Cotacao!AB226),N225)</f>
        <v>1.8413060646877456E-2</v>
      </c>
      <c r="O226" s="6">
        <f>IFERROR(LN(Cotacao!AD227/Cotacao!AD226),O225)</f>
        <v>5.9386515675825466E-3</v>
      </c>
      <c r="P226" s="6">
        <f>IFERROR(LN(Cotacao!AF227/Cotacao!AF226),P225)</f>
        <v>-2.1915415302165798E-3</v>
      </c>
      <c r="Q226" s="6">
        <f>IFERROR(LN(Cotacao!AH227/Cotacao!AH226),Q225)</f>
        <v>-1.6962931387423955E-2</v>
      </c>
      <c r="R226" s="6">
        <f>IFERROR(LN(Cotacao!AJ227/Cotacao!AJ226),R225)</f>
        <v>3.8046970436638452E-3</v>
      </c>
      <c r="S226" s="6">
        <f>IFERROR(LN(Cotacao!AL227/Cotacao!AL226),S225)</f>
        <v>-6.1069033348821272E-2</v>
      </c>
      <c r="T226" s="6">
        <f>IFERROR(LN(Cotacao!AN227/Cotacao!AN226),T225)</f>
        <v>3.3301648283368865E-3</v>
      </c>
      <c r="U226" s="6">
        <f>IFERROR(LN(Cotacao!AP227/Cotacao!AP226),U225)</f>
        <v>5.9515273969469925E-3</v>
      </c>
      <c r="V226" s="6">
        <f>IFERROR(LN(Cotacao!AR227/Cotacao!AR226),V225)</f>
        <v>0</v>
      </c>
      <c r="W226" s="6">
        <f>IFERROR(LN(Cotacao!AT227/Cotacao!AT226),W225)</f>
        <v>2.30489861534161E-2</v>
      </c>
      <c r="X226" s="6">
        <f>IFERROR(LN(Cotacao!AV227/Cotacao!AV226),X225)</f>
        <v>2.233898252444971E-3</v>
      </c>
      <c r="Y226" s="6">
        <f>IFERROR(LN(Cotacao!AX227/Cotacao!AX226),Y225)</f>
        <v>1.2848142477849059E-2</v>
      </c>
      <c r="Z226" s="6">
        <f>IFERROR(LN(Cotacao!AZ227/Cotacao!AZ226),Z225)</f>
        <v>6.2112000926406764E-3</v>
      </c>
      <c r="AA226" s="6">
        <f>IFERROR(LN(Cotacao!BB227/Cotacao!BB226),AA225)</f>
        <v>2.2307857152635634E-2</v>
      </c>
      <c r="AB226" s="6">
        <f>IFERROR(LN(Cotacao!BD227/Cotacao!BD226),AB225)</f>
        <v>-4.5562619678565494E-2</v>
      </c>
      <c r="AC226" s="6">
        <f>IFERROR(LN(Cotacao!BF227/Cotacao!BF226),AC225)</f>
        <v>-3.8915416249673498E-2</v>
      </c>
      <c r="AD226" s="6">
        <f>IFERROR(LN(Cotacao!BH227/Cotacao!BH226),AD225)</f>
        <v>-3.2238250828863634E-2</v>
      </c>
      <c r="AE226" s="6">
        <f>IFERROR(LN(Cotacao!BJ227/Cotacao!BJ226),AE225)</f>
        <v>1.4567784181590552E-2</v>
      </c>
      <c r="AF226" s="6">
        <f>IFERROR(LN(Cotacao!BL227/Cotacao!BL226),AF225)</f>
        <v>-5.3561992005248466E-3</v>
      </c>
      <c r="AG226" s="6">
        <f>IFERROR(LN(Cotacao!BN227/Cotacao!BN226),AG225)</f>
        <v>5.9428746335466924E-3</v>
      </c>
      <c r="AH226" s="6">
        <f>IFERROR(LN(Cotacao!BP227/Cotacao!BP226),AH225)</f>
        <v>-2.7471352465977296E-2</v>
      </c>
      <c r="AI226" s="6">
        <f>IFERROR(LN(Cotacao!BR227/Cotacao!BR226),AI225)</f>
        <v>-2.2059718064732219E-2</v>
      </c>
      <c r="AJ226" s="6">
        <f>IFERROR(LN(Profit!C226/Profit!C225),AJ225)</f>
        <v>-6.3151470918343736E-2</v>
      </c>
      <c r="AK226" s="6">
        <f>IFERROR(LN(Cotacao!BV227/Cotacao!BV226),AK225)</f>
        <v>-1.0337603554208426E-2</v>
      </c>
      <c r="AL226" s="6">
        <f>IFERROR(LN(Cotacao!BX227/Cotacao!BX226),AL225)</f>
        <v>1.4765864439473815E-2</v>
      </c>
    </row>
    <row r="227" spans="1:38">
      <c r="A227" s="3" t="str">
        <f>Cotacao!C227</f>
        <v>5/22/2020 16:56:00</v>
      </c>
      <c r="B227" s="6">
        <f>IFERROR(LN(Cotacao!D228/Cotacao!D227),B226)</f>
        <v>4.1718453567292042E-2</v>
      </c>
      <c r="C227" s="6">
        <f>IFERROR(LN(Cotacao!F228/Cotacao!F227),C226)</f>
        <v>4.7351037936720852E-2</v>
      </c>
      <c r="D227" s="6">
        <f>IFERROR(LN(Cotacao!H228/Cotacao!H227),D226)</f>
        <v>4.9165810194122209E-2</v>
      </c>
      <c r="E227" s="6">
        <f>IFERROR(LN(Cotacao!J228/Cotacao!J227),E226)</f>
        <v>9.6154586994419734E-3</v>
      </c>
      <c r="F227" s="6">
        <f>IFERROR(LN(Cotacao!L228/Cotacao!L227),F226)</f>
        <v>5.4293082366662256E-2</v>
      </c>
      <c r="G227" s="6">
        <f>IFERROR(LN(Cotacao!N228/Cotacao!N227),G226)</f>
        <v>4.1995121036603238E-2</v>
      </c>
      <c r="H227" s="6">
        <f>IFERROR(LN(Cotacao!P228/Cotacao!P227),H226)</f>
        <v>4.6940024881270491E-2</v>
      </c>
      <c r="I227" s="6">
        <f>IFERROR(LN(Cotacao!R228/Cotacao!R227),I226)</f>
        <v>1.7907239855831803E-2</v>
      </c>
      <c r="J227" s="6">
        <f>IFERROR(LN(Cotacao!T228/Cotacao!T227),J226)</f>
        <v>0.11442845351023026</v>
      </c>
      <c r="K227" s="6">
        <f>IFERROR(LN(Cotacao!V228/Cotacao!V227),K226)</f>
        <v>4.7722772869215668E-2</v>
      </c>
      <c r="L227" s="6">
        <f>IFERROR(LN(Cotacao!X228/Cotacao!X227),L226)</f>
        <v>2.3114109891579195E-3</v>
      </c>
      <c r="M227" s="6">
        <f>IFERROR(LN(Profit!B227/Profit!B226),M226)</f>
        <v>-8.4388686458645949E-3</v>
      </c>
      <c r="N227" s="6">
        <f>IFERROR(LN(Cotacao!AB228/Cotacao!AB227),N226)</f>
        <v>6.8796340135370074E-3</v>
      </c>
      <c r="O227" s="6">
        <f>IFERROR(LN(Cotacao!AD228/Cotacao!AD227),O226)</f>
        <v>-1.3245226750020567E-2</v>
      </c>
      <c r="P227" s="6">
        <f>IFERROR(LN(Cotacao!AF228/Cotacao!AF227),P226)</f>
        <v>3.534850783982868E-2</v>
      </c>
      <c r="Q227" s="6">
        <f>IFERROR(LN(Cotacao!AH228/Cotacao!AH227),Q226)</f>
        <v>-3.3874696136647802E-3</v>
      </c>
      <c r="R227" s="6">
        <f>IFERROR(LN(Cotacao!AJ228/Cotacao!AJ227),R226)</f>
        <v>1.8188020971370816E-2</v>
      </c>
      <c r="S227" s="6">
        <f>IFERROR(LN(Cotacao!AL228/Cotacao!AL227),S226)</f>
        <v>5.3934639234947276E-2</v>
      </c>
      <c r="T227" s="6">
        <f>IFERROR(LN(Cotacao!AN228/Cotacao!AN227),T226)</f>
        <v>-2.3750148550064686E-4</v>
      </c>
      <c r="U227" s="6">
        <f>IFERROR(LN(Cotacao!AP228/Cotacao!AP227),U226)</f>
        <v>7.6554470489458987E-3</v>
      </c>
      <c r="V227" s="6">
        <f>IFERROR(LN(Cotacao!AR228/Cotacao!AR227),V226)</f>
        <v>1.7425416713859134E-2</v>
      </c>
      <c r="W227" s="6">
        <f>IFERROR(LN(Cotacao!AT228/Cotacao!AT227),W226)</f>
        <v>-6.5196842022056086E-3</v>
      </c>
      <c r="X227" s="6">
        <f>IFERROR(LN(Cotacao!AV228/Cotacao!AV227),X226)</f>
        <v>-7.0495834142630673E-3</v>
      </c>
      <c r="Y227" s="6">
        <f>IFERROR(LN(Cotacao!AX228/Cotacao!AX227),Y226)</f>
        <v>2.8677334308491557E-2</v>
      </c>
      <c r="Z227" s="6">
        <f>IFERROR(LN(Cotacao!AZ228/Cotacao!AZ227),Z226)</f>
        <v>0</v>
      </c>
      <c r="AA227" s="6">
        <f>IFERROR(LN(Cotacao!BB228/Cotacao!BB227),AA226)</f>
        <v>6.4022487297956954E-3</v>
      </c>
      <c r="AB227" s="6">
        <f>IFERROR(LN(Cotacao!BD228/Cotacao!BD227),AB226)</f>
        <v>4.4124804908937887E-2</v>
      </c>
      <c r="AC227" s="6">
        <f>IFERROR(LN(Cotacao!BF228/Cotacao!BF227),AC226)</f>
        <v>6.3545965224819603E-2</v>
      </c>
      <c r="AD227" s="6">
        <f>IFERROR(LN(Cotacao!BH228/Cotacao!BH227),AD226)</f>
        <v>1.5267472130788381E-2</v>
      </c>
      <c r="AE227" s="6">
        <f>IFERROR(LN(Cotacao!BJ228/Cotacao!BJ227),AE226)</f>
        <v>8.1020698267947541E-3</v>
      </c>
      <c r="AF227" s="6">
        <f>IFERROR(LN(Cotacao!BL228/Cotacao!BL227),AF226)</f>
        <v>2.1254785268323109E-2</v>
      </c>
      <c r="AG227" s="6">
        <f>IFERROR(LN(Cotacao!BN228/Cotacao!BN227),AG226)</f>
        <v>5.7993677186281095E-2</v>
      </c>
      <c r="AH227" s="6">
        <f>IFERROR(LN(Cotacao!BP228/Cotacao!BP227),AH226)</f>
        <v>4.2470340660757673E-2</v>
      </c>
      <c r="AI227" s="6">
        <f>IFERROR(LN(Cotacao!BR228/Cotacao!BR227),AI226)</f>
        <v>7.4479650284743001E-2</v>
      </c>
      <c r="AJ227" s="6">
        <f>IFERROR(LN(Profit!C227/Profit!C226),AJ226)</f>
        <v>-3.3658732551051325E-3</v>
      </c>
      <c r="AK227" s="6">
        <f>IFERROR(LN(Cotacao!BV228/Cotacao!BV227),AK226)</f>
        <v>4.159726055926715E-2</v>
      </c>
      <c r="AL227" s="6">
        <f>IFERROR(LN(Cotacao!BX228/Cotacao!BX227),AL226)</f>
        <v>5.3855052421653234E-2</v>
      </c>
    </row>
    <row r="228" spans="1:38">
      <c r="A228" s="3" t="str">
        <f>Cotacao!C228</f>
        <v>5/25/2020 16:56:00</v>
      </c>
      <c r="B228" s="6">
        <f>IFERROR(LN(Cotacao!D229/Cotacao!D228),B227)</f>
        <v>-2.0275857531516433E-2</v>
      </c>
      <c r="C228" s="6">
        <f>IFERROR(LN(Cotacao!F229/Cotacao!F228),C227)</f>
        <v>2.127312812750206E-2</v>
      </c>
      <c r="D228" s="6">
        <f>IFERROR(LN(Cotacao!H229/Cotacao!H228),D227)</f>
        <v>9.4055920683353018E-3</v>
      </c>
      <c r="E228" s="6">
        <f>IFERROR(LN(Cotacao!J229/Cotacao!J228),E227)</f>
        <v>-3.4066554563606195E-2</v>
      </c>
      <c r="F228" s="6">
        <f>IFERROR(LN(Cotacao!L229/Cotacao!L228),F227)</f>
        <v>-2.9078240902004433E-3</v>
      </c>
      <c r="G228" s="6">
        <f>IFERROR(LN(Cotacao!N229/Cotacao!N228),G227)</f>
        <v>-3.5245939061674829E-2</v>
      </c>
      <c r="H228" s="6">
        <f>IFERROR(LN(Cotacao!P229/Cotacao!P228),H227)</f>
        <v>-3.4996842037096215E-2</v>
      </c>
      <c r="I228" s="6">
        <f>IFERROR(LN(Cotacao!R229/Cotacao!R228),I227)</f>
        <v>2.1792629990852578E-2</v>
      </c>
      <c r="J228" s="6">
        <f>IFERROR(LN(Cotacao!T229/Cotacao!T228),J227)</f>
        <v>-2.4797158078955508E-2</v>
      </c>
      <c r="K228" s="6">
        <f>IFERROR(LN(Cotacao!V229/Cotacao!V228),K227)</f>
        <v>-7.7973104600317297E-3</v>
      </c>
      <c r="L228" s="6">
        <f>IFERROR(LN(Cotacao!X229/Cotacao!X228),L227)</f>
        <v>-7.4788361443672638E-3</v>
      </c>
      <c r="M228" s="6">
        <f>IFERROR(LN(Profit!B228/Profit!B227),M227)</f>
        <v>2.6928271705847144E-3</v>
      </c>
      <c r="N228" s="6">
        <f>IFERROR(LN(Cotacao!AB229/Cotacao!AB228),N227)</f>
        <v>1.2652236903708803E-2</v>
      </c>
      <c r="O228" s="6">
        <f>IFERROR(LN(Cotacao!AD229/Cotacao!AD228),O227)</f>
        <v>-3.6663984371591359E-2</v>
      </c>
      <c r="P228" s="6">
        <f>IFERROR(LN(Cotacao!AF229/Cotacao!AF228),P227)</f>
        <v>-3.4909815137026394E-2</v>
      </c>
      <c r="Q228" s="6">
        <f>IFERROR(LN(Cotacao!AH229/Cotacao!AH228),Q227)</f>
        <v>-1.8127384592556604E-2</v>
      </c>
      <c r="R228" s="6">
        <f>IFERROR(LN(Cotacao!AJ229/Cotacao!AJ228),R227)</f>
        <v>8.4580184469247987E-3</v>
      </c>
      <c r="S228" s="6">
        <f>IFERROR(LN(Cotacao!AL229/Cotacao!AL228),S227)</f>
        <v>4.7619137602435638E-3</v>
      </c>
      <c r="T228" s="6">
        <f>IFERROR(LN(Cotacao!AN229/Cotacao!AN228),T227)</f>
        <v>-3.5635802479628078E-4</v>
      </c>
      <c r="U228" s="6">
        <f>IFERROR(LN(Cotacao!AP229/Cotacao!AP228),U227)</f>
        <v>9.6529755371983805E-5</v>
      </c>
      <c r="V228" s="6">
        <f>IFERROR(LN(Cotacao!AR229/Cotacao!AR228),V227)</f>
        <v>1.3346241952894704E-2</v>
      </c>
      <c r="W228" s="6">
        <f>IFERROR(LN(Cotacao!AT229/Cotacao!AT228),W227)</f>
        <v>-4.1150124391986136E-3</v>
      </c>
      <c r="X228" s="6">
        <f>IFERROR(LN(Cotacao!AV229/Cotacao!AV228),X227)</f>
        <v>-9.0294067193943759E-3</v>
      </c>
      <c r="Y228" s="6">
        <f>IFERROR(LN(Cotacao!AX229/Cotacao!AX228),Y227)</f>
        <v>1.2662112068164215E-2</v>
      </c>
      <c r="Z228" s="6">
        <f>IFERROR(LN(Cotacao!AZ229/Cotacao!AZ228),Z227)</f>
        <v>-3.1007776782481593E-3</v>
      </c>
      <c r="AA228" s="6">
        <f>IFERROR(LN(Cotacao!BB229/Cotacao!BB228),AA227)</f>
        <v>3.0475158646365635E-3</v>
      </c>
      <c r="AB228" s="6">
        <f>IFERROR(LN(Cotacao!BD229/Cotacao!BD228),AB227)</f>
        <v>-3.6036075032986558E-3</v>
      </c>
      <c r="AC228" s="6">
        <f>IFERROR(LN(Cotacao!BF229/Cotacao!BF228),AC227)</f>
        <v>-8.4767398626924857E-3</v>
      </c>
      <c r="AD228" s="6">
        <f>IFERROR(LN(Cotacao!BH229/Cotacao!BH228),AD227)</f>
        <v>1.7798022644327213E-2</v>
      </c>
      <c r="AE228" s="6">
        <f>IFERROR(LN(Cotacao!BJ229/Cotacao!BJ228),AE227)</f>
        <v>2.388060836384695E-3</v>
      </c>
      <c r="AF228" s="6">
        <f>IFERROR(LN(Cotacao!BL229/Cotacao!BL228),AF227)</f>
        <v>6.0686474298285449E-2</v>
      </c>
      <c r="AG228" s="6">
        <f>IFERROR(LN(Cotacao!BN229/Cotacao!BN228),AG227)</f>
        <v>0</v>
      </c>
      <c r="AH228" s="6">
        <f>IFERROR(LN(Cotacao!BP229/Cotacao!BP228),AH227)</f>
        <v>9.7063341865787078E-3</v>
      </c>
      <c r="AI228" s="6">
        <f>IFERROR(LN(Cotacao!BR229/Cotacao!BR228),AI227)</f>
        <v>-6.2305497506360864E-3</v>
      </c>
      <c r="AJ228" s="6">
        <f>IFERROR(LN(Profit!C228/Profit!C227),AJ227)</f>
        <v>-3.377240629785045E-3</v>
      </c>
      <c r="AK228" s="6">
        <f>IFERROR(LN(Cotacao!BV229/Cotacao!BV228),AK227)</f>
        <v>-2.2739130077977653E-3</v>
      </c>
      <c r="AL228" s="6">
        <f>IFERROR(LN(Cotacao!BX229/Cotacao!BX228),AL227)</f>
        <v>6.5755557916638025E-3</v>
      </c>
    </row>
    <row r="229" spans="1:38">
      <c r="A229" s="3" t="str">
        <f>Cotacao!C229</f>
        <v>5/26/2020 16:56:00</v>
      </c>
      <c r="B229" s="6">
        <f>IFERROR(LN(Cotacao!D230/Cotacao!D229),B228)</f>
        <v>2.2424086069806056E-2</v>
      </c>
      <c r="C229" s="6">
        <f>IFERROR(LN(Cotacao!F230/Cotacao!F229),C228)</f>
        <v>4.754367117273498E-3</v>
      </c>
      <c r="D229" s="6">
        <f>IFERROR(LN(Cotacao!H230/Cotacao!H229),D228)</f>
        <v>-4.8019208605773217E-4</v>
      </c>
      <c r="E229" s="6">
        <f>IFERROR(LN(Cotacao!J230/Cotacao!J229),E228)</f>
        <v>2.9270382300113237E-2</v>
      </c>
      <c r="F229" s="6">
        <f>IFERROR(LN(Cotacao!L230/Cotacao!L229),F228)</f>
        <v>7.542826594348951E-3</v>
      </c>
      <c r="G229" s="6">
        <f>IFERROR(LN(Cotacao!N230/Cotacao!N229),G228)</f>
        <v>2.1076764679948949E-2</v>
      </c>
      <c r="H229" s="6">
        <f>IFERROR(LN(Cotacao!P230/Cotacao!P229),H228)</f>
        <v>3.7638851499934907E-2</v>
      </c>
      <c r="I229" s="6">
        <f>IFERROR(LN(Cotacao!R230/Cotacao!R229),I228)</f>
        <v>4.4503830988746815E-2</v>
      </c>
      <c r="J229" s="6">
        <f>IFERROR(LN(Cotacao!T230/Cotacao!T229),J228)</f>
        <v>1.7602882444928452E-2</v>
      </c>
      <c r="K229" s="6">
        <f>IFERROR(LN(Cotacao!V230/Cotacao!V229),K228)</f>
        <v>4.2151833962139999E-2</v>
      </c>
      <c r="L229" s="6">
        <f>IFERROR(LN(Cotacao!X230/Cotacao!X229),L228)</f>
        <v>7.4788361443673254E-3</v>
      </c>
      <c r="M229" s="6">
        <f>IFERROR(LN(Profit!B229/Profit!B228),M228)</f>
        <v>3.0643593097006927E-2</v>
      </c>
      <c r="N229" s="6">
        <f>IFERROR(LN(Cotacao!AB230/Cotacao!AB229),N228)</f>
        <v>1.4879084192313267E-2</v>
      </c>
      <c r="O229" s="6">
        <f>IFERROR(LN(Cotacao!AD230/Cotacao!AD229),O228)</f>
        <v>8.3547570270441782E-2</v>
      </c>
      <c r="P229" s="6">
        <f>IFERROR(LN(Cotacao!AF230/Cotacao!AF229),P228)</f>
        <v>2.4264621999631079E-2</v>
      </c>
      <c r="Q229" s="6">
        <f>IFERROR(LN(Cotacao!AH230/Cotacao!AH229),Q228)</f>
        <v>2.8848154337658343E-2</v>
      </c>
      <c r="R229" s="6">
        <f>IFERROR(LN(Cotacao!AJ230/Cotacao!AJ229),R228)</f>
        <v>-2.2622117616729102E-3</v>
      </c>
      <c r="S229" s="6">
        <f>IFERROR(LN(Cotacao!AL230/Cotacao!AL229),S228)</f>
        <v>0.1100998610217228</v>
      </c>
      <c r="T229" s="6">
        <f>IFERROR(LN(Cotacao!AN230/Cotacao!AN229),T228)</f>
        <v>3.5635802479622587E-4</v>
      </c>
      <c r="U229" s="6">
        <f>IFERROR(LN(Cotacao!AP230/Cotacao!AP229),U228)</f>
        <v>-9.6571711995886266E-4</v>
      </c>
      <c r="V229" s="6">
        <f>IFERROR(LN(Cotacao!AR230/Cotacao!AR229),V228)</f>
        <v>7.5472056353829038E-3</v>
      </c>
      <c r="W229" s="6">
        <f>IFERROR(LN(Cotacao!AT230/Cotacao!AT229),W228)</f>
        <v>1.2278323078359672E-2</v>
      </c>
      <c r="X229" s="6">
        <f>IFERROR(LN(Cotacao!AV230/Cotacao!AV229),X228)</f>
        <v>-1.4287517663473959E-3</v>
      </c>
      <c r="Y229" s="6">
        <f>IFERROR(LN(Cotacao!AX230/Cotacao!AX229),Y228)</f>
        <v>1.620004021179676E-2</v>
      </c>
      <c r="Z229" s="6">
        <f>IFERROR(LN(Cotacao!AZ230/Cotacao!AZ229),Z228)</f>
        <v>-6.2305497506360864E-3</v>
      </c>
      <c r="AA229" s="6">
        <f>IFERROR(LN(Cotacao!BB230/Cotacao!BB229),AA228)</f>
        <v>-1.5499864276979823E-2</v>
      </c>
      <c r="AB229" s="6">
        <f>IFERROR(LN(Cotacao!BD230/Cotacao!BD229),AB228)</f>
        <v>8.77331381180394E-2</v>
      </c>
      <c r="AC229" s="6">
        <f>IFERROR(LN(Cotacao!BF230/Cotacao!BF229),AC228)</f>
        <v>9.4692957754441594E-3</v>
      </c>
      <c r="AD229" s="6">
        <f>IFERROR(LN(Cotacao!BH230/Cotacao!BH229),AD228)</f>
        <v>2.7726701402833901E-2</v>
      </c>
      <c r="AE229" s="6">
        <f>IFERROR(LN(Cotacao!BJ230/Cotacao!BJ229),AE228)</f>
        <v>1.1973351504961023E-2</v>
      </c>
      <c r="AF229" s="6">
        <f>IFERROR(LN(Cotacao!BL230/Cotacao!BL229),AF228)</f>
        <v>3.9506224221937539E-3</v>
      </c>
      <c r="AG229" s="6">
        <f>IFERROR(LN(Cotacao!BN230/Cotacao!BN229),AG228)</f>
        <v>1.933613235394781E-3</v>
      </c>
      <c r="AH229" s="6">
        <f>IFERROR(LN(Cotacao!BP230/Cotacao!BP229),AH228)</f>
        <v>1.3131501823735481E-2</v>
      </c>
      <c r="AI229" s="6">
        <f>IFERROR(LN(Cotacao!BR230/Cotacao!BR229),AI228)</f>
        <v>3.2453744849738571E-2</v>
      </c>
      <c r="AJ229" s="6">
        <f>IFERROR(LN(Profit!C229/Profit!C228),AJ228)</f>
        <v>-5.7795407252681071E-2</v>
      </c>
      <c r="AK229" s="6">
        <f>IFERROR(LN(Cotacao!BV230/Cotacao!BV229),AK228)</f>
        <v>2.857314832827261E-2</v>
      </c>
      <c r="AL229" s="6">
        <f>IFERROR(LN(Cotacao!BX230/Cotacao!BX229),AL228)</f>
        <v>7.2177663406719746E-3</v>
      </c>
    </row>
    <row r="230" spans="1:38">
      <c r="A230" s="3" t="str">
        <f>Cotacao!C230</f>
        <v>5/27/2020 16:56:00</v>
      </c>
      <c r="B230" s="6">
        <f>IFERROR(LN(Cotacao!D231/Cotacao!D230),B229)</f>
        <v>1.4295928095943715E-3</v>
      </c>
      <c r="C230" s="6">
        <f>IFERROR(LN(Cotacao!F231/Cotacao!F230),C229)</f>
        <v>1.2178504477959253E-2</v>
      </c>
      <c r="D230" s="6">
        <f>IFERROR(LN(Cotacao!H231/Cotacao!H230),D229)</f>
        <v>1.5016370831930394E-2</v>
      </c>
      <c r="E230" s="6">
        <f>IFERROR(LN(Cotacao!J231/Cotacao!J230),E229)</f>
        <v>2.843793532053341E-2</v>
      </c>
      <c r="F230" s="6">
        <f>IFERROR(LN(Cotacao!L231/Cotacao!L230),F229)</f>
        <v>6.33825227636427E-3</v>
      </c>
      <c r="G230" s="6">
        <f>IFERROR(LN(Cotacao!N231/Cotacao!N230),G229)</f>
        <v>-1.2148133935647459E-2</v>
      </c>
      <c r="H230" s="6">
        <f>IFERROR(LN(Cotacao!P231/Cotacao!P230),H229)</f>
        <v>-2.3132704110906035E-2</v>
      </c>
      <c r="I230" s="6">
        <f>IFERROR(LN(Cotacao!R231/Cotacao!R230),I229)</f>
        <v>3.3786997577383099E-2</v>
      </c>
      <c r="J230" s="6">
        <f>IFERROR(LN(Cotacao!T231/Cotacao!T230),J229)</f>
        <v>-5.3766424155660145E-2</v>
      </c>
      <c r="K230" s="6">
        <f>IFERROR(LN(Cotacao!V231/Cotacao!V230),K229)</f>
        <v>7.476670343020137E-3</v>
      </c>
      <c r="L230" s="6">
        <f>IFERROR(LN(Cotacao!X231/Cotacao!X230),L229)</f>
        <v>-9.4493156277730738E-4</v>
      </c>
      <c r="M230" s="6">
        <f>IFERROR(LN(Profit!B230/Profit!B229),M229)</f>
        <v>7.0540481848753072E-3</v>
      </c>
      <c r="N230" s="6">
        <f>IFERROR(LN(Cotacao!AB231/Cotacao!AB230),N229)</f>
        <v>-9.0931471252692526E-3</v>
      </c>
      <c r="O230" s="6">
        <f>IFERROR(LN(Cotacao!AD231/Cotacao!AD230),O229)</f>
        <v>-3.1857306331310965E-3</v>
      </c>
      <c r="P230" s="6">
        <f>IFERROR(LN(Cotacao!AF231/Cotacao!AF230),P229)</f>
        <v>-1.7137964777346304E-3</v>
      </c>
      <c r="Q230" s="6">
        <f>IFERROR(LN(Cotacao!AH231/Cotacao!AH230),Q229)</f>
        <v>-1.0920390466395237E-2</v>
      </c>
      <c r="R230" s="6">
        <f>IFERROR(LN(Cotacao!AJ231/Cotacao!AJ230),R229)</f>
        <v>-1.097205914587064E-2</v>
      </c>
      <c r="S230" s="6">
        <f>IFERROR(LN(Cotacao!AL231/Cotacao!AL230),S229)</f>
        <v>-6.5957967791797398E-2</v>
      </c>
      <c r="T230" s="6">
        <f>IFERROR(LN(Cotacao!AN231/Cotacao!AN230),T229)</f>
        <v>-5.955943752851427E-3</v>
      </c>
      <c r="U230" s="6">
        <f>IFERROR(LN(Cotacao!AP231/Cotacao!AP230),U229)</f>
        <v>7.7264829032162462E-4</v>
      </c>
      <c r="V230" s="6">
        <f>IFERROR(LN(Cotacao!AR231/Cotacao!AR230),V229)</f>
        <v>1.5851147737618563E-2</v>
      </c>
      <c r="W230" s="6">
        <f>IFERROR(LN(Cotacao!AT231/Cotacao!AT230),W229)</f>
        <v>1.6165788109429888E-3</v>
      </c>
      <c r="X230" s="6">
        <f>IFERROR(LN(Cotacao!AV231/Cotacao!AV230),X229)</f>
        <v>9.2089390853099078E-3</v>
      </c>
      <c r="Y230" s="6">
        <f>IFERROR(LN(Cotacao!AX231/Cotacao!AX230),Y229)</f>
        <v>-3.8608500745437179E-3</v>
      </c>
      <c r="Z230" s="6">
        <f>IFERROR(LN(Cotacao!AZ231/Cotacao!AZ230),Z229)</f>
        <v>0</v>
      </c>
      <c r="AA230" s="6">
        <f>IFERROR(LN(Cotacao!BB231/Cotacao!BB230),AA229)</f>
        <v>1.6882034503931529E-2</v>
      </c>
      <c r="AB230" s="6">
        <f>IFERROR(LN(Cotacao!BD231/Cotacao!BD230),AB229)</f>
        <v>-4.0491361354736875E-2</v>
      </c>
      <c r="AC230" s="6">
        <f>IFERROR(LN(Cotacao!BF231/Cotacao!BF230),AC229)</f>
        <v>-2.3081807459225074E-2</v>
      </c>
      <c r="AD230" s="6">
        <f>IFERROR(LN(Cotacao!BH231/Cotacao!BH230),AD229)</f>
        <v>-2.2777557399252735E-2</v>
      </c>
      <c r="AE230" s="6">
        <f>IFERROR(LN(Cotacao!BJ231/Cotacao!BJ230),AE229)</f>
        <v>1.6484167161377311E-3</v>
      </c>
      <c r="AF230" s="6">
        <f>IFERROR(LN(Cotacao!BL231/Cotacao!BL230),AF229)</f>
        <v>2.4612367826906626E-3</v>
      </c>
      <c r="AG230" s="6">
        <f>IFERROR(LN(Cotacao!BN231/Cotacao!BN230),AG229)</f>
        <v>-1.3832077027009315E-2</v>
      </c>
      <c r="AH230" s="6">
        <f>IFERROR(LN(Cotacao!BP231/Cotacao!BP230),AH229)</f>
        <v>-8.0604970421777958E-3</v>
      </c>
      <c r="AI230" s="6">
        <f>IFERROR(LN(Cotacao!BR231/Cotacao!BR230),AI229)</f>
        <v>-1.7633552868484222E-2</v>
      </c>
      <c r="AJ230" s="6">
        <f>IFERROR(LN(Profit!C230/Profit!C229),AJ229)</f>
        <v>9.2758424625218154E-3</v>
      </c>
      <c r="AK230" s="6">
        <f>IFERROR(LN(Cotacao!BV231/Cotacao!BV230),AK229)</f>
        <v>-1.1403057451534431E-2</v>
      </c>
      <c r="AL230" s="6">
        <f>IFERROR(LN(Cotacao!BX231/Cotacao!BX230),AL229)</f>
        <v>-7.5627723816996846E-3</v>
      </c>
    </row>
    <row r="231" spans="1:38">
      <c r="A231" s="3" t="str">
        <f>Cotacao!C231</f>
        <v>5/28/2020 16:56:00</v>
      </c>
      <c r="B231" s="6">
        <f>IFERROR(LN(Cotacao!D232/Cotacao!D231),B230)</f>
        <v>0</v>
      </c>
      <c r="C231" s="6">
        <f>IFERROR(LN(Cotacao!F232/Cotacao!F231),C230)</f>
        <v>-1.2969330932777084E-2</v>
      </c>
      <c r="D231" s="6">
        <f>IFERROR(LN(Cotacao!H232/Cotacao!H231),D230)</f>
        <v>3.3065689078005818E-3</v>
      </c>
      <c r="E231" s="6">
        <f>IFERROR(LN(Cotacao!J232/Cotacao!J231),E230)</f>
        <v>-5.770831762064673E-2</v>
      </c>
      <c r="F231" s="6">
        <f>IFERROR(LN(Cotacao!L232/Cotacao!L231),F230)</f>
        <v>1.482353255150754E-2</v>
      </c>
      <c r="G231" s="6">
        <f>IFERROR(LN(Cotacao!N232/Cotacao!N231),G230)</f>
        <v>-1.5677812719229904E-2</v>
      </c>
      <c r="H231" s="6">
        <f>IFERROR(LN(Cotacao!P232/Cotacao!P231),H230)</f>
        <v>-1.2681329364399627E-2</v>
      </c>
      <c r="I231" s="6">
        <f>IFERROR(LN(Cotacao!R232/Cotacao!R231),I230)</f>
        <v>-1.6187905822279296E-2</v>
      </c>
      <c r="J231" s="6">
        <f>IFERROR(LN(Cotacao!T232/Cotacao!T231),J230)</f>
        <v>-3.7520571911201235E-2</v>
      </c>
      <c r="K231" s="6">
        <f>IFERROR(LN(Cotacao!V232/Cotacao!V231),K230)</f>
        <v>-9.3546051672202379E-3</v>
      </c>
      <c r="L231" s="6">
        <f>IFERROR(LN(Cotacao!X232/Cotacao!X231),L230)</f>
        <v>-2.1030501967787877E-3</v>
      </c>
      <c r="M231" s="6">
        <f>IFERROR(LN(Profit!B231/Profit!B230),M230)</f>
        <v>-2.5099650654049795E-2</v>
      </c>
      <c r="N231" s="6">
        <f>IFERROR(LN(Cotacao!AB232/Cotacao!AB231),N230)</f>
        <v>9.5694510161506725E-3</v>
      </c>
      <c r="O231" s="6">
        <f>IFERROR(LN(Cotacao!AD232/Cotacao!AD231),O230)</f>
        <v>-3.2428263007488592E-2</v>
      </c>
      <c r="P231" s="6">
        <f>IFERROR(LN(Cotacao!AF232/Cotacao!AF231),P230)</f>
        <v>-2.738706269054127E-2</v>
      </c>
      <c r="Q231" s="6">
        <f>IFERROR(LN(Cotacao!AH232/Cotacao!AH231),Q230)</f>
        <v>5.6470526182596389E-2</v>
      </c>
      <c r="R231" s="6">
        <f>IFERROR(LN(Cotacao!AJ232/Cotacao!AJ231),R230)</f>
        <v>-2.5723535149018085E-2</v>
      </c>
      <c r="S231" s="6">
        <f>IFERROR(LN(Cotacao!AL232/Cotacao!AL231),S230)</f>
        <v>-5.3688505113505487E-2</v>
      </c>
      <c r="T231" s="6">
        <f>IFERROR(LN(Cotacao!AN232/Cotacao!AN231),T230)</f>
        <v>4.6486763493770213E-3</v>
      </c>
      <c r="U231" s="6">
        <f>IFERROR(LN(Cotacao!AP232/Cotacao!AP231),U230)</f>
        <v>1.9306882963733782E-4</v>
      </c>
      <c r="V231" s="6">
        <f>IFERROR(LN(Cotacao!AR232/Cotacao!AR231),V230)</f>
        <v>1.8484293617823751E-3</v>
      </c>
      <c r="W231" s="6">
        <f>IFERROR(LN(Cotacao!AT232/Cotacao!AT231),W230)</f>
        <v>8.1169160589056076E-6</v>
      </c>
      <c r="X231" s="6">
        <f>IFERROR(LN(Cotacao!AV232/Cotacao!AV231),X230)</f>
        <v>8.2161547713403438E-3</v>
      </c>
      <c r="Y231" s="6">
        <f>IFERROR(LN(Cotacao!AX232/Cotacao!AX231),Y230)</f>
        <v>1.8591533530612232E-2</v>
      </c>
      <c r="Z231" s="6">
        <f>IFERROR(LN(Cotacao!AZ232/Cotacao!AZ231),Z230)</f>
        <v>0</v>
      </c>
      <c r="AA231" s="6">
        <f>IFERROR(LN(Cotacao!BB232/Cotacao!BB231),AA230)</f>
        <v>5.2348927923431179E-3</v>
      </c>
      <c r="AB231" s="6">
        <f>IFERROR(LN(Cotacao!BD232/Cotacao!BD231),AB230)</f>
        <v>1.8424267326058286E-2</v>
      </c>
      <c r="AC231" s="6">
        <f>IFERROR(LN(Cotacao!BF232/Cotacao!BF231),AC230)</f>
        <v>-4.5789955356878922E-3</v>
      </c>
      <c r="AD231" s="6">
        <f>IFERROR(LN(Cotacao!BH232/Cotacao!BH231),AD230)</f>
        <v>-9.0922240909680485E-3</v>
      </c>
      <c r="AE231" s="6">
        <f>IFERROR(LN(Cotacao!BJ232/Cotacao!BJ231),AE230)</f>
        <v>1.3960914856625437E-2</v>
      </c>
      <c r="AF231" s="6">
        <f>IFERROR(LN(Cotacao!BL232/Cotacao!BL231),AF230)</f>
        <v>2.7877214273747748E-2</v>
      </c>
      <c r="AG231" s="6">
        <f>IFERROR(LN(Cotacao!BN232/Cotacao!BN231),AG230)</f>
        <v>-8.7432250957288626E-3</v>
      </c>
      <c r="AH231" s="6">
        <f>IFERROR(LN(Cotacao!BP232/Cotacao!BP231),AH230)</f>
        <v>2.8423753437888319E-2</v>
      </c>
      <c r="AI231" s="6">
        <f>IFERROR(LN(Cotacao!BR232/Cotacao!BR231),AI230)</f>
        <v>5.8146255865568049E-2</v>
      </c>
      <c r="AJ231" s="6">
        <f>IFERROR(LN(Profit!C231/Profit!C230),AJ230)</f>
        <v>-4.6520015634892928E-2</v>
      </c>
      <c r="AK231" s="6">
        <f>IFERROR(LN(Cotacao!BV232/Cotacao!BV231),AK230)</f>
        <v>5.2021411291007878E-3</v>
      </c>
      <c r="AL231" s="6">
        <f>IFERROR(LN(Cotacao!BX232/Cotacao!BX231),AL230)</f>
        <v>-1.4248720649854598E-2</v>
      </c>
    </row>
    <row r="232" spans="1:38">
      <c r="A232" s="3" t="str">
        <f>Cotacao!C232</f>
        <v>5/29/2020 16:56:00</v>
      </c>
      <c r="B232" s="6">
        <f>IFERROR(LN(Cotacao!D233/Cotacao!D232),B231)</f>
        <v>3.5650661644961446E-3</v>
      </c>
      <c r="C232" s="6">
        <f>IFERROR(LN(Cotacao!F233/Cotacao!F232),C231)</f>
        <v>1.4530002338121671E-2</v>
      </c>
      <c r="D232" s="6">
        <f>IFERROR(LN(Cotacao!H233/Cotacao!H232),D231)</f>
        <v>-1.9524429731678863E-2</v>
      </c>
      <c r="E232" s="6">
        <f>IFERROR(LN(Cotacao!J233/Cotacao!J232),E231)</f>
        <v>3.9791761041646029E-2</v>
      </c>
      <c r="F232" s="6">
        <f>IFERROR(LN(Cotacao!L233/Cotacao!L232),F231)</f>
        <v>-5.67538413259926E-3</v>
      </c>
      <c r="G232" s="6">
        <f>IFERROR(LN(Cotacao!N233/Cotacao!N232),G231)</f>
        <v>2.3425499510055854E-2</v>
      </c>
      <c r="H232" s="6">
        <f>IFERROR(LN(Cotacao!P233/Cotacao!P232),H231)</f>
        <v>2.7423611101603153E-2</v>
      </c>
      <c r="I232" s="6">
        <f>IFERROR(LN(Cotacao!R233/Cotacao!R232),I231)</f>
        <v>3.3207257060474407E-2</v>
      </c>
      <c r="J232" s="6">
        <f>IFERROR(LN(Cotacao!T233/Cotacao!T232),J231)</f>
        <v>4.0057034907109886E-2</v>
      </c>
      <c r="K232" s="6">
        <f>IFERROR(LN(Cotacao!V233/Cotacao!V232),K231)</f>
        <v>2.9631797606371149E-2</v>
      </c>
      <c r="L232" s="6">
        <f>IFERROR(LN(Cotacao!X233/Cotacao!X232),L231)</f>
        <v>-2.9266213470866366E-2</v>
      </c>
      <c r="M232" s="6">
        <f>IFERROR(LN(Profit!B232/Profit!B231),M231)</f>
        <v>3.3572716634080159E-2</v>
      </c>
      <c r="N232" s="6">
        <f>IFERROR(LN(Cotacao!AB233/Cotacao!AB232),N231)</f>
        <v>1.2304935190378874E-2</v>
      </c>
      <c r="O232" s="6">
        <f>IFERROR(LN(Cotacao!AD233/Cotacao!AD232),O231)</f>
        <v>2.2165183828006488E-2</v>
      </c>
      <c r="P232" s="6">
        <f>IFERROR(LN(Cotacao!AF233/Cotacao!AF232),P231)</f>
        <v>1.2264717909256352E-2</v>
      </c>
      <c r="Q232" s="6">
        <f>IFERROR(LN(Cotacao!AH233/Cotacao!AH232),Q231)</f>
        <v>7.8932941296929078E-3</v>
      </c>
      <c r="R232" s="6">
        <f>IFERROR(LN(Cotacao!AJ233/Cotacao!AJ232),R231)</f>
        <v>1.7782009607831363E-2</v>
      </c>
      <c r="S232" s="6">
        <f>IFERROR(LN(Cotacao!AL233/Cotacao!AL232),S231)</f>
        <v>6.4988060367438788E-2</v>
      </c>
      <c r="T232" s="6">
        <f>IFERROR(LN(Cotacao!AN233/Cotacao!AN232),T231)</f>
        <v>8.6437102016378546E-3</v>
      </c>
      <c r="U232" s="6">
        <f>IFERROR(LN(Cotacao!AP233/Cotacao!AP232),U231)</f>
        <v>3.8535693159899723E-3</v>
      </c>
      <c r="V232" s="6">
        <f>IFERROR(LN(Cotacao!AR233/Cotacao!AR232),V231)</f>
        <v>-8.3449719321806465E-3</v>
      </c>
      <c r="W232" s="6">
        <f>IFERROR(LN(Cotacao!AT233/Cotacao!AT232),W231)</f>
        <v>1.3303965626362886E-2</v>
      </c>
      <c r="X232" s="6">
        <f>IFERROR(LN(Cotacao!AV233/Cotacao!AV232),X231)</f>
        <v>8.2648043354749545E-5</v>
      </c>
      <c r="Y232" s="6">
        <f>IFERROR(LN(Cotacao!AX233/Cotacao!AX232),Y231)</f>
        <v>-1.1456554313638642E-2</v>
      </c>
      <c r="Z232" s="6">
        <f>IFERROR(LN(Cotacao!AZ233/Cotacao!AZ232),Z231)</f>
        <v>-6.2696130135953742E-3</v>
      </c>
      <c r="AA232" s="6">
        <f>IFERROR(LN(Cotacao!BB233/Cotacao!BB232),AA231)</f>
        <v>7.9376357641957433E-3</v>
      </c>
      <c r="AB232" s="6">
        <f>IFERROR(LN(Cotacao!BD233/Cotacao!BD232),AB231)</f>
        <v>1.0760023113987003E-2</v>
      </c>
      <c r="AC232" s="6">
        <f>IFERROR(LN(Cotacao!BF233/Cotacao!BF232),AC231)</f>
        <v>1.718950312761745E-2</v>
      </c>
      <c r="AD232" s="6">
        <f>IFERROR(LN(Cotacao!BH233/Cotacao!BH232),AD231)</f>
        <v>2.9722706054555705E-2</v>
      </c>
      <c r="AE232" s="6">
        <f>IFERROR(LN(Cotacao!BJ233/Cotacao!BJ232),AE231)</f>
        <v>-1.1024055183315697E-2</v>
      </c>
      <c r="AF232" s="6">
        <f>IFERROR(LN(Cotacao!BL233/Cotacao!BL232),AF231)</f>
        <v>7.8581187789997457E-3</v>
      </c>
      <c r="AG232" s="6">
        <f>IFERROR(LN(Cotacao!BN233/Cotacao!BN232),AG231)</f>
        <v>-4.3917435927648781E-4</v>
      </c>
      <c r="AH232" s="6">
        <f>IFERROR(LN(Cotacao!BP233/Cotacao!BP232),AH231)</f>
        <v>-4.9176298015872694E-4</v>
      </c>
      <c r="AI232" s="6">
        <f>IFERROR(LN(Cotacao!BR233/Cotacao!BR232),AI231)</f>
        <v>9.9567226920681002E-3</v>
      </c>
      <c r="AJ232" s="6">
        <f>IFERROR(LN(Profit!C232/Profit!C231),AJ231)</f>
        <v>7.5223421237587532E-2</v>
      </c>
      <c r="AK232" s="6">
        <f>IFERROR(LN(Cotacao!BV233/Cotacao!BV232),AK231)</f>
        <v>1.3833778094465368E-2</v>
      </c>
      <c r="AL232" s="6">
        <f>IFERROR(LN(Cotacao!BX233/Cotacao!BX232),AL231)</f>
        <v>7.3234852165400578E-3</v>
      </c>
    </row>
    <row r="233" spans="1:38">
      <c r="A233" s="3" t="str">
        <f>Cotacao!C233</f>
        <v>6/1/2020 16:56:00</v>
      </c>
      <c r="B233" s="6">
        <f>IFERROR(LN(Cotacao!D234/Cotacao!D233),B232)</f>
        <v>-2.1375141733108666E-3</v>
      </c>
      <c r="C233" s="6">
        <f>IFERROR(LN(Cotacao!F234/Cotacao!F233),C232)</f>
        <v>3.2978448684155781E-2</v>
      </c>
      <c r="D233" s="6">
        <f>IFERROR(LN(Cotacao!H234/Cotacao!H233),D232)</f>
        <v>1.1950429027658966E-2</v>
      </c>
      <c r="E233" s="6">
        <f>IFERROR(LN(Cotacao!J234/Cotacao!J233),E232)</f>
        <v>1.417123384883881E-2</v>
      </c>
      <c r="F233" s="6">
        <f>IFERROR(LN(Cotacao!L234/Cotacao!L233),F232)</f>
        <v>2.139721273528207E-2</v>
      </c>
      <c r="G233" s="6">
        <f>IFERROR(LN(Cotacao!N234/Cotacao!N233),G232)</f>
        <v>5.052122133314977E-2</v>
      </c>
      <c r="H233" s="6">
        <f>IFERROR(LN(Cotacao!P234/Cotacao!P233),H232)</f>
        <v>5.1426323232834595E-2</v>
      </c>
      <c r="I233" s="6">
        <f>IFERROR(LN(Cotacao!R234/Cotacao!R233),I232)</f>
        <v>4.9386196683805492E-2</v>
      </c>
      <c r="J233" s="6">
        <f>IFERROR(LN(Cotacao!T234/Cotacao!T233),J232)</f>
        <v>5.3033388158901976E-2</v>
      </c>
      <c r="K233" s="6">
        <f>IFERROR(LN(Cotacao!V234/Cotacao!V233),K232)</f>
        <v>4.4610429766724059E-2</v>
      </c>
      <c r="L233" s="6">
        <f>IFERROR(LN(Cotacao!X234/Cotacao!X233),L232)</f>
        <v>2.5979663887050726E-3</v>
      </c>
      <c r="M233" s="6">
        <f>IFERROR(LN(Profit!B233/Profit!B232),M232)</f>
        <v>6.2168786811251826E-3</v>
      </c>
      <c r="N233" s="6">
        <f>IFERROR(LN(Cotacao!AB234/Cotacao!AB233),N232)</f>
        <v>-3.9822964084271266E-2</v>
      </c>
      <c r="O233" s="6">
        <f>IFERROR(LN(Cotacao!AD234/Cotacao!AD233),O232)</f>
        <v>8.0488970232076809E-2</v>
      </c>
      <c r="P233" s="6">
        <f>IFERROR(LN(Cotacao!AF234/Cotacao!AF233),P232)</f>
        <v>2.3662106329419282E-2</v>
      </c>
      <c r="Q233" s="6">
        <f>IFERROR(LN(Cotacao!AH234/Cotacao!AH233),Q232)</f>
        <v>0</v>
      </c>
      <c r="R233" s="6">
        <f>IFERROR(LN(Cotacao!AJ234/Cotacao!AJ233),R232)</f>
        <v>1.0851525516129355E-2</v>
      </c>
      <c r="S233" s="6">
        <f>IFERROR(LN(Cotacao!AL234/Cotacao!AL233),S232)</f>
        <v>3.7490608915498685E-2</v>
      </c>
      <c r="T233" s="6">
        <f>IFERROR(LN(Cotacao!AN234/Cotacao!AN233),T232)</f>
        <v>1.3234367782413763E-2</v>
      </c>
      <c r="U233" s="6">
        <f>IFERROR(LN(Cotacao!AP234/Cotacao!AP233),U232)</f>
        <v>-3.1781218063519114E-3</v>
      </c>
      <c r="V233" s="6">
        <f>IFERROR(LN(Cotacao!AR234/Cotacao!AR233),V232)</f>
        <v>1.2031612052399407E-2</v>
      </c>
      <c r="W233" s="6">
        <f>IFERROR(LN(Cotacao!AT234/Cotacao!AT233),W232)</f>
        <v>5.1927418460564513E-3</v>
      </c>
      <c r="X233" s="6">
        <f>IFERROR(LN(Cotacao!AV234/Cotacao!AV233),X232)</f>
        <v>4.5351551653913628E-3</v>
      </c>
      <c r="Y233" s="6">
        <f>IFERROR(LN(Cotacao!AX234/Cotacao!AX233),Y232)</f>
        <v>3.1005246770532341E-3</v>
      </c>
      <c r="Z233" s="6">
        <f>IFERROR(LN(Cotacao!AZ234/Cotacao!AZ233),Z232)</f>
        <v>9.3897403498389171E-3</v>
      </c>
      <c r="AA233" s="6">
        <f>IFERROR(LN(Cotacao!BB234/Cotacao!BB233),AA232)</f>
        <v>2.6419981175185521E-2</v>
      </c>
      <c r="AB233" s="6">
        <f>IFERROR(LN(Cotacao!BD234/Cotacao!BD233),AB232)</f>
        <v>1.0645476447952672E-2</v>
      </c>
      <c r="AC233" s="6">
        <f>IFERROR(LN(Cotacao!BF234/Cotacao!BF233),AC232)</f>
        <v>2.8170876966696439E-2</v>
      </c>
      <c r="AD233" s="6">
        <f>IFERROR(LN(Cotacao!BH234/Cotacao!BH233),AD232)</f>
        <v>2.4151360189619444E-3</v>
      </c>
      <c r="AE233" s="6">
        <f>IFERROR(LN(Cotacao!BJ234/Cotacao!BJ233),AE232)</f>
        <v>4.0387540631156198E-3</v>
      </c>
      <c r="AF233" s="6">
        <f>IFERROR(LN(Cotacao!BL234/Cotacao!BL233),AF232)</f>
        <v>6.1480449034296654E-3</v>
      </c>
      <c r="AG233" s="6">
        <f>IFERROR(LN(Cotacao!BN234/Cotacao!BN233),AG232)</f>
        <v>2.0220277995572401E-2</v>
      </c>
      <c r="AH233" s="6">
        <f>IFERROR(LN(Cotacao!BP234/Cotacao!BP233),AH232)</f>
        <v>5.1293294387550481E-2</v>
      </c>
      <c r="AI233" s="6">
        <f>IFERROR(LN(Cotacao!BR234/Cotacao!BR233),AI232)</f>
        <v>7.0929845943410813E-2</v>
      </c>
      <c r="AJ233" s="6">
        <f>IFERROR(LN(Profit!C233/Profit!C232),AJ232)</f>
        <v>2.2518863535349824E-2</v>
      </c>
      <c r="AK233" s="6">
        <f>IFERROR(LN(Cotacao!BV234/Cotacao!BV233),AK232)</f>
        <v>2.7010352824554891E-2</v>
      </c>
      <c r="AL233" s="6">
        <f>IFERROR(LN(Cotacao!BX234/Cotacao!BX233),AL232)</f>
        <v>-8.0237653572025718E-3</v>
      </c>
    </row>
    <row r="234" spans="1:38">
      <c r="A234" s="3" t="str">
        <f>Cotacao!C234</f>
        <v>6/2/2020 16:56:00</v>
      </c>
      <c r="B234" s="6">
        <f>IFERROR(LN(Cotacao!D235/Cotacao!D234),B233)</f>
        <v>2.9517251858236185E-2</v>
      </c>
      <c r="C234" s="6">
        <f>IFERROR(LN(Cotacao!F235/Cotacao!F234),C233)</f>
        <v>5.0746181338463335E-2</v>
      </c>
      <c r="D234" s="6">
        <f>IFERROR(LN(Cotacao!H235/Cotacao!H234),D233)</f>
        <v>1.882851574630981E-2</v>
      </c>
      <c r="E234" s="6">
        <f>IFERROR(LN(Cotacao!J235/Cotacao!J234),E233)</f>
        <v>2.9577017343686052E-2</v>
      </c>
      <c r="F234" s="6">
        <f>IFERROR(LN(Cotacao!L235/Cotacao!L234),F233)</f>
        <v>1.1135858611798202E-3</v>
      </c>
      <c r="G234" s="6">
        <f>IFERROR(LN(Cotacao!N235/Cotacao!N234),G233)</f>
        <v>2.7908788117076658E-2</v>
      </c>
      <c r="H234" s="6">
        <f>IFERROR(LN(Cotacao!P235/Cotacao!P234),H233)</f>
        <v>3.1511728369159331E-2</v>
      </c>
      <c r="I234" s="6">
        <f>IFERROR(LN(Cotacao!R235/Cotacao!R234),I233)</f>
        <v>9.2832023035491623E-3</v>
      </c>
      <c r="J234" s="6">
        <f>IFERROR(LN(Cotacao!T235/Cotacao!T234),J233)</f>
        <v>5.4351675830578199E-2</v>
      </c>
      <c r="K234" s="6">
        <f>IFERROR(LN(Cotacao!V235/Cotacao!V234),K233)</f>
        <v>2.5841231183887328E-2</v>
      </c>
      <c r="L234" s="6">
        <f>IFERROR(LN(Cotacao!X235/Cotacao!X234),L233)</f>
        <v>1.1821738965166733E-2</v>
      </c>
      <c r="M234" s="6">
        <f>IFERROR(LN(Profit!B234/Profit!B233),M233)</f>
        <v>-2.1371483994638139E-2</v>
      </c>
      <c r="N234" s="6">
        <f>IFERROR(LN(Cotacao!AB235/Cotacao!AB234),N233)</f>
        <v>-3.9234969409265765E-3</v>
      </c>
      <c r="O234" s="6">
        <f>IFERROR(LN(Cotacao!AD235/Cotacao!AD234),O233)</f>
        <v>2.8154352274674839E-2</v>
      </c>
      <c r="P234" s="6">
        <f>IFERROR(LN(Cotacao!AF235/Cotacao!AF234),P233)</f>
        <v>4.08219945202552E-2</v>
      </c>
      <c r="Q234" s="6">
        <f>IFERROR(LN(Cotacao!AH235/Cotacao!AH234),Q233)</f>
        <v>4.4826373156631504E-3</v>
      </c>
      <c r="R234" s="6">
        <f>IFERROR(LN(Cotacao!AJ235/Cotacao!AJ234),R233)</f>
        <v>-2.4796395476666743E-2</v>
      </c>
      <c r="S234" s="6">
        <f>IFERROR(LN(Cotacao!AL235/Cotacao!AL234),S233)</f>
        <v>8.5025279018000402E-2</v>
      </c>
      <c r="T234" s="6">
        <f>IFERROR(LN(Cotacao!AN235/Cotacao!AN234),T233)</f>
        <v>3.1494157486675466E-2</v>
      </c>
      <c r="U234" s="6">
        <f>IFERROR(LN(Cotacao!AP235/Cotacao!AP234),U233)</f>
        <v>1.3223649955988594E-2</v>
      </c>
      <c r="V234" s="6">
        <f>IFERROR(LN(Cotacao!AR235/Cotacao!AR234),V233)</f>
        <v>3.673098711861506E-3</v>
      </c>
      <c r="W234" s="6">
        <f>IFERROR(LN(Cotacao!AT235/Cotacao!AT234),W233)</f>
        <v>3.9761483796394168E-3</v>
      </c>
      <c r="X234" s="6">
        <f>IFERROR(LN(Cotacao!AV235/Cotacao!AV234),X233)</f>
        <v>1.971390008792304E-2</v>
      </c>
      <c r="Y234" s="6">
        <f>IFERROR(LN(Cotacao!AX235/Cotacao!AX234),Y233)</f>
        <v>2.8472665157778009E-3</v>
      </c>
      <c r="Z234" s="6">
        <f>IFERROR(LN(Cotacao!AZ235/Cotacao!AZ234),Z233)</f>
        <v>9.3023926623136306E-3</v>
      </c>
      <c r="AA234" s="6">
        <f>IFERROR(LN(Cotacao!BB235/Cotacao!BB234),AA233)</f>
        <v>-4.9509004745078343E-3</v>
      </c>
      <c r="AB234" s="6">
        <f>IFERROR(LN(Cotacao!BD235/Cotacao!BD234),AB233)</f>
        <v>8.9820135548284677E-2</v>
      </c>
      <c r="AC234" s="6">
        <f>IFERROR(LN(Cotacao!BF235/Cotacao!BF234),AC233)</f>
        <v>7.7670293376595964E-3</v>
      </c>
      <c r="AD234" s="6">
        <f>IFERROR(LN(Cotacao!BH235/Cotacao!BH234),AD233)</f>
        <v>3.5544086547118305E-2</v>
      </c>
      <c r="AE234" s="6">
        <f>IFERROR(LN(Cotacao!BJ235/Cotacao!BJ234),AE233)</f>
        <v>7.5072369339451933E-3</v>
      </c>
      <c r="AF234" s="6">
        <f>IFERROR(LN(Cotacao!BL235/Cotacao!BL234),AF233)</f>
        <v>4.2343041387883848E-3</v>
      </c>
      <c r="AG234" s="6">
        <f>IFERROR(LN(Cotacao!BN235/Cotacao!BN234),AG233)</f>
        <v>4.9548337622550877E-2</v>
      </c>
      <c r="AH234" s="6">
        <f>IFERROR(LN(Cotacao!BP235/Cotacao!BP234),AH233)</f>
        <v>3.2656898628837905E-3</v>
      </c>
      <c r="AI234" s="6">
        <f>IFERROR(LN(Cotacao!BR235/Cotacao!BR234),AI233)</f>
        <v>-3.3603888330724349E-2</v>
      </c>
      <c r="AJ234" s="6">
        <f>IFERROR(LN(Profit!C234/Profit!C233),AJ233)</f>
        <v>-3.3795233246524839E-3</v>
      </c>
      <c r="AK234" s="6">
        <f>IFERROR(LN(Cotacao!BV235/Cotacao!BV234),AK233)</f>
        <v>2.1253456632488413E-2</v>
      </c>
      <c r="AL234" s="6">
        <f>IFERROR(LN(Cotacao!BX235/Cotacao!BX234),AL233)</f>
        <v>1.1838578376124736E-2</v>
      </c>
    </row>
    <row r="235" spans="1:38">
      <c r="A235" s="3" t="str">
        <f>Cotacao!C235</f>
        <v>6/3/2020 16:56:00</v>
      </c>
      <c r="B235" s="6">
        <f>IFERROR(LN(Cotacao!D236/Cotacao!D235),B234)</f>
        <v>2.1240949321148731E-2</v>
      </c>
      <c r="C235" s="6">
        <f>IFERROR(LN(Cotacao!F236/Cotacao!F235),C234)</f>
        <v>5.7204303293077966E-3</v>
      </c>
      <c r="D235" s="6">
        <f>IFERROR(LN(Cotacao!H236/Cotacao!H235),D234)</f>
        <v>-4.4397782942102223E-3</v>
      </c>
      <c r="E235" s="6">
        <f>IFERROR(LN(Cotacao!J236/Cotacao!J235),E234)</f>
        <v>-2.1169681507712829E-2</v>
      </c>
      <c r="F235" s="6">
        <f>IFERROR(LN(Cotacao!L236/Cotacao!L235),F234)</f>
        <v>-1.4009755618532802E-2</v>
      </c>
      <c r="G235" s="6">
        <f>IFERROR(LN(Cotacao!N236/Cotacao!N235),G234)</f>
        <v>1.1150647719509741E-2</v>
      </c>
      <c r="H235" s="6">
        <f>IFERROR(LN(Cotacao!P236/Cotacao!P235),H234)</f>
        <v>2.8170876966696224E-2</v>
      </c>
      <c r="I235" s="6">
        <f>IFERROR(LN(Cotacao!R236/Cotacao!R235),I234)</f>
        <v>2.5843850297919503E-2</v>
      </c>
      <c r="J235" s="6">
        <f>IFERROR(LN(Cotacao!T236/Cotacao!T235),J234)</f>
        <v>-2.3015975700921593E-2</v>
      </c>
      <c r="K235" s="6">
        <f>IFERROR(LN(Cotacao!V236/Cotacao!V235),K234)</f>
        <v>-1.8884681390527437E-2</v>
      </c>
      <c r="L235" s="6">
        <f>IFERROR(LN(Cotacao!X236/Cotacao!X235),L234)</f>
        <v>2.1344725286326196E-3</v>
      </c>
      <c r="M235" s="6">
        <f>IFERROR(LN(Profit!B235/Profit!B234),M234)</f>
        <v>-7.1015062043111319E-3</v>
      </c>
      <c r="N235" s="6">
        <f>IFERROR(LN(Cotacao!AB236/Cotacao!AB235),N234)</f>
        <v>4.4128534468996046E-3</v>
      </c>
      <c r="O235" s="6">
        <f>IFERROR(LN(Cotacao!AD236/Cotacao!AD235),O234)</f>
        <v>-3.4762491553607853E-3</v>
      </c>
      <c r="P235" s="6">
        <f>IFERROR(LN(Cotacao!AF236/Cotacao!AF235),P234)</f>
        <v>1.6194685919980606E-2</v>
      </c>
      <c r="Q235" s="6">
        <f>IFERROR(LN(Cotacao!AH236/Cotacao!AH235),Q234)</f>
        <v>3.6593911100266587E-2</v>
      </c>
      <c r="R235" s="6">
        <f>IFERROR(LN(Cotacao!AJ236/Cotacao!AJ235),R234)</f>
        <v>8.2636342694382622E-3</v>
      </c>
      <c r="S235" s="6">
        <f>IFERROR(LN(Cotacao!AL236/Cotacao!AL235),S234)</f>
        <v>1.9860979716293243E-3</v>
      </c>
      <c r="T235" s="6">
        <f>IFERROR(LN(Cotacao!AN236/Cotacao!AN235),T234)</f>
        <v>1.3438052162040796E-2</v>
      </c>
      <c r="U235" s="6">
        <f>IFERROR(LN(Cotacao!AP236/Cotacao!AP235),U234)</f>
        <v>8.8139697736066992E-3</v>
      </c>
      <c r="V235" s="6">
        <f>IFERROR(LN(Cotacao!AR236/Cotacao!AR235),V234)</f>
        <v>3.6596564175303517E-3</v>
      </c>
      <c r="W235" s="6">
        <f>IFERROR(LN(Cotacao!AT236/Cotacao!AT235),W234)</f>
        <v>-6.3694482854798227E-3</v>
      </c>
      <c r="X235" s="6">
        <f>IFERROR(LN(Cotacao!AV236/Cotacao!AV235),X234)</f>
        <v>3.2213928155941968E-3</v>
      </c>
      <c r="Y235" s="6">
        <f>IFERROR(LN(Cotacao!AX236/Cotacao!AX235),Y234)</f>
        <v>3.0821664435507551E-3</v>
      </c>
      <c r="Z235" s="6">
        <f>IFERROR(LN(Cotacao!AZ236/Cotacao!AZ235),Z234)</f>
        <v>3.3387016032736978E-2</v>
      </c>
      <c r="AA235" s="6">
        <f>IFERROR(LN(Cotacao!BB236/Cotacao!BB235),AA234)</f>
        <v>-4.2703107299931609E-4</v>
      </c>
      <c r="AB235" s="6">
        <f>IFERROR(LN(Cotacao!BD236/Cotacao!BD235),AB234)</f>
        <v>4.2257835295647968E-3</v>
      </c>
      <c r="AC235" s="6">
        <f>IFERROR(LN(Cotacao!BF236/Cotacao!BF235),AC234)</f>
        <v>-1.4122465053864525E-2</v>
      </c>
      <c r="AD235" s="6">
        <f>IFERROR(LN(Cotacao!BH236/Cotacao!BH235),AD234)</f>
        <v>-1.7219314053798937E-2</v>
      </c>
      <c r="AE235" s="6">
        <f>IFERROR(LN(Cotacao!BJ236/Cotacao!BJ235),AE234)</f>
        <v>-8.6177312179723763E-3</v>
      </c>
      <c r="AF235" s="6">
        <f>IFERROR(LN(Cotacao!BL236/Cotacao!BL235),AF234)</f>
        <v>2.7779564107075671E-2</v>
      </c>
      <c r="AG235" s="6">
        <f>IFERROR(LN(Cotacao!BN236/Cotacao!BN235),AG234)</f>
        <v>1.5447461642230344E-2</v>
      </c>
      <c r="AH235" s="6">
        <f>IFERROR(LN(Cotacao!BP236/Cotacao!BP235),AH234)</f>
        <v>-1.8648024052040195E-3</v>
      </c>
      <c r="AI235" s="6">
        <f>IFERROR(LN(Cotacao!BR236/Cotacao!BR235),AI234)</f>
        <v>4.3380295630225177E-2</v>
      </c>
      <c r="AJ235" s="6">
        <f>IFERROR(LN(Profit!C235/Profit!C234),AJ234)</f>
        <v>-3.3738139631850114E-2</v>
      </c>
      <c r="AK235" s="6">
        <f>IFERROR(LN(Cotacao!BV236/Cotacao!BV235),AK234)</f>
        <v>8.8473165256638207E-3</v>
      </c>
      <c r="AL235" s="6">
        <f>IFERROR(LN(Cotacao!BX236/Cotacao!BX235),AL234)</f>
        <v>-5.2056338272650493E-3</v>
      </c>
    </row>
    <row r="236" spans="1:38">
      <c r="A236" s="3" t="str">
        <f>Cotacao!C236</f>
        <v>6/4/2020 16:56:00</v>
      </c>
      <c r="B236" s="6">
        <f>IFERROR(LN(Cotacao!D237/Cotacao!D236),B235)</f>
        <v>2.0799139585918797E-2</v>
      </c>
      <c r="C236" s="6">
        <f>IFERROR(LN(Cotacao!F237/Cotacao!F236),C235)</f>
        <v>1.5564516541111548E-2</v>
      </c>
      <c r="D236" s="6">
        <f>IFERROR(LN(Cotacao!H237/Cotacao!H236),D235)</f>
        <v>-4.6849380102634226E-4</v>
      </c>
      <c r="E236" s="6">
        <f>IFERROR(LN(Cotacao!J237/Cotacao!J236),E235)</f>
        <v>1.3857034661426281E-2</v>
      </c>
      <c r="F236" s="6">
        <f>IFERROR(LN(Cotacao!L237/Cotacao!L236),F235)</f>
        <v>4.5045121211047291E-3</v>
      </c>
      <c r="G236" s="6">
        <f>IFERROR(LN(Cotacao!N237/Cotacao!N236),G235)</f>
        <v>1.2024192966801591E-2</v>
      </c>
      <c r="H236" s="6">
        <f>IFERROR(LN(Cotacao!P237/Cotacao!P236),H235)</f>
        <v>2.0813631776275324E-2</v>
      </c>
      <c r="I236" s="6">
        <f>IFERROR(LN(Cotacao!R237/Cotacao!R236),I235)</f>
        <v>4.2601301060317821E-2</v>
      </c>
      <c r="J236" s="6">
        <f>IFERROR(LN(Cotacao!T237/Cotacao!T236),J235)</f>
        <v>1.7883372474401339E-2</v>
      </c>
      <c r="K236" s="6">
        <f>IFERROR(LN(Cotacao!V237/Cotacao!V236),K235)</f>
        <v>-1.2205905679503623E-2</v>
      </c>
      <c r="L236" s="6">
        <f>IFERROR(LN(Cotacao!X237/Cotacao!X236),L235)</f>
        <v>6.3762171392760638E-3</v>
      </c>
      <c r="M236" s="6">
        <f>IFERROR(LN(Profit!B236/Profit!B235),M235)</f>
        <v>-3.7579901423295905E-3</v>
      </c>
      <c r="N236" s="6">
        <f>IFERROR(LN(Cotacao!AB237/Cotacao!AB236),N235)</f>
        <v>6.8259650703996694E-3</v>
      </c>
      <c r="O236" s="6">
        <f>IFERROR(LN(Cotacao!AD237/Cotacao!AD236),O235)</f>
        <v>2.9733465381586437E-2</v>
      </c>
      <c r="P236" s="6">
        <f>IFERROR(LN(Cotacao!AF237/Cotacao!AF236),P235)</f>
        <v>2.0274993861410861E-2</v>
      </c>
      <c r="Q236" s="6">
        <f>IFERROR(LN(Cotacao!AH237/Cotacao!AH236),Q235)</f>
        <v>-1.9044739933682341E-2</v>
      </c>
      <c r="R236" s="6">
        <f>IFERROR(LN(Cotacao!AJ237/Cotacao!AJ236),R235)</f>
        <v>1.1330377192043051E-2</v>
      </c>
      <c r="S236" s="6">
        <f>IFERROR(LN(Cotacao!AL237/Cotacao!AL236),S235)</f>
        <v>1.9646997383796421E-2</v>
      </c>
      <c r="T236" s="6">
        <f>IFERROR(LN(Cotacao!AN237/Cotacao!AN236),T235)</f>
        <v>2.1241100147856195E-2</v>
      </c>
      <c r="U236" s="6">
        <f>IFERROR(LN(Cotacao!AP237/Cotacao!AP236),U235)</f>
        <v>6.7707612430916121E-3</v>
      </c>
      <c r="V236" s="6">
        <f>IFERROR(LN(Cotacao!AR237/Cotacao!AR236),V235)</f>
        <v>0</v>
      </c>
      <c r="W236" s="6">
        <f>IFERROR(LN(Cotacao!AT237/Cotacao!AT236),W235)</f>
        <v>2.1336249918798938E-2</v>
      </c>
      <c r="X236" s="6">
        <f>IFERROR(LN(Cotacao!AV237/Cotacao!AV236),X235)</f>
        <v>2.312839036388166E-2</v>
      </c>
      <c r="Y236" s="6">
        <f>IFERROR(LN(Cotacao!AX237/Cotacao!AX236),Y235)</f>
        <v>2.3458049179724085E-3</v>
      </c>
      <c r="Z236" s="6">
        <f>IFERROR(LN(Cotacao!AZ237/Cotacao!AZ236),Z235)</f>
        <v>8.9153636579523288E-3</v>
      </c>
      <c r="AA236" s="6">
        <f>IFERROR(LN(Cotacao!BB237/Cotacao!BB236),AA235)</f>
        <v>2.7903889913982224E-2</v>
      </c>
      <c r="AB236" s="6">
        <f>IFERROR(LN(Cotacao!BD237/Cotacao!BD236),AB235)</f>
        <v>1.376031284021691E-2</v>
      </c>
      <c r="AC236" s="6">
        <f>IFERROR(LN(Cotacao!BF237/Cotacao!BF236),AC235)</f>
        <v>-4.977151851708142E-2</v>
      </c>
      <c r="AD236" s="6">
        <f>IFERROR(LN(Cotacao!BH237/Cotacao!BH236),AD235)</f>
        <v>2.2121917087270692E-2</v>
      </c>
      <c r="AE236" s="6">
        <f>IFERROR(LN(Cotacao!BJ237/Cotacao!BJ236),AE235)</f>
        <v>-6.4348184384240904E-4</v>
      </c>
      <c r="AF236" s="6">
        <f>IFERROR(LN(Cotacao!BL237/Cotacao!BL236),AF235)</f>
        <v>1.2027831374561709E-2</v>
      </c>
      <c r="AG236" s="6">
        <f>IFERROR(LN(Cotacao!BN237/Cotacao!BN236),AG235)</f>
        <v>-1.0339676505232357E-2</v>
      </c>
      <c r="AH236" s="6">
        <f>IFERROR(LN(Cotacao!BP237/Cotacao!BP236),AH235)</f>
        <v>3.078579903822147E-2</v>
      </c>
      <c r="AI236" s="6">
        <f>IFERROR(LN(Cotacao!BR237/Cotacao!BR236),AI235)</f>
        <v>9.4183902567464658E-2</v>
      </c>
      <c r="AJ236" s="6">
        <f>IFERROR(LN(Profit!C236/Profit!C235),AJ235)</f>
        <v>-3.5075448096772025E-3</v>
      </c>
      <c r="AK236" s="6">
        <f>IFERROR(LN(Cotacao!BV237/Cotacao!BV236),AK235)</f>
        <v>8.5793339319795003E-3</v>
      </c>
      <c r="AL236" s="6">
        <f>IFERROR(LN(Cotacao!BX237/Cotacao!BX236),AL235)</f>
        <v>-2.858850069379347E-2</v>
      </c>
    </row>
    <row r="237" spans="1:38">
      <c r="A237" s="3" t="str">
        <f>Cotacao!C237</f>
        <v>6/5/2020 16:56:00</v>
      </c>
      <c r="B237" s="6">
        <f>IFERROR(LN(Cotacao!D238/Cotacao!D237),B236)</f>
        <v>1.1224944535322913E-2</v>
      </c>
      <c r="C237" s="6">
        <f>IFERROR(LN(Cotacao!F238/Cotacao!F237),C236)</f>
        <v>-3.1640033426566035E-3</v>
      </c>
      <c r="D237" s="6">
        <f>IFERROR(LN(Cotacao!H238/Cotacao!H237),D236)</f>
        <v>2.498973168017312E-2</v>
      </c>
      <c r="E237" s="6">
        <f>IFERROR(LN(Cotacao!J238/Cotacao!J237),E236)</f>
        <v>2.0881376052355474E-2</v>
      </c>
      <c r="F237" s="6">
        <f>IFERROR(LN(Cotacao!L238/Cotacao!L237),F236)</f>
        <v>2.8794901947944641E-2</v>
      </c>
      <c r="G237" s="6">
        <f>IFERROR(LN(Cotacao!N238/Cotacao!N237),G236)</f>
        <v>3.5228691883744029E-2</v>
      </c>
      <c r="H237" s="6">
        <f>IFERROR(LN(Cotacao!P238/Cotacao!P237),H236)</f>
        <v>2.2291468758548452E-2</v>
      </c>
      <c r="I237" s="6">
        <f>IFERROR(LN(Cotacao!R238/Cotacao!R237),I236)</f>
        <v>1.2387009265434302E-2</v>
      </c>
      <c r="J237" s="6">
        <f>IFERROR(LN(Cotacao!T238/Cotacao!T237),J236)</f>
        <v>2.874246886565416E-2</v>
      </c>
      <c r="K237" s="6">
        <f>IFERROR(LN(Cotacao!V238/Cotacao!V237),K236)</f>
        <v>5.4621084480225159E-2</v>
      </c>
      <c r="L237" s="6">
        <f>IFERROR(LN(Cotacao!X238/Cotacao!X237),L236)</f>
        <v>3.9465142208965201E-2</v>
      </c>
      <c r="M237" s="6">
        <f>IFERROR(LN(Profit!B237/Profit!B236),M236)</f>
        <v>8.9955629085780031E-3</v>
      </c>
      <c r="N237" s="6">
        <f>IFERROR(LN(Cotacao!AB238/Cotacao!AB237),N236)</f>
        <v>8.7083278917844138E-3</v>
      </c>
      <c r="O237" s="6">
        <f>IFERROR(LN(Cotacao!AD238/Cotacao!AD237),O236)</f>
        <v>8.9917946941754104E-2</v>
      </c>
      <c r="P237" s="6">
        <f>IFERROR(LN(Cotacao!AF238/Cotacao!AF237),P236)</f>
        <v>4.4263527276160265E-2</v>
      </c>
      <c r="Q237" s="6">
        <f>IFERROR(LN(Cotacao!AH238/Cotacao!AH237),Q236)</f>
        <v>3.1081476708697303E-3</v>
      </c>
      <c r="R237" s="6">
        <f>IFERROR(LN(Cotacao!AJ238/Cotacao!AJ237),R236)</f>
        <v>1.8603264902028984E-2</v>
      </c>
      <c r="S237" s="6">
        <f>IFERROR(LN(Cotacao!AL238/Cotacao!AL237),S236)</f>
        <v>3.065374109100252E-2</v>
      </c>
      <c r="T237" s="6">
        <f>IFERROR(LN(Cotacao!AN238/Cotacao!AN237),T236)</f>
        <v>-2.4472120729302646E-2</v>
      </c>
      <c r="U237" s="6">
        <f>IFERROR(LN(Cotacao!AP238/Cotacao!AP237),U236)</f>
        <v>6.5390237670566479E-3</v>
      </c>
      <c r="V237" s="6">
        <f>IFERROR(LN(Cotacao!AR238/Cotacao!AR237),V236)</f>
        <v>2.7359798188748455E-3</v>
      </c>
      <c r="W237" s="6">
        <f>IFERROR(LN(Cotacao!AT238/Cotacao!AT237),W236)</f>
        <v>4.6801957504774986E-3</v>
      </c>
      <c r="X237" s="6">
        <f>IFERROR(LN(Cotacao!AV238/Cotacao!AV237),X236)</f>
        <v>3.3377634861685428E-2</v>
      </c>
      <c r="Y237" s="6">
        <f>IFERROR(LN(Cotacao!AX238/Cotacao!AX237),Y236)</f>
        <v>1.1727042024010169E-2</v>
      </c>
      <c r="Z237" s="6">
        <f>IFERROR(LN(Cotacao!AZ238/Cotacao!AZ237),Z236)</f>
        <v>1.1764841579586431E-2</v>
      </c>
      <c r="AA237" s="6">
        <f>IFERROR(LN(Cotacao!BB238/Cotacao!BB237),AA236)</f>
        <v>-1.0963304797269471E-2</v>
      </c>
      <c r="AB237" s="6">
        <f>IFERROR(LN(Cotacao!BD238/Cotacao!BD237),AB236)</f>
        <v>3.6176640445721699E-2</v>
      </c>
      <c r="AC237" s="6">
        <f>IFERROR(LN(Cotacao!BF238/Cotacao!BF237),AC236)</f>
        <v>3.8923285896838036E-2</v>
      </c>
      <c r="AD237" s="6">
        <f>IFERROR(LN(Cotacao!BH238/Cotacao!BH237),AD236)</f>
        <v>3.639522238959942E-2</v>
      </c>
      <c r="AE237" s="6">
        <f>IFERROR(LN(Cotacao!BJ238/Cotacao!BJ237),AE236)</f>
        <v>-2.284777935245915E-3</v>
      </c>
      <c r="AF237" s="6">
        <f>IFERROR(LN(Cotacao!BL238/Cotacao!BL237),AF236)</f>
        <v>3.2622442363177039E-2</v>
      </c>
      <c r="AG237" s="6">
        <f>IFERROR(LN(Cotacao!BN238/Cotacao!BN237),AG236)</f>
        <v>5.2596703801844724E-2</v>
      </c>
      <c r="AH237" s="6">
        <f>IFERROR(LN(Cotacao!BP238/Cotacao!BP237),AH236)</f>
        <v>1.9270145920445868E-2</v>
      </c>
      <c r="AI237" s="6">
        <f>IFERROR(LN(Cotacao!BR238/Cotacao!BR237),AI236)</f>
        <v>2.4118998694747057E-3</v>
      </c>
      <c r="AJ237" s="6">
        <f>IFERROR(LN(Profit!C237/Profit!C236),AJ236)</f>
        <v>1.7415974855809351E-2</v>
      </c>
      <c r="AK237" s="6">
        <f>IFERROR(LN(Cotacao!BV238/Cotacao!BV237),AK236)</f>
        <v>3.1285919040862004E-2</v>
      </c>
      <c r="AL237" s="6">
        <f>IFERROR(LN(Cotacao!BX238/Cotacao!BX237),AL236)</f>
        <v>4.1380377800446386E-2</v>
      </c>
    </row>
    <row r="238" spans="1:38">
      <c r="A238" s="3" t="str">
        <f>Cotacao!C238</f>
        <v>6/8/2020 16:56:00</v>
      </c>
      <c r="B238" s="6">
        <f>IFERROR(LN(Cotacao!D239/Cotacao!D238),B237)</f>
        <v>-1.5216965804860358E-2</v>
      </c>
      <c r="C238" s="6">
        <f>IFERROR(LN(Cotacao!F239/Cotacao!F238),C237)</f>
        <v>-2.784899718601426E-2</v>
      </c>
      <c r="D238" s="6">
        <f>IFERROR(LN(Cotacao!H239/Cotacao!H238),D237)</f>
        <v>-9.1828009823349804E-3</v>
      </c>
      <c r="E238" s="6">
        <f>IFERROR(LN(Cotacao!J239/Cotacao!J238),E237)</f>
        <v>-2.9172533636336612E-2</v>
      </c>
      <c r="F238" s="6">
        <f>IFERROR(LN(Cotacao!L239/Cotacao!L238),F237)</f>
        <v>1.247642980745987E-2</v>
      </c>
      <c r="G238" s="6">
        <f>IFERROR(LN(Cotacao!N239/Cotacao!N238),G237)</f>
        <v>-3.8535693159900777E-3</v>
      </c>
      <c r="H238" s="6">
        <f>IFERROR(LN(Cotacao!P239/Cotacao!P238),H237)</f>
        <v>-1.031527771183291E-2</v>
      </c>
      <c r="I238" s="6">
        <f>IFERROR(LN(Cotacao!R239/Cotacao!R238),I237)</f>
        <v>-3.8122831197805643E-2</v>
      </c>
      <c r="J238" s="6">
        <f>IFERROR(LN(Cotacao!T239/Cotacao!T238),J237)</f>
        <v>-4.8373584284215829E-2</v>
      </c>
      <c r="K238" s="6">
        <f>IFERROR(LN(Cotacao!V239/Cotacao!V238),K237)</f>
        <v>-3.3277900926745796E-3</v>
      </c>
      <c r="L238" s="6">
        <f>IFERROR(LN(Cotacao!X239/Cotacao!X238),L237)</f>
        <v>3.9827610263697494E-2</v>
      </c>
      <c r="M238" s="6">
        <f>IFERROR(LN(Profit!B238/Profit!B237),M237)</f>
        <v>-1.4936522567832536E-3</v>
      </c>
      <c r="N238" s="6">
        <f>IFERROR(LN(Cotacao!AB239/Cotacao!AB238),N237)</f>
        <v>-7.7369825021524515E-3</v>
      </c>
      <c r="O238" s="6">
        <f>IFERROR(LN(Cotacao!AD239/Cotacao!AD238),O237)</f>
        <v>-2.2917669681397058E-2</v>
      </c>
      <c r="P238" s="6">
        <f>IFERROR(LN(Cotacao!AF239/Cotacao!AF238),P237)</f>
        <v>-1.7471010279585256E-2</v>
      </c>
      <c r="Q238" s="6">
        <f>IFERROR(LN(Cotacao!AH239/Cotacao!AH238),Q237)</f>
        <v>3.8261866847912446E-3</v>
      </c>
      <c r="R238" s="6">
        <f>IFERROR(LN(Cotacao!AJ239/Cotacao!AJ238),R237)</f>
        <v>-6.1456521446738935E-4</v>
      </c>
      <c r="S238" s="6">
        <f>IFERROR(LN(Cotacao!AL239/Cotacao!AL238),S237)</f>
        <v>4.7891287704414851E-2</v>
      </c>
      <c r="T238" s="6">
        <f>IFERROR(LN(Cotacao!AN239/Cotacao!AN238),T237)</f>
        <v>4.3427494341368601E-3</v>
      </c>
      <c r="U238" s="6">
        <f>IFERROR(LN(Cotacao!AP239/Cotacao!AP238),U237)</f>
        <v>-3.1707571095291667E-3</v>
      </c>
      <c r="V238" s="6">
        <f>IFERROR(LN(Cotacao!AR239/Cotacao!AR238),V237)</f>
        <v>-9.11161794245659E-4</v>
      </c>
      <c r="W238" s="6">
        <f>IFERROR(LN(Cotacao!AT239/Cotacao!AT238),W237)</f>
        <v>1.6975716294901716E-2</v>
      </c>
      <c r="X238" s="6">
        <f>IFERROR(LN(Cotacao!AV239/Cotacao!AV238),X237)</f>
        <v>6.6646717457326974E-3</v>
      </c>
      <c r="Y238" s="6">
        <f>IFERROR(LN(Cotacao!AX239/Cotacao!AX238),Y237)</f>
        <v>-4.1610046432853836E-3</v>
      </c>
      <c r="Z238" s="6">
        <f>IFERROR(LN(Cotacao!AZ239/Cotacao!AZ238),Z237)</f>
        <v>8.7336799687546315E-3</v>
      </c>
      <c r="AA238" s="6">
        <f>IFERROR(LN(Cotacao!BB239/Cotacao!BB238),AA237)</f>
        <v>1.5735644474305383E-3</v>
      </c>
      <c r="AB238" s="6">
        <f>IFERROR(LN(Cotacao!BD239/Cotacao!BD238),AB237)</f>
        <v>-1.7341475036487326E-2</v>
      </c>
      <c r="AC238" s="6">
        <f>IFERROR(LN(Cotacao!BF239/Cotacao!BF238),AC237)</f>
        <v>-9.9652045383967092E-3</v>
      </c>
      <c r="AD238" s="6">
        <f>IFERROR(LN(Cotacao!BH239/Cotacao!BH238),AD237)</f>
        <v>-7.223845089319612E-3</v>
      </c>
      <c r="AE238" s="6">
        <f>IFERROR(LN(Cotacao!BJ239/Cotacao!BJ238),AE237)</f>
        <v>-1.1799546931155055E-2</v>
      </c>
      <c r="AF238" s="6">
        <f>IFERROR(LN(Cotacao!BL239/Cotacao!BL238),AF237)</f>
        <v>2.1831677851161189E-4</v>
      </c>
      <c r="AG238" s="6">
        <f>IFERROR(LN(Cotacao!BN239/Cotacao!BN238),AG237)</f>
        <v>-1.2647313244104164E-2</v>
      </c>
      <c r="AH238" s="6">
        <f>IFERROR(LN(Cotacao!BP239/Cotacao!BP238),AH237)</f>
        <v>-3.6614259378418432E-2</v>
      </c>
      <c r="AI238" s="6">
        <f>IFERROR(LN(Cotacao!BR239/Cotacao!BR238),AI237)</f>
        <v>-5.955453075659034E-2</v>
      </c>
      <c r="AJ238" s="6">
        <f>IFERROR(LN(Profit!C238/Profit!C237),AJ237)</f>
        <v>-1.7415974855809303E-2</v>
      </c>
      <c r="AK238" s="6">
        <f>IFERROR(LN(Cotacao!BV239/Cotacao!BV238),AK237)</f>
        <v>-9.2404007803378405E-3</v>
      </c>
      <c r="AL238" s="6">
        <f>IFERROR(LN(Cotacao!BX239/Cotacao!BX238),AL237)</f>
        <v>-6.8728525042163259E-4</v>
      </c>
    </row>
    <row r="239" spans="1:38">
      <c r="A239" s="3" t="str">
        <f>Cotacao!C239</f>
        <v>6/9/2020 16:56:00</v>
      </c>
      <c r="B239" s="6">
        <f>IFERROR(LN(Cotacao!D240/Cotacao!D239),B238)</f>
        <v>-4.0080213975388218E-3</v>
      </c>
      <c r="C239" s="6">
        <f>IFERROR(LN(Cotacao!F240/Cotacao!F239),C238)</f>
        <v>-2.827432702627232E-2</v>
      </c>
      <c r="D239" s="6">
        <f>IFERROR(LN(Cotacao!H240/Cotacao!H239),D238)</f>
        <v>9.4112940714132232E-3</v>
      </c>
      <c r="E239" s="6">
        <f>IFERROR(LN(Cotacao!J240/Cotacao!J239),E238)</f>
        <v>-2.1506205220963619E-2</v>
      </c>
      <c r="F239" s="6">
        <f>IFERROR(LN(Cotacao!L240/Cotacao!L239),F238)</f>
        <v>-2.2350344366453563E-2</v>
      </c>
      <c r="G239" s="6">
        <f>IFERROR(LN(Cotacao!N240/Cotacao!N239),G238)</f>
        <v>-3.237163485749283E-2</v>
      </c>
      <c r="H239" s="6">
        <f>IFERROR(LN(Cotacao!P240/Cotacao!P239),H238)</f>
        <v>-3.6367644170874833E-2</v>
      </c>
      <c r="I239" s="6">
        <f>IFERROR(LN(Cotacao!R240/Cotacao!R239),I238)</f>
        <v>9.8328424834881164E-4</v>
      </c>
      <c r="J239" s="6">
        <f>IFERROR(LN(Cotacao!T240/Cotacao!T239),J238)</f>
        <v>-1.5868684444137863E-2</v>
      </c>
      <c r="K239" s="6">
        <f>IFERROR(LN(Cotacao!V240/Cotacao!V239),K238)</f>
        <v>-1.6807118316381174E-2</v>
      </c>
      <c r="L239" s="6">
        <f>IFERROR(LN(Cotacao!X240/Cotacao!X239),L238)</f>
        <v>1.8614206862543801E-2</v>
      </c>
      <c r="M239" s="6">
        <f>IFERROR(LN(Profit!B239/Profit!B238),M238)</f>
        <v>-2.2676708671029815E-2</v>
      </c>
      <c r="N239" s="6">
        <f>IFERROR(LN(Cotacao!AB240/Cotacao!AB239),N238)</f>
        <v>-1.8618862203210212E-2</v>
      </c>
      <c r="O239" s="6">
        <f>IFERROR(LN(Cotacao!AD240/Cotacao!AD239),O238)</f>
        <v>-1.3793322132335873E-2</v>
      </c>
      <c r="P239" s="6">
        <f>IFERROR(LN(Cotacao!AF240/Cotacao!AF239),P238)</f>
        <v>-2.4826721199387339E-2</v>
      </c>
      <c r="Q239" s="6">
        <f>IFERROR(LN(Cotacao!AH240/Cotacao!AH239),Q238)</f>
        <v>-1.4470442074122842E-2</v>
      </c>
      <c r="R239" s="6">
        <f>IFERROR(LN(Cotacao!AJ240/Cotacao!AJ239),R238)</f>
        <v>1.8475807247479843E-2</v>
      </c>
      <c r="S239" s="6">
        <f>IFERROR(LN(Cotacao!AL240/Cotacao!AL239),S238)</f>
        <v>-4.2246870084737799E-2</v>
      </c>
      <c r="T239" s="6">
        <f>IFERROR(LN(Cotacao!AN240/Cotacao!AN239),T238)</f>
        <v>5.4296770327767257E-3</v>
      </c>
      <c r="U239" s="6">
        <f>IFERROR(LN(Cotacao!AP240/Cotacao!AP239),U238)</f>
        <v>-1.0279894368206157E-3</v>
      </c>
      <c r="V239" s="6">
        <f>IFERROR(LN(Cotacao!AR240/Cotacao!AR239),V238)</f>
        <v>9.1116179424564371E-4</v>
      </c>
      <c r="W239" s="6">
        <f>IFERROR(LN(Cotacao!AT240/Cotacao!AT239),W238)</f>
        <v>-5.3701701745938616E-3</v>
      </c>
      <c r="X239" s="6">
        <f>IFERROR(LN(Cotacao!AV240/Cotacao!AV239),X238)</f>
        <v>2.7137058715963258E-3</v>
      </c>
      <c r="Y239" s="6">
        <f>IFERROR(LN(Cotacao!AX240/Cotacao!AX239),Y238)</f>
        <v>2.3226953696454094E-3</v>
      </c>
      <c r="Z239" s="6">
        <f>IFERROR(LN(Cotacao!AZ240/Cotacao!AZ239),Z238)</f>
        <v>-1.7544309650909508E-2</v>
      </c>
      <c r="AA239" s="6">
        <f>IFERROR(LN(Cotacao!BB240/Cotacao!BB239),AA238)</f>
        <v>-7.9983587841095782E-3</v>
      </c>
      <c r="AB239" s="6">
        <f>IFERROR(LN(Cotacao!BD240/Cotacao!BD239),AB238)</f>
        <v>-5.7604405922404997E-2</v>
      </c>
      <c r="AC239" s="6">
        <f>IFERROR(LN(Cotacao!BF240/Cotacao!BF239),AC238)</f>
        <v>-4.9792168261283389E-2</v>
      </c>
      <c r="AD239" s="6">
        <f>IFERROR(LN(Cotacao!BH240/Cotacao!BH239),AD238)</f>
        <v>-2.5317807984289897E-2</v>
      </c>
      <c r="AE239" s="6">
        <f>IFERROR(LN(Cotacao!BJ240/Cotacao!BJ239),AE238)</f>
        <v>-6.0121018020375854E-3</v>
      </c>
      <c r="AF239" s="6">
        <f>IFERROR(LN(Cotacao!BL240/Cotacao!BL239),AF238)</f>
        <v>-1.8062165045569876E-2</v>
      </c>
      <c r="AG239" s="6">
        <f>IFERROR(LN(Cotacao!BN240/Cotacao!BN239),AG238)</f>
        <v>-6.4826864884167121E-3</v>
      </c>
      <c r="AH239" s="6">
        <f>IFERROR(LN(Cotacao!BP240/Cotacao!BP239),AH238)</f>
        <v>-1.4842573037928852E-2</v>
      </c>
      <c r="AI239" s="6">
        <f>IFERROR(LN(Cotacao!BR240/Cotacao!BR239),AI238)</f>
        <v>-6.6965706795182392E-2</v>
      </c>
      <c r="AJ239" s="6">
        <f>IFERROR(LN(Profit!C239/Profit!C238),AJ238)</f>
        <v>-2.110447494545982E-3</v>
      </c>
      <c r="AK239" s="6">
        <f>IFERROR(LN(Cotacao!BV240/Cotacao!BV239),AK238)</f>
        <v>-2.1528729589808313E-2</v>
      </c>
      <c r="AL239" s="6">
        <f>IFERROR(LN(Cotacao!BX240/Cotacao!BX239),AL238)</f>
        <v>-1.9087860458419946E-2</v>
      </c>
    </row>
    <row r="240" spans="1:38">
      <c r="A240" s="3" t="str">
        <f>Cotacao!C240</f>
        <v>6/10/2020 16:56:00</v>
      </c>
      <c r="B240" s="6">
        <f>IFERROR(LN(Cotacao!D241/Cotacao!D240),B239)</f>
        <v>-2.3020650990380441E-2</v>
      </c>
      <c r="C240" s="6">
        <f>IFERROR(LN(Cotacao!F241/Cotacao!F240),C239)</f>
        <v>-1.6144521860694473E-2</v>
      </c>
      <c r="D240" s="6">
        <f>IFERROR(LN(Cotacao!H241/Cotacao!H240),D239)</f>
        <v>-2.3579455820034796E-2</v>
      </c>
      <c r="E240" s="6">
        <f>IFERROR(LN(Cotacao!J241/Cotacao!J240),E239)</f>
        <v>-2.5851128401284673E-2</v>
      </c>
      <c r="F240" s="6">
        <f>IFERROR(LN(Cotacao!L241/Cotacao!L240),F239)</f>
        <v>-1.6551727916685962E-3</v>
      </c>
      <c r="G240" s="6">
        <f>IFERROR(LN(Cotacao!N241/Cotacao!N240),G239)</f>
        <v>-2.421914543142515E-2</v>
      </c>
      <c r="H240" s="6">
        <f>IFERROR(LN(Cotacao!P241/Cotacao!P240),H239)</f>
        <v>-2.581829571491338E-2</v>
      </c>
      <c r="I240" s="6">
        <f>IFERROR(LN(Cotacao!R241/Cotacao!R240),I239)</f>
        <v>-5.4012622706204397E-2</v>
      </c>
      <c r="J240" s="6">
        <f>IFERROR(LN(Cotacao!T241/Cotacao!T240),J239)</f>
        <v>-3.1901591824548492E-2</v>
      </c>
      <c r="K240" s="6">
        <f>IFERROR(LN(Cotacao!V241/Cotacao!V240),K239)</f>
        <v>1.3468217050866611E-2</v>
      </c>
      <c r="L240" s="6">
        <f>IFERROR(LN(Cotacao!X241/Cotacao!X240),L239)</f>
        <v>-3.6566630429248448E-3</v>
      </c>
      <c r="M240" s="6">
        <f>IFERROR(LN(Profit!B240/Profit!B239),M239)</f>
        <v>8.7536239262347056E-3</v>
      </c>
      <c r="N240" s="6">
        <f>IFERROR(LN(Cotacao!AB241/Cotacao!AB240),N239)</f>
        <v>-4.9468217679560255E-4</v>
      </c>
      <c r="O240" s="6">
        <f>IFERROR(LN(Cotacao!AD241/Cotacao!AD240),O239)</f>
        <v>-3.7463249596214271E-3</v>
      </c>
      <c r="P240" s="6">
        <f>IFERROR(LN(Cotacao!AF241/Cotacao!AF240),P239)</f>
        <v>-2.2240789658598582E-2</v>
      </c>
      <c r="Q240" s="6">
        <f>IFERROR(LN(Cotacao!AH241/Cotacao!AH240),Q239)</f>
        <v>-1.4870162479451506E-2</v>
      </c>
      <c r="R240" s="6">
        <f>IFERROR(LN(Cotacao!AJ241/Cotacao!AJ240),R239)</f>
        <v>4.8163849879813581E-3</v>
      </c>
      <c r="S240" s="6">
        <f>IFERROR(LN(Cotacao!AL241/Cotacao!AL240),S239)</f>
        <v>-2.277138241247759E-2</v>
      </c>
      <c r="T240" s="6">
        <f>IFERROR(LN(Cotacao!AN241/Cotacao!AN240),T239)</f>
        <v>-1.435830777707813E-2</v>
      </c>
      <c r="U240" s="6">
        <f>IFERROR(LN(Cotacao!AP241/Cotacao!AP240),U239)</f>
        <v>2.8011222797117733E-3</v>
      </c>
      <c r="V240" s="6">
        <f>IFERROR(LN(Cotacao!AR241/Cotacao!AR240),V239)</f>
        <v>-1.0068734948266659E-2</v>
      </c>
      <c r="W240" s="6">
        <f>IFERROR(LN(Cotacao!AT241/Cotacao!AT240),W239)</f>
        <v>-2.4645730281618108E-3</v>
      </c>
      <c r="X240" s="6">
        <f>IFERROR(LN(Cotacao!AV241/Cotacao!AV240),X239)</f>
        <v>-2.1610946052963431E-2</v>
      </c>
      <c r="Y240" s="6">
        <f>IFERROR(LN(Cotacao!AX241/Cotacao!AX240),Y239)</f>
        <v>-3.7670865692440284E-3</v>
      </c>
      <c r="Z240" s="6">
        <f>IFERROR(LN(Cotacao!AZ241/Cotacao!AZ240),Z239)</f>
        <v>-8.888947417246152E-3</v>
      </c>
      <c r="AA240" s="6">
        <f>IFERROR(LN(Cotacao!BB241/Cotacao!BB240),AA239)</f>
        <v>-3.5460091669971805E-3</v>
      </c>
      <c r="AB240" s="6">
        <f>IFERROR(LN(Cotacao!BD241/Cotacao!BD240),AB239)</f>
        <v>-2.3118805350035958E-2</v>
      </c>
      <c r="AC240" s="6">
        <f>IFERROR(LN(Cotacao!BF241/Cotacao!BF240),AC239)</f>
        <v>4.7256585712157784E-3</v>
      </c>
      <c r="AD240" s="6">
        <f>IFERROR(LN(Cotacao!BH241/Cotacao!BH240),AD239)</f>
        <v>1.1218883604788244E-2</v>
      </c>
      <c r="AE240" s="6">
        <f>IFERROR(LN(Cotacao!BJ241/Cotacao!BJ240),AE239)</f>
        <v>-4.9678390363181064E-3</v>
      </c>
      <c r="AF240" s="6">
        <f>IFERROR(LN(Cotacao!BL241/Cotacao!BL240),AF239)</f>
        <v>-1.6584871399142477E-2</v>
      </c>
      <c r="AG240" s="6">
        <f>IFERROR(LN(Cotacao!BN241/Cotacao!BN240),AG239)</f>
        <v>-1.7696057763288527E-2</v>
      </c>
      <c r="AH240" s="6">
        <f>IFERROR(LN(Cotacao!BP241/Cotacao!BP240),AH239)</f>
        <v>-3.8099846232270293E-2</v>
      </c>
      <c r="AI240" s="6">
        <f>IFERROR(LN(Cotacao!BR241/Cotacao!BR240),AI239)</f>
        <v>-6.5267827113740406E-2</v>
      </c>
      <c r="AJ240" s="6">
        <f>IFERROR(LN(Profit!C240/Profit!C239),AJ239)</f>
        <v>2.3661507498158228E-2</v>
      </c>
      <c r="AK240" s="6">
        <f>IFERROR(LN(Cotacao!BV241/Cotacao!BV240),AK239)</f>
        <v>-2.0170274103997094E-2</v>
      </c>
      <c r="AL240" s="6">
        <f>IFERROR(LN(Cotacao!BX241/Cotacao!BX240),AL239)</f>
        <v>-2.7350310729982209E-2</v>
      </c>
    </row>
    <row r="241" spans="1:38">
      <c r="A241" s="3" t="str">
        <f>Cotacao!C241</f>
        <v>6/12/2020 16:56:00</v>
      </c>
      <c r="B241" s="6">
        <f>IFERROR(LN(Cotacao!D242/Cotacao!D241),B240)</f>
        <v>9.5433580468999163E-3</v>
      </c>
      <c r="C241" s="6">
        <f>IFERROR(LN(Cotacao!F242/Cotacao!F241),C240)</f>
        <v>-2.6530241068078923E-3</v>
      </c>
      <c r="D241" s="6">
        <f>IFERROR(LN(Cotacao!H242/Cotacao!H241),D240)</f>
        <v>2.8030852271163373E-3</v>
      </c>
      <c r="E241" s="6">
        <f>IFERROR(LN(Cotacao!J242/Cotacao!J241),E240)</f>
        <v>-1.3672087968400063E-2</v>
      </c>
      <c r="F241" s="6">
        <f>IFERROR(LN(Cotacao!L242/Cotacao!L241),F240)</f>
        <v>-1.8952629728762039E-2</v>
      </c>
      <c r="G241" s="6">
        <f>IFERROR(LN(Cotacao!N242/Cotacao!N241),G240)</f>
        <v>-2.3773729479108958E-2</v>
      </c>
      <c r="H241" s="6">
        <f>IFERROR(LN(Cotacao!P242/Cotacao!P241),H240)</f>
        <v>-2.7762296777151203E-2</v>
      </c>
      <c r="I241" s="6">
        <f>IFERROR(LN(Cotacao!R242/Cotacao!R241),I240)</f>
        <v>-9.9036514447433856E-3</v>
      </c>
      <c r="J241" s="6">
        <f>IFERROR(LN(Cotacao!T242/Cotacao!T241),J240)</f>
        <v>3.1308999214614462E-2</v>
      </c>
      <c r="K241" s="6">
        <f>IFERROR(LN(Cotacao!V242/Cotacao!V241),K240)</f>
        <v>2.1506205220963463E-2</v>
      </c>
      <c r="L241" s="6">
        <f>IFERROR(LN(Cotacao!X242/Cotacao!X241),L240)</f>
        <v>-2.1231430480778664E-3</v>
      </c>
      <c r="M241" s="6">
        <f>IFERROR(LN(Profit!B241/Profit!B240),M240)</f>
        <v>-1.6813540903335103E-2</v>
      </c>
      <c r="N241" s="6">
        <f>IFERROR(LN(Cotacao!AB242/Cotacao!AB241),N240)</f>
        <v>1.9772621370184045E-3</v>
      </c>
      <c r="O241" s="6">
        <f>IFERROR(LN(Cotacao!AD242/Cotacao!AD241),O240)</f>
        <v>-2.2777557399252735E-2</v>
      </c>
      <c r="P241" s="6">
        <f>IFERROR(LN(Cotacao!AF242/Cotacao!AF241),P240)</f>
        <v>-2.6451186087169717E-2</v>
      </c>
      <c r="Q241" s="6">
        <f>IFERROR(LN(Cotacao!AH242/Cotacao!AH241),Q240)</f>
        <v>4.1989851635428087E-2</v>
      </c>
      <c r="R241" s="6">
        <f>IFERROR(LN(Cotacao!AJ242/Cotacao!AJ241),R240)</f>
        <v>-3.152269137197658E-2</v>
      </c>
      <c r="S241" s="6">
        <f>IFERROR(LN(Cotacao!AL242/Cotacao!AL241),S240)</f>
        <v>-2.1339316034995493E-2</v>
      </c>
      <c r="T241" s="6">
        <f>IFERROR(LN(Cotacao!AN242/Cotacao!AN241),T240)</f>
        <v>6.5925709467537083E-3</v>
      </c>
      <c r="U241" s="6">
        <f>IFERROR(LN(Cotacao!AP242/Cotacao!AP241),U240)</f>
        <v>-5.5959710469824563E-4</v>
      </c>
      <c r="V241" s="6">
        <f>IFERROR(LN(Cotacao!AR242/Cotacao!AR241),V240)</f>
        <v>2.7560881019799838E-3</v>
      </c>
      <c r="W241" s="6">
        <f>IFERROR(LN(Cotacao!AT242/Cotacao!AT241),W240)</f>
        <v>-1.6953512828939799E-2</v>
      </c>
      <c r="X241" s="6">
        <f>IFERROR(LN(Cotacao!AV242/Cotacao!AV241),X240)</f>
        <v>-1.3397033143822998E-2</v>
      </c>
      <c r="Y241" s="6">
        <f>IFERROR(LN(Cotacao!AX242/Cotacao!AX241),Y240)</f>
        <v>1.6849203649194455E-3</v>
      </c>
      <c r="Z241" s="6">
        <f>IFERROR(LN(Cotacao!AZ242/Cotacao!AZ241),Z240)</f>
        <v>2.97177038915748E-3</v>
      </c>
      <c r="AA241" s="6">
        <f>IFERROR(LN(Cotacao!BB242/Cotacao!BB241),AA240)</f>
        <v>4.0213822117343432E-3</v>
      </c>
      <c r="AB241" s="6">
        <f>IFERROR(LN(Cotacao!BD242/Cotacao!BD241),AB240)</f>
        <v>4.4150182091169145E-3</v>
      </c>
      <c r="AC241" s="6">
        <f>IFERROR(LN(Cotacao!BF242/Cotacao!BF241),AC240)</f>
        <v>-3.1479564295980606E-3</v>
      </c>
      <c r="AD241" s="6">
        <f>IFERROR(LN(Cotacao!BH242/Cotacao!BH241),AD240)</f>
        <v>-1.1218883604788177E-2</v>
      </c>
      <c r="AE241" s="6">
        <f>IFERROR(LN(Cotacao!BJ242/Cotacao!BJ241),AE240)</f>
        <v>-7.3472176339963637E-3</v>
      </c>
      <c r="AF241" s="6">
        <f>IFERROR(LN(Cotacao!BL242/Cotacao!BL241),AF240)</f>
        <v>4.5187529011120098E-4</v>
      </c>
      <c r="AG241" s="6">
        <f>IFERROR(LN(Cotacao!BN242/Cotacao!BN241),AG240)</f>
        <v>-6.8438270345156822E-3</v>
      </c>
      <c r="AH241" s="6">
        <f>IFERROR(LN(Cotacao!BP242/Cotacao!BP241),AH240)</f>
        <v>3.6696993535520778E-2</v>
      </c>
      <c r="AI241" s="6">
        <f>IFERROR(LN(Cotacao!BR242/Cotacao!BR241),AI240)</f>
        <v>8.2732890135891926E-2</v>
      </c>
      <c r="AJ241" s="6">
        <f>IFERROR(LN(Profit!C241/Profit!C240),AJ240)</f>
        <v>-9.6752655234183093E-3</v>
      </c>
      <c r="AK241" s="6">
        <f>IFERROR(LN(Cotacao!BV242/Cotacao!BV241),AK240)</f>
        <v>-4.5336601843536228E-3</v>
      </c>
      <c r="AL241" s="6">
        <f>IFERROR(LN(Cotacao!BX242/Cotacao!BX241),AL240)</f>
        <v>8.2482088564956729E-3</v>
      </c>
    </row>
    <row r="242" spans="1:38">
      <c r="A242" s="3" t="str">
        <f>Cotacao!C242</f>
        <v>6/15/2020 16:56:00</v>
      </c>
      <c r="B242" s="6">
        <f>IFERROR(LN(Cotacao!D243/Cotacao!D242),B241)</f>
        <v>7.4349784875179905E-3</v>
      </c>
      <c r="C242" s="6">
        <f>IFERROR(LN(Cotacao!F243/Cotacao!F242),C241)</f>
        <v>-7.6190844764395171E-3</v>
      </c>
      <c r="D242" s="6">
        <f>IFERROR(LN(Cotacao!H243/Cotacao!H242),D241)</f>
        <v>-2.8030852271164761E-3</v>
      </c>
      <c r="E242" s="6">
        <f>IFERROR(LN(Cotacao!J243/Cotacao!J242),E241)</f>
        <v>1.7544309650909525E-2</v>
      </c>
      <c r="F242" s="6">
        <f>IFERROR(LN(Cotacao!L243/Cotacao!L242),F241)</f>
        <v>-8.4770216585264256E-3</v>
      </c>
      <c r="G242" s="6">
        <f>IFERROR(LN(Cotacao!N243/Cotacao!N242),G241)</f>
        <v>2.0704673361691201E-2</v>
      </c>
      <c r="H242" s="6">
        <f>IFERROR(LN(Cotacao!P243/Cotacao!P242),H241)</f>
        <v>2.0790769669073689E-2</v>
      </c>
      <c r="I242" s="6">
        <f>IFERROR(LN(Cotacao!R243/Cotacao!R242),I241)</f>
        <v>4.7034317176358779E-3</v>
      </c>
      <c r="J242" s="6">
        <f>IFERROR(LN(Cotacao!T243/Cotacao!T242),J241)</f>
        <v>-1.1862397595061973E-3</v>
      </c>
      <c r="K242" s="6">
        <f>IFERROR(LN(Cotacao!V243/Cotacao!V242),K241)</f>
        <v>-3.1590324287589705E-2</v>
      </c>
      <c r="L242" s="6">
        <f>IFERROR(LN(Cotacao!X243/Cotacao!X242),L241)</f>
        <v>-2.3063662781904387E-2</v>
      </c>
      <c r="M242" s="6">
        <f>IFERROR(LN(Profit!B242/Profit!B241),M241)</f>
        <v>-9.2915883340995275E-3</v>
      </c>
      <c r="N242" s="6">
        <f>IFERROR(LN(Cotacao!AB243/Cotacao!AB242),N241)</f>
        <v>1.2270092591814401E-2</v>
      </c>
      <c r="O242" s="6">
        <f>IFERROR(LN(Cotacao!AD243/Cotacao!AD242),O241)</f>
        <v>-3.2967062824917548E-3</v>
      </c>
      <c r="P242" s="6">
        <f>IFERROR(LN(Cotacao!AF243/Cotacao!AF242),P241)</f>
        <v>4.6332556640998536E-2</v>
      </c>
      <c r="Q242" s="6">
        <f>IFERROR(LN(Cotacao!AH243/Cotacao!AH242),Q241)</f>
        <v>-5.4015255565646007E-3</v>
      </c>
      <c r="R242" s="6">
        <f>IFERROR(LN(Cotacao!AJ243/Cotacao!AJ242),R241)</f>
        <v>1.7612578969805739E-2</v>
      </c>
      <c r="S242" s="6">
        <f>IFERROR(LN(Cotacao!AL243/Cotacao!AL242),S241)</f>
        <v>-1.9627091678487058E-3</v>
      </c>
      <c r="T242" s="6">
        <f>IFERROR(LN(Cotacao!AN243/Cotacao!AN242),T241)</f>
        <v>1.0855224005818504E-2</v>
      </c>
      <c r="U242" s="6">
        <f>IFERROR(LN(Cotacao!AP243/Cotacao!AP242),U241)</f>
        <v>5.5959710469827566E-4</v>
      </c>
      <c r="V242" s="6">
        <f>IFERROR(LN(Cotacao!AR243/Cotacao!AR242),V241)</f>
        <v>4.5766670274116732E-3</v>
      </c>
      <c r="W242" s="6">
        <f>IFERROR(LN(Cotacao!AT243/Cotacao!AT242),W241)</f>
        <v>3.9138993211363148E-3</v>
      </c>
      <c r="X242" s="6">
        <f>IFERROR(LN(Cotacao!AV243/Cotacao!AV242),X241)</f>
        <v>-4.678727471500547E-4</v>
      </c>
      <c r="Y242" s="6">
        <f>IFERROR(LN(Cotacao!AX243/Cotacao!AX242),Y241)</f>
        <v>-5.8693635832954552E-3</v>
      </c>
      <c r="Z242" s="6">
        <f>IFERROR(LN(Cotacao!AZ243/Cotacao!AZ242),Z241)</f>
        <v>5.9171770280885185E-3</v>
      </c>
      <c r="AA242" s="6">
        <f>IFERROR(LN(Cotacao!BB243/Cotacao!BB242),AA241)</f>
        <v>-1.9557582151713626E-3</v>
      </c>
      <c r="AB242" s="6">
        <f>IFERROR(LN(Cotacao!BD243/Cotacao!BD242),AB241)</f>
        <v>6.2735462972382371E-3</v>
      </c>
      <c r="AC242" s="6">
        <f>IFERROR(LN(Cotacao!BF243/Cotacao!BF242),AC241)</f>
        <v>-2.6308881262762998E-3</v>
      </c>
      <c r="AD242" s="6">
        <f>IFERROR(LN(Cotacao!BH243/Cotacao!BH242),AD241)</f>
        <v>-1.1864983143426121E-2</v>
      </c>
      <c r="AE242" s="6">
        <f>IFERROR(LN(Cotacao!BJ243/Cotacao!BJ242),AE241)</f>
        <v>5.2449253619843376E-3</v>
      </c>
      <c r="AF242" s="6">
        <f>IFERROR(LN(Cotacao!BL243/Cotacao!BL242),AF241)</f>
        <v>1.1007636699674759E-2</v>
      </c>
      <c r="AG242" s="6">
        <f>IFERROR(LN(Cotacao!BN243/Cotacao!BN242),AG241)</f>
        <v>-2.0199979868707759E-4</v>
      </c>
      <c r="AH242" s="6">
        <f>IFERROR(LN(Cotacao!BP243/Cotacao!BP242),AH241)</f>
        <v>0</v>
      </c>
      <c r="AI242" s="6">
        <f>IFERROR(LN(Cotacao!BR243/Cotacao!BR242),AI241)</f>
        <v>-1.1106222519216181E-2</v>
      </c>
      <c r="AJ242" s="6">
        <f>IFERROR(LN(Profit!C242/Profit!C241),AJ241)</f>
        <v>-3.8221212820197858E-2</v>
      </c>
      <c r="AK242" s="6">
        <f>IFERROR(LN(Cotacao!BV243/Cotacao!BV242),AK241)</f>
        <v>1.2432741242295995E-2</v>
      </c>
      <c r="AL242" s="6">
        <f>IFERROR(LN(Cotacao!BX243/Cotacao!BX242),AL241)</f>
        <v>-2.8612322810321234E-3</v>
      </c>
    </row>
    <row r="243" spans="1:38">
      <c r="A243" s="3" t="str">
        <f>Cotacao!C243</f>
        <v>6/16/2020 16:56:00</v>
      </c>
      <c r="B243" s="6">
        <f>IFERROR(LN(Cotacao!D244/Cotacao!D243),B242)</f>
        <v>3.6367644170874791E-2</v>
      </c>
      <c r="C243" s="6">
        <f>IFERROR(LN(Cotacao!F244/Cotacao!F243),C242)</f>
        <v>3.5315465586071827E-2</v>
      </c>
      <c r="D243" s="6">
        <f>IFERROR(LN(Cotacao!H244/Cotacao!H243),D242)</f>
        <v>4.0344687644993625E-2</v>
      </c>
      <c r="E243" s="6">
        <f>IFERROR(LN(Cotacao!J244/Cotacao!J243),E242)</f>
        <v>2.3867481406643486E-2</v>
      </c>
      <c r="F243" s="6">
        <f>IFERROR(LN(Cotacao!L244/Cotacao!L243),F242)</f>
        <v>3.567825465878896E-2</v>
      </c>
      <c r="G243" s="6">
        <f>IFERROR(LN(Cotacao!N244/Cotacao!N243),G242)</f>
        <v>1.7268077632080003E-2</v>
      </c>
      <c r="H243" s="6">
        <f>IFERROR(LN(Cotacao!P244/Cotacao!P243),H242)</f>
        <v>9.0127607215079019E-3</v>
      </c>
      <c r="I243" s="6">
        <f>IFERROR(LN(Cotacao!R244/Cotacao!R243),I242)</f>
        <v>2.4209268859977998E-2</v>
      </c>
      <c r="J243" s="6">
        <f>IFERROR(LN(Cotacao!T244/Cotacao!T243),J242)</f>
        <v>1.5896713915225354E-2</v>
      </c>
      <c r="K243" s="6">
        <f>IFERROR(LN(Cotacao!V244/Cotacao!V243),K242)</f>
        <v>5.4245014852395773E-2</v>
      </c>
      <c r="L243" s="6">
        <f>IFERROR(LN(Cotacao!X244/Cotacao!X243),L242)</f>
        <v>2.0548668227387542E-2</v>
      </c>
      <c r="M243" s="6">
        <f>IFERROR(LN(Profit!B243/Profit!B242),M242)</f>
        <v>7.3629474276939262E-3</v>
      </c>
      <c r="N243" s="6">
        <f>IFERROR(LN(Cotacao!AB244/Cotacao!AB243),N242)</f>
        <v>-9.7608597305545979E-4</v>
      </c>
      <c r="O243" s="6">
        <f>IFERROR(LN(Cotacao!AD244/Cotacao!AD243),O242)</f>
        <v>3.6741031485939976E-2</v>
      </c>
      <c r="P243" s="6">
        <f>IFERROR(LN(Cotacao!AF244/Cotacao!AF243),P242)</f>
        <v>-1.2678458259770951E-2</v>
      </c>
      <c r="Q243" s="6">
        <f>IFERROR(LN(Cotacao!AH244/Cotacao!AH243),Q242)</f>
        <v>1.4517684854632918E-2</v>
      </c>
      <c r="R243" s="6">
        <f>IFERROR(LN(Cotacao!AJ244/Cotacao!AJ243),R242)</f>
        <v>5.4661539077546133E-3</v>
      </c>
      <c r="S243" s="6">
        <f>IFERROR(LN(Cotacao!AL244/Cotacao!AL243),S242)</f>
        <v>2.330202520284411E-2</v>
      </c>
      <c r="T243" s="6">
        <f>IFERROR(LN(Cotacao!AN244/Cotacao!AN243),T242)</f>
        <v>-2.2036139357562226E-4</v>
      </c>
      <c r="U243" s="6">
        <f>IFERROR(LN(Cotacao!AP244/Cotacao!AP243),U242)</f>
        <v>9.0036344064628113E-3</v>
      </c>
      <c r="V243" s="6">
        <f>IFERROR(LN(Cotacao!AR244/Cotacao!AR243),V242)</f>
        <v>-1.8281540740625898E-3</v>
      </c>
      <c r="W243" s="6">
        <f>IFERROR(LN(Cotacao!AT244/Cotacao!AT243),W242)</f>
        <v>1.5504186535965254E-2</v>
      </c>
      <c r="X243" s="6">
        <f>IFERROR(LN(Cotacao!AV244/Cotacao!AV243),X242)</f>
        <v>8.3883987018523887E-3</v>
      </c>
      <c r="Y243" s="6">
        <f>IFERROR(LN(Cotacao!AX244/Cotacao!AX243),Y242)</f>
        <v>8.3514498089470989E-3</v>
      </c>
      <c r="Z243" s="6">
        <f>IFERROR(LN(Cotacao!AZ244/Cotacao!AZ243),Z242)</f>
        <v>2.9455102297567446E-3</v>
      </c>
      <c r="AA243" s="6">
        <f>IFERROR(LN(Cotacao!BB244/Cotacao!BB243),AA242)</f>
        <v>2.2725480805449757E-3</v>
      </c>
      <c r="AB243" s="6">
        <f>IFERROR(LN(Cotacao!BD244/Cotacao!BD243),AB242)</f>
        <v>4.9415359563350469E-2</v>
      </c>
      <c r="AC243" s="6">
        <f>IFERROR(LN(Cotacao!BF244/Cotacao!BF243),AC242)</f>
        <v>8.9169224448731911E-3</v>
      </c>
      <c r="AD243" s="6">
        <f>IFERROR(LN(Cotacao!BH244/Cotacao!BH243),AD242)</f>
        <v>2.2830284903315512E-2</v>
      </c>
      <c r="AE243" s="6">
        <f>IFERROR(LN(Cotacao!BJ244/Cotacao!BJ243),AE242)</f>
        <v>1.6045198241024936E-2</v>
      </c>
      <c r="AF243" s="6">
        <f>IFERROR(LN(Cotacao!BL244/Cotacao!BL243),AF242)</f>
        <v>3.0798738756119513E-2</v>
      </c>
      <c r="AG243" s="6">
        <f>IFERROR(LN(Cotacao!BN244/Cotacao!BN243),AG242)</f>
        <v>3.3766862470817484E-2</v>
      </c>
      <c r="AH243" s="6">
        <f>IFERROR(LN(Cotacao!BP244/Cotacao!BP243),AH242)</f>
        <v>3.2702668715450414E-3</v>
      </c>
      <c r="AI243" s="6">
        <f>IFERROR(LN(Cotacao!BR244/Cotacao!BR243),AI242)</f>
        <v>6.0186760078437974E-3</v>
      </c>
      <c r="AJ243" s="6">
        <f>IFERROR(LN(Profit!C243/Profit!C242),AJ242)</f>
        <v>-1.8937201019750844E-2</v>
      </c>
      <c r="AK243" s="6">
        <f>IFERROR(LN(Cotacao!BV244/Cotacao!BV243),AK242)</f>
        <v>2.1326558446487794E-2</v>
      </c>
      <c r="AL243" s="6">
        <f>IFERROR(LN(Cotacao!BX244/Cotacao!BX243),AL242)</f>
        <v>-7.1658906685194391E-4</v>
      </c>
    </row>
    <row r="244" spans="1:38">
      <c r="A244" s="3" t="str">
        <f>Cotacao!C244</f>
        <v>6/17/2020 16:56:00</v>
      </c>
      <c r="B244" s="6">
        <f>IFERROR(LN(Cotacao!D245/Cotacao!D244),B243)</f>
        <v>1.2903404835907782E-2</v>
      </c>
      <c r="C244" s="6">
        <f>IFERROR(LN(Cotacao!F245/Cotacao!F244),C243)</f>
        <v>2.6590530398293195E-2</v>
      </c>
      <c r="D244" s="6">
        <f>IFERROR(LN(Cotacao!H245/Cotacao!H244),D243)</f>
        <v>-2.0656732672774215E-2</v>
      </c>
      <c r="E244" s="6">
        <f>IFERROR(LN(Cotacao!J245/Cotacao!J244),E243)</f>
        <v>-2.677024106460478E-2</v>
      </c>
      <c r="F244" s="6">
        <f>IFERROR(LN(Cotacao!L245/Cotacao!L244),F243)</f>
        <v>-1.712276023253461E-2</v>
      </c>
      <c r="G244" s="6">
        <f>IFERROR(LN(Cotacao!N245/Cotacao!N244),G243)</f>
        <v>3.1717227527335988E-2</v>
      </c>
      <c r="H244" s="6">
        <f>IFERROR(LN(Cotacao!P245/Cotacao!P244),H243)</f>
        <v>2.5368785477737476E-2</v>
      </c>
      <c r="I244" s="6">
        <f>IFERROR(LN(Cotacao!R245/Cotacao!R244),I243)</f>
        <v>-1.4868256466839249E-2</v>
      </c>
      <c r="J244" s="6">
        <f>IFERROR(LN(Cotacao!T245/Cotacao!T244),J243)</f>
        <v>-2.0059669674535884E-2</v>
      </c>
      <c r="K244" s="6">
        <f>IFERROR(LN(Cotacao!V245/Cotacao!V244),K243)</f>
        <v>1.5987213636970735E-3</v>
      </c>
      <c r="L244" s="6">
        <f>IFERROR(LN(Cotacao!X245/Cotacao!X244),L243)</f>
        <v>-2.5213357034317976E-3</v>
      </c>
      <c r="M244" s="6">
        <f>IFERROR(LN(Profit!B244/Profit!B243),M243)</f>
        <v>1.684572760964306E-2</v>
      </c>
      <c r="N244" s="6">
        <f>IFERROR(LN(Cotacao!AB245/Cotacao!AB244),N243)</f>
        <v>-4.4042155849432279E-3</v>
      </c>
      <c r="O244" s="6">
        <f>IFERROR(LN(Cotacao!AD245/Cotacao!AD244),O243)</f>
        <v>-2.6560440581162963E-3</v>
      </c>
      <c r="P244" s="6">
        <f>IFERROR(LN(Cotacao!AF245/Cotacao!AF244),P243)</f>
        <v>-5.9988182292533797E-3</v>
      </c>
      <c r="Q244" s="6">
        <f>IFERROR(LN(Cotacao!AH245/Cotacao!AH244),Q243)</f>
        <v>-5.3395035530409869E-4</v>
      </c>
      <c r="R244" s="6">
        <f>IFERROR(LN(Cotacao!AJ245/Cotacao!AJ244),R243)</f>
        <v>1.9196750270678013E-2</v>
      </c>
      <c r="S244" s="6">
        <f>IFERROR(LN(Cotacao!AL245/Cotacao!AL244),S243)</f>
        <v>-1.5474196582597365E-2</v>
      </c>
      <c r="T244" s="6">
        <f>IFERROR(LN(Cotacao!AN245/Cotacao!AN244),T243)</f>
        <v>-1.5438909109909285E-3</v>
      </c>
      <c r="U244" s="6">
        <f>IFERROR(LN(Cotacao!AP245/Cotacao!AP244),U243)</f>
        <v>-1.664663290174279E-3</v>
      </c>
      <c r="V244" s="6">
        <f>IFERROR(LN(Cotacao!AR245/Cotacao!AR244),V243)</f>
        <v>-9.1533187168820374E-4</v>
      </c>
      <c r="W244" s="6">
        <f>IFERROR(LN(Cotacao!AT245/Cotacao!AT244),W243)</f>
        <v>-1.5396461855927501E-3</v>
      </c>
      <c r="X244" s="6">
        <f>IFERROR(LN(Cotacao!AV245/Cotacao!AV244),X243)</f>
        <v>4.7069804100920128E-3</v>
      </c>
      <c r="Y244" s="6">
        <f>IFERROR(LN(Cotacao!AX245/Cotacao!AX244),Y243)</f>
        <v>0</v>
      </c>
      <c r="Z244" s="6">
        <f>IFERROR(LN(Cotacao!AZ245/Cotacao!AZ244),Z243)</f>
        <v>1.7493157447517119E-2</v>
      </c>
      <c r="AA244" s="6">
        <f>IFERROR(LN(Cotacao!BB245/Cotacao!BB244),AA243)</f>
        <v>7.9920505313376498E-3</v>
      </c>
      <c r="AB244" s="6">
        <f>IFERROR(LN(Cotacao!BD245/Cotacao!BD244),AB243)</f>
        <v>2.2948932985544783E-2</v>
      </c>
      <c r="AC244" s="6">
        <f>IFERROR(LN(Cotacao!BF245/Cotacao!BF244),AC243)</f>
        <v>1.2970350442627405E-2</v>
      </c>
      <c r="AD244" s="6">
        <f>IFERROR(LN(Cotacao!BH245/Cotacao!BH244),AD243)</f>
        <v>1.8842411497252506E-2</v>
      </c>
      <c r="AE244" s="6">
        <f>IFERROR(LN(Cotacao!BJ245/Cotacao!BJ244),AE243)</f>
        <v>-2.1917492409802108E-3</v>
      </c>
      <c r="AF244" s="6">
        <f>IFERROR(LN(Cotacao!BL245/Cotacao!BL244),AF243)</f>
        <v>-6.5012463011479332E-4</v>
      </c>
      <c r="AG244" s="6">
        <f>IFERROR(LN(Cotacao!BN245/Cotacao!BN244),AG243)</f>
        <v>-1.654232286931575E-2</v>
      </c>
      <c r="AH244" s="6">
        <f>IFERROR(LN(Cotacao!BP245/Cotacao!BP244),AH243)</f>
        <v>7.4349784875179905E-3</v>
      </c>
      <c r="AI244" s="6">
        <f>IFERROR(LN(Cotacao!BR245/Cotacao!BR244),AI243)</f>
        <v>5.3735554166242962E-2</v>
      </c>
      <c r="AJ244" s="6">
        <f>IFERROR(LN(Profit!C244/Profit!C243),AJ243)</f>
        <v>2.6126304592220213E-2</v>
      </c>
      <c r="AK244" s="6">
        <f>IFERROR(LN(Cotacao!BV245/Cotacao!BV244),AK243)</f>
        <v>6.0306164017227245E-3</v>
      </c>
      <c r="AL244" s="6">
        <f>IFERROR(LN(Cotacao!BX245/Cotacao!BX244),AL243)</f>
        <v>-1.0758473334630141E-3</v>
      </c>
    </row>
    <row r="245" spans="1:38">
      <c r="A245" s="3" t="str">
        <f>Cotacao!C245</f>
        <v>6/18/2020 16:56:00</v>
      </c>
      <c r="B245" s="6">
        <f>IFERROR(LN(Cotacao!D246/Cotacao!D245),B244)</f>
        <v>-4.7925153783427717E-2</v>
      </c>
      <c r="C245" s="6">
        <f>IFERROR(LN(Cotacao!F246/Cotacao!F245),C244)</f>
        <v>3.4272918128787543E-2</v>
      </c>
      <c r="D245" s="6">
        <f>IFERROR(LN(Cotacao!H246/Cotacao!H245),D244)</f>
        <v>-8.0599169771002864E-3</v>
      </c>
      <c r="E245" s="6">
        <f>IFERROR(LN(Cotacao!J246/Cotacao!J245),E244)</f>
        <v>-1.562531790308087E-2</v>
      </c>
      <c r="F245" s="6">
        <f>IFERROR(LN(Cotacao!L246/Cotacao!L245),F244)</f>
        <v>1.3831479148461799E-2</v>
      </c>
      <c r="G245" s="6">
        <f>IFERROR(LN(Cotacao!N246/Cotacao!N245),G244)</f>
        <v>1.5489177042460344E-2</v>
      </c>
      <c r="H245" s="6">
        <f>IFERROR(LN(Cotacao!P246/Cotacao!P245),H244)</f>
        <v>4.8127253969484536E-2</v>
      </c>
      <c r="I245" s="6">
        <f>IFERROR(LN(Cotacao!R246/Cotacao!R245),I244)</f>
        <v>-3.2015329432011068E-2</v>
      </c>
      <c r="J245" s="6">
        <f>IFERROR(LN(Cotacao!T246/Cotacao!T245),J244)</f>
        <v>5.3491955188168646E-3</v>
      </c>
      <c r="K245" s="6">
        <f>IFERROR(LN(Cotacao!V246/Cotacao!V245),K244)</f>
        <v>3.7621991789584322E-2</v>
      </c>
      <c r="L245" s="6">
        <f>IFERROR(LN(Cotacao!X246/Cotacao!X245),L244)</f>
        <v>-7.6023757967255481E-3</v>
      </c>
      <c r="M245" s="6">
        <f>IFERROR(LN(Profit!B245/Profit!B244),M244)</f>
        <v>-3.4227072775021715E-3</v>
      </c>
      <c r="N245" s="6">
        <f>IFERROR(LN(Cotacao!AB246/Cotacao!AB245),N244)</f>
        <v>7.8163563558798239E-3</v>
      </c>
      <c r="O245" s="6">
        <f>IFERROR(LN(Cotacao!AD246/Cotacao!AD245),O244)</f>
        <v>1.6354888416278048E-2</v>
      </c>
      <c r="P245" s="6">
        <f>IFERROR(LN(Cotacao!AF246/Cotacao!AF245),P244)</f>
        <v>-0.10211224261682558</v>
      </c>
      <c r="Q245" s="6">
        <f>IFERROR(LN(Cotacao!AH246/Cotacao!AH245),Q244)</f>
        <v>-1.7963479260001917E-2</v>
      </c>
      <c r="R245" s="6">
        <f>IFERROR(LN(Cotacao!AJ246/Cotacao!AJ245),R244)</f>
        <v>9.0694627979095912E-3</v>
      </c>
      <c r="S245" s="6">
        <f>IFERROR(LN(Cotacao!AL246/Cotacao!AL245),S244)</f>
        <v>3.8910554929667217E-3</v>
      </c>
      <c r="T245" s="6">
        <f>IFERROR(LN(Cotacao!AN246/Cotacao!AN245),T244)</f>
        <v>-4.2026162275598366E-3</v>
      </c>
      <c r="U245" s="6">
        <f>IFERROR(LN(Cotacao!AP246/Cotacao!AP245),U244)</f>
        <v>-7.2457353696356586E-3</v>
      </c>
      <c r="V245" s="6">
        <f>IFERROR(LN(Cotacao!AR246/Cotacao!AR245),V244)</f>
        <v>-1.8331810816609605E-3</v>
      </c>
      <c r="W245" s="6">
        <f>IFERROR(LN(Cotacao!AT246/Cotacao!AT245),W244)</f>
        <v>1.1549568175095622E-3</v>
      </c>
      <c r="X245" s="6">
        <f>IFERROR(LN(Cotacao!AV246/Cotacao!AV245),X244)</f>
        <v>3.0745604542456104E-3</v>
      </c>
      <c r="Y245" s="6">
        <f>IFERROR(LN(Cotacao!AX246/Cotacao!AX245),Y244)</f>
        <v>3.9976014923740806E-4</v>
      </c>
      <c r="Z245" s="6">
        <f>IFERROR(LN(Cotacao!AZ246/Cotacao!AZ245),Z244)</f>
        <v>8.6331471447028754E-3</v>
      </c>
      <c r="AA245" s="6">
        <f>IFERROR(LN(Cotacao!BB246/Cotacao!BB245),AA244)</f>
        <v>3.0328406430447123E-3</v>
      </c>
      <c r="AB245" s="6">
        <f>IFERROR(LN(Cotacao!BD246/Cotacao!BD245),AB244)</f>
        <v>6.378682108975315E-3</v>
      </c>
      <c r="AC245" s="6">
        <f>IFERROR(LN(Cotacao!BF246/Cotacao!BF245),AC244)</f>
        <v>5.1413995004186523E-3</v>
      </c>
      <c r="AD245" s="6">
        <f>IFERROR(LN(Cotacao!BH246/Cotacao!BH245),AD244)</f>
        <v>7.9326147257050995E-3</v>
      </c>
      <c r="AE245" s="6">
        <f>IFERROR(LN(Cotacao!BJ246/Cotacao!BJ245),AE244)</f>
        <v>-5.8284927698557037E-3</v>
      </c>
      <c r="AF245" s="6">
        <f>IFERROR(LN(Cotacao!BL246/Cotacao!BL245),AF244)</f>
        <v>1.7327273124457293E-3</v>
      </c>
      <c r="AG245" s="6">
        <f>IFERROR(LN(Cotacao!BN246/Cotacao!BN245),AG244)</f>
        <v>1.2628423548179279E-2</v>
      </c>
      <c r="AH245" s="6">
        <f>IFERROR(LN(Cotacao!BP246/Cotacao!BP245),AH244)</f>
        <v>-6.0367027994297851E-3</v>
      </c>
      <c r="AI245" s="6">
        <f>IFERROR(LN(Cotacao!BR246/Cotacao!BR245),AI244)</f>
        <v>-4.8051170872008768E-2</v>
      </c>
      <c r="AJ245" s="6">
        <f>IFERROR(LN(Profit!C245/Profit!C244),AJ244)</f>
        <v>-4.3072571975803324E-3</v>
      </c>
      <c r="AK245" s="6">
        <f>IFERROR(LN(Cotacao!BV246/Cotacao!BV245),AK244)</f>
        <v>4.6379550544871527E-3</v>
      </c>
      <c r="AL245" s="6">
        <f>IFERROR(LN(Cotacao!BX246/Cotacao!BX245),AL244)</f>
        <v>4.3187332683590013E-2</v>
      </c>
    </row>
    <row r="246" spans="1:38" s="20" customFormat="1">
      <c r="A246" s="3" t="str">
        <f>Cotacao!C246</f>
        <v>6/19/2020 16:56:00</v>
      </c>
      <c r="B246" s="6">
        <f>IFERROR(LN(Cotacao!#REF!/Cotacao!D246),B245)</f>
        <v>-4.7925153783427717E-2</v>
      </c>
      <c r="C246" s="6">
        <f>IFERROR(LN(Cotacao!#REF!/Cotacao!F246),C245)</f>
        <v>3.4272918128787543E-2</v>
      </c>
      <c r="D246" s="6">
        <f>IFERROR(LN(Cotacao!#REF!/Cotacao!H246),D245)</f>
        <v>-8.0599169771002864E-3</v>
      </c>
      <c r="E246" s="6">
        <f>IFERROR(LN(Cotacao!#REF!/Cotacao!J246),E245)</f>
        <v>-1.562531790308087E-2</v>
      </c>
      <c r="F246" s="6">
        <f>IFERROR(LN(Cotacao!#REF!/Cotacao!L246),F245)</f>
        <v>1.3831479148461799E-2</v>
      </c>
      <c r="G246" s="6">
        <f>IFERROR(LN(Cotacao!#REF!/Cotacao!N246),G245)</f>
        <v>1.5489177042460344E-2</v>
      </c>
      <c r="H246" s="6">
        <f>IFERROR(LN(Cotacao!#REF!/Cotacao!P246),H245)</f>
        <v>4.8127253969484536E-2</v>
      </c>
      <c r="I246" s="6">
        <f>IFERROR(LN(Cotacao!#REF!/Cotacao!R246),I245)</f>
        <v>-3.2015329432011068E-2</v>
      </c>
      <c r="J246" s="6">
        <f>IFERROR(LN(Cotacao!#REF!/Cotacao!T246),J245)</f>
        <v>5.3491955188168646E-3</v>
      </c>
      <c r="K246" s="6">
        <f>IFERROR(LN(Cotacao!#REF!/Cotacao!V246),K245)</f>
        <v>3.7621991789584322E-2</v>
      </c>
      <c r="L246" s="6">
        <f>IFERROR(LN(Cotacao!#REF!/Cotacao!X246),L245)</f>
        <v>-7.6023757967255481E-3</v>
      </c>
      <c r="M246" s="6">
        <f>IFERROR(LN(Profit!B246/Profit!B245),M245)</f>
        <v>3.3342665369090307E-2</v>
      </c>
      <c r="N246" s="6">
        <f>IFERROR(LN(Cotacao!#REF!/Cotacao!AB246),N245)</f>
        <v>7.8163563558798239E-3</v>
      </c>
      <c r="O246" s="6">
        <f>IFERROR(LN(Cotacao!#REF!/Cotacao!AD246),O245)</f>
        <v>1.6354888416278048E-2</v>
      </c>
      <c r="P246" s="6">
        <f>IFERROR(LN(Cotacao!#REF!/Cotacao!AF246),P245)</f>
        <v>-0.10211224261682558</v>
      </c>
      <c r="Q246" s="6">
        <f>IFERROR(LN(Cotacao!#REF!/Cotacao!AH246),Q245)</f>
        <v>-1.7963479260001917E-2</v>
      </c>
      <c r="R246" s="6">
        <f>IFERROR(LN(Cotacao!#REF!/Cotacao!AJ246),R245)</f>
        <v>9.0694627979095912E-3</v>
      </c>
      <c r="S246" s="6">
        <f>IFERROR(LN(Cotacao!#REF!/Cotacao!AL246),S245)</f>
        <v>3.8910554929667217E-3</v>
      </c>
      <c r="T246" s="6">
        <f>IFERROR(LN(Cotacao!#REF!/Cotacao!AN246),T245)</f>
        <v>-4.2026162275598366E-3</v>
      </c>
      <c r="U246" s="6">
        <f>IFERROR(LN(Cotacao!#REF!/Cotacao!AP246),U245)</f>
        <v>-7.2457353696356586E-3</v>
      </c>
      <c r="V246" s="6">
        <f>IFERROR(LN(Cotacao!#REF!/Cotacao!AR246),V245)</f>
        <v>-1.8331810816609605E-3</v>
      </c>
      <c r="W246" s="6">
        <f>IFERROR(LN(Cotacao!#REF!/Cotacao!AT246),W245)</f>
        <v>1.1549568175095622E-3</v>
      </c>
      <c r="X246" s="6">
        <f>IFERROR(LN(Cotacao!#REF!/Cotacao!AV246),X245)</f>
        <v>3.0745604542456104E-3</v>
      </c>
      <c r="Y246" s="6">
        <f>IFERROR(LN(Cotacao!#REF!/Cotacao!AX246),Y245)</f>
        <v>3.9976014923740806E-4</v>
      </c>
      <c r="Z246" s="6">
        <f>IFERROR(LN(Cotacao!#REF!/Cotacao!AZ246),Z245)</f>
        <v>8.6331471447028754E-3</v>
      </c>
      <c r="AA246" s="6">
        <f>IFERROR(LN(Cotacao!#REF!/Cotacao!BB246),AA245)</f>
        <v>3.0328406430447123E-3</v>
      </c>
      <c r="AB246" s="6">
        <f>IFERROR(LN(Cotacao!#REF!/Cotacao!BD246),AB245)</f>
        <v>6.378682108975315E-3</v>
      </c>
      <c r="AC246" s="6">
        <f>IFERROR(LN(Cotacao!#REF!/Cotacao!BF246),AC245)</f>
        <v>5.1413995004186523E-3</v>
      </c>
      <c r="AD246" s="6">
        <f>IFERROR(LN(Cotacao!#REF!/Cotacao!BH246),AD245)</f>
        <v>7.9326147257050995E-3</v>
      </c>
      <c r="AE246" s="6">
        <f>IFERROR(LN(Cotacao!#REF!/Cotacao!BJ246),AE245)</f>
        <v>-5.8284927698557037E-3</v>
      </c>
      <c r="AF246" s="6">
        <f>IFERROR(LN(Cotacao!#REF!/Cotacao!BL246),AF245)</f>
        <v>1.7327273124457293E-3</v>
      </c>
      <c r="AG246" s="6">
        <f>IFERROR(LN(Cotacao!#REF!/Cotacao!BN246),AG245)</f>
        <v>1.2628423548179279E-2</v>
      </c>
      <c r="AH246" s="6">
        <f>IFERROR(LN(Cotacao!#REF!/Cotacao!BP246),AH245)</f>
        <v>-6.0367027994297851E-3</v>
      </c>
      <c r="AI246" s="6">
        <f>IFERROR(LN(Cotacao!#REF!/Cotacao!BR246),AI245)</f>
        <v>-4.8051170872008768E-2</v>
      </c>
      <c r="AJ246" s="6">
        <f>IFERROR(LN(Profit!C246/Profit!C245),AJ245)</f>
        <v>-2.4027366289868353E-2</v>
      </c>
      <c r="AK246" s="6">
        <f>IFERROR(LN(Cotacao!#REF!/Cotacao!BV246),AK245)</f>
        <v>4.6379550544871527E-3</v>
      </c>
      <c r="AL246" s="6">
        <f>IFERROR(LN(Cotacao!#REF!/Cotacao!BX246),AL245)</f>
        <v>4.3187332683590013E-2</v>
      </c>
    </row>
    <row r="247" spans="1:38" s="20" customFormat="1">
      <c r="A247" s="3" t="e">
        <f>Cotacao!#REF!</f>
        <v>#REF!</v>
      </c>
      <c r="B247" s="6">
        <f>IFERROR(LN(Cotacao!#REF!/Cotacao!#REF!),B246)</f>
        <v>-4.7925153783427717E-2</v>
      </c>
      <c r="C247" s="6">
        <f>IFERROR(LN(Cotacao!#REF!/Cotacao!#REF!),C246)</f>
        <v>3.4272918128787543E-2</v>
      </c>
      <c r="D247" s="6">
        <f>IFERROR(LN(Cotacao!#REF!/Cotacao!#REF!),D246)</f>
        <v>-8.0599169771002864E-3</v>
      </c>
      <c r="E247" s="6">
        <f>IFERROR(LN(Cotacao!#REF!/Cotacao!#REF!),E246)</f>
        <v>-1.562531790308087E-2</v>
      </c>
      <c r="F247" s="6">
        <f>IFERROR(LN(Cotacao!#REF!/Cotacao!#REF!),F246)</f>
        <v>1.3831479148461799E-2</v>
      </c>
      <c r="G247" s="6">
        <f>IFERROR(LN(Cotacao!#REF!/Cotacao!#REF!),G246)</f>
        <v>1.5489177042460344E-2</v>
      </c>
      <c r="H247" s="6">
        <f>IFERROR(LN(Cotacao!#REF!/Cotacao!#REF!),H246)</f>
        <v>4.8127253969484536E-2</v>
      </c>
      <c r="I247" s="6">
        <f>IFERROR(LN(Cotacao!#REF!/Cotacao!#REF!),I246)</f>
        <v>-3.2015329432011068E-2</v>
      </c>
      <c r="J247" s="6">
        <f>IFERROR(LN(Cotacao!#REF!/Cotacao!#REF!),J246)</f>
        <v>5.3491955188168646E-3</v>
      </c>
      <c r="K247" s="6">
        <f>IFERROR(LN(Cotacao!#REF!/Cotacao!#REF!),K246)</f>
        <v>3.7621991789584322E-2</v>
      </c>
      <c r="L247" s="6">
        <f>IFERROR(LN(Cotacao!#REF!/Cotacao!#REF!),L246)</f>
        <v>-7.6023757967255481E-3</v>
      </c>
      <c r="M247" s="6">
        <f>IFERROR(LN(Profit!B247/Profit!B246),M246)</f>
        <v>0</v>
      </c>
      <c r="N247" s="6">
        <f>IFERROR(LN(Cotacao!#REF!/Cotacao!#REF!),N246)</f>
        <v>7.8163563558798239E-3</v>
      </c>
      <c r="O247" s="6">
        <f>IFERROR(LN(Cotacao!#REF!/Cotacao!#REF!),O246)</f>
        <v>1.6354888416278048E-2</v>
      </c>
      <c r="P247" s="6">
        <f>IFERROR(LN(Cotacao!#REF!/Cotacao!#REF!),P246)</f>
        <v>-0.10211224261682558</v>
      </c>
      <c r="Q247" s="6">
        <f>IFERROR(LN(Cotacao!#REF!/Cotacao!#REF!),Q246)</f>
        <v>-1.7963479260001917E-2</v>
      </c>
      <c r="R247" s="6">
        <f>IFERROR(LN(Cotacao!#REF!/Cotacao!#REF!),R246)</f>
        <v>9.0694627979095912E-3</v>
      </c>
      <c r="S247" s="6">
        <f>IFERROR(LN(Cotacao!#REF!/Cotacao!#REF!),S246)</f>
        <v>3.8910554929667217E-3</v>
      </c>
      <c r="T247" s="6">
        <f>IFERROR(LN(Cotacao!#REF!/Cotacao!#REF!),T246)</f>
        <v>-4.2026162275598366E-3</v>
      </c>
      <c r="U247" s="6">
        <f>IFERROR(LN(Cotacao!#REF!/Cotacao!#REF!),U246)</f>
        <v>-7.2457353696356586E-3</v>
      </c>
      <c r="V247" s="6">
        <f>IFERROR(LN(Cotacao!#REF!/Cotacao!#REF!),V246)</f>
        <v>-1.8331810816609605E-3</v>
      </c>
      <c r="W247" s="6">
        <f>IFERROR(LN(Cotacao!#REF!/Cotacao!#REF!),W246)</f>
        <v>1.1549568175095622E-3</v>
      </c>
      <c r="X247" s="6">
        <f>IFERROR(LN(Cotacao!#REF!/Cotacao!#REF!),X246)</f>
        <v>3.0745604542456104E-3</v>
      </c>
      <c r="Y247" s="6">
        <f>IFERROR(LN(Cotacao!#REF!/Cotacao!#REF!),Y246)</f>
        <v>3.9976014923740806E-4</v>
      </c>
      <c r="Z247" s="6">
        <f>IFERROR(LN(Cotacao!#REF!/Cotacao!#REF!),Z246)</f>
        <v>8.6331471447028754E-3</v>
      </c>
      <c r="AA247" s="6">
        <f>IFERROR(LN(Cotacao!#REF!/Cotacao!#REF!),AA246)</f>
        <v>3.0328406430447123E-3</v>
      </c>
      <c r="AB247" s="6">
        <f>IFERROR(LN(Cotacao!#REF!/Cotacao!#REF!),AB246)</f>
        <v>6.378682108975315E-3</v>
      </c>
      <c r="AC247" s="6">
        <f>IFERROR(LN(Cotacao!#REF!/Cotacao!#REF!),AC246)</f>
        <v>5.1413995004186523E-3</v>
      </c>
      <c r="AD247" s="6">
        <f>IFERROR(LN(Cotacao!#REF!/Cotacao!#REF!),AD246)</f>
        <v>7.9326147257050995E-3</v>
      </c>
      <c r="AE247" s="6">
        <f>IFERROR(LN(Cotacao!#REF!/Cotacao!#REF!),AE246)</f>
        <v>-5.8284927698557037E-3</v>
      </c>
      <c r="AF247" s="6">
        <f>IFERROR(LN(Cotacao!#REF!/Cotacao!#REF!),AF246)</f>
        <v>1.7327273124457293E-3</v>
      </c>
      <c r="AG247" s="6">
        <f>IFERROR(LN(Cotacao!#REF!/Cotacao!#REF!),AG246)</f>
        <v>1.2628423548179279E-2</v>
      </c>
      <c r="AH247" s="6">
        <f>IFERROR(LN(Cotacao!#REF!/Cotacao!#REF!),AH246)</f>
        <v>-6.0367027994297851E-3</v>
      </c>
      <c r="AI247" s="6">
        <f>IFERROR(LN(Cotacao!#REF!/Cotacao!#REF!),AI246)</f>
        <v>-4.8051170872008768E-2</v>
      </c>
      <c r="AJ247" s="6">
        <f>IFERROR(LN(Profit!C247/Profit!C246),AJ246)</f>
        <v>-1.7094433359300183E-2</v>
      </c>
      <c r="AK247" s="6">
        <f>IFERROR(LN(Cotacao!#REF!/Cotacao!#REF!),AK246)</f>
        <v>4.6379550544871527E-3</v>
      </c>
      <c r="AL247" s="6">
        <f>IFERROR(LN(Cotacao!#REF!/Cotacao!#REF!),AL246)</f>
        <v>4.3187332683590013E-2</v>
      </c>
    </row>
  </sheetData>
  <mergeCells count="5">
    <mergeCell ref="AO44:AO45"/>
    <mergeCell ref="AO48:AO49"/>
    <mergeCell ref="AO17:AQ17"/>
    <mergeCell ref="AN25:AN26"/>
    <mergeCell ref="AN54:AN55"/>
  </mergeCells>
  <conditionalFormatting sqref="AX37">
    <cfRule type="cellIs" dxfId="31" priority="25" operator="greaterThan">
      <formula>0.5</formula>
    </cfRule>
    <cfRule type="cellIs" dxfId="30" priority="26" operator="between">
      <formula>0</formula>
      <formula>0.5</formula>
    </cfRule>
    <cfRule type="cellIs" dxfId="29" priority="27" operator="lessThan">
      <formula>0</formula>
    </cfRule>
  </conditionalFormatting>
  <conditionalFormatting sqref="AO37:AW37">
    <cfRule type="cellIs" dxfId="28" priority="22" operator="greaterThan">
      <formula>0.5</formula>
    </cfRule>
    <cfRule type="cellIs" dxfId="27" priority="23" operator="between">
      <formula>0</formula>
      <formula>0.5</formula>
    </cfRule>
    <cfRule type="cellIs" dxfId="26" priority="24" operator="lessThan">
      <formula>0</formula>
    </cfRule>
  </conditionalFormatting>
  <conditionalFormatting sqref="AY37:BW37">
    <cfRule type="cellIs" dxfId="25" priority="19" operator="greaterThan">
      <formula>0.5</formula>
    </cfRule>
    <cfRule type="cellIs" dxfId="24" priority="20" operator="between">
      <formula>0</formula>
      <formula>0.5</formula>
    </cfRule>
    <cfRule type="cellIs" dxfId="23" priority="21" operator="lessThan">
      <formula>0</formula>
    </cfRule>
  </conditionalFormatting>
  <conditionalFormatting sqref="AO36:BW36">
    <cfRule type="cellIs" dxfId="22" priority="16" operator="greaterThan">
      <formula>0.5</formula>
    </cfRule>
    <cfRule type="cellIs" dxfId="21" priority="17" operator="between">
      <formula>0</formula>
      <formula>0.5</formula>
    </cfRule>
    <cfRule type="cellIs" dxfId="20" priority="18" operator="lessThan">
      <formula>0</formula>
    </cfRule>
  </conditionalFormatting>
  <conditionalFormatting sqref="AO35:BW35">
    <cfRule type="cellIs" dxfId="19" priority="13" operator="greaterThan">
      <formula>0.5</formula>
    </cfRule>
    <cfRule type="cellIs" dxfId="18" priority="14" operator="between">
      <formula>0</formula>
      <formula>0.5</formula>
    </cfRule>
    <cfRule type="cellIs" dxfId="17" priority="15" operator="lessThan">
      <formula>0</formula>
    </cfRule>
  </conditionalFormatting>
  <conditionalFormatting sqref="AO50:BW50">
    <cfRule type="cellIs" dxfId="16" priority="10" operator="greaterThan">
      <formula>0.5</formula>
    </cfRule>
    <cfRule type="cellIs" dxfId="15" priority="11" operator="between">
      <formula>0</formula>
      <formula>0.5</formula>
    </cfRule>
    <cfRule type="cellIs" dxfId="14" priority="12" operator="lessThan">
      <formula>0</formula>
    </cfRule>
  </conditionalFormatting>
  <conditionalFormatting sqref="AO48">
    <cfRule type="cellIs" dxfId="13" priority="7" operator="greaterThan">
      <formula>0.5</formula>
    </cfRule>
    <cfRule type="cellIs" dxfId="12" priority="8" operator="between">
      <formula>0</formula>
      <formula>0.5</formula>
    </cfRule>
    <cfRule type="cellIs" dxfId="11" priority="9" operator="lessThan">
      <formula>0</formula>
    </cfRule>
  </conditionalFormatting>
  <conditionalFormatting sqref="AO51">
    <cfRule type="cellIs" dxfId="10" priority="4" operator="greaterThan">
      <formula>0.5</formula>
    </cfRule>
    <cfRule type="cellIs" dxfId="9" priority="5" operator="between">
      <formula>0</formula>
      <formula>0.5</formula>
    </cfRule>
    <cfRule type="cellIs" dxfId="8" priority="6" operator="lessThan">
      <formula>0</formula>
    </cfRule>
  </conditionalFormatting>
  <conditionalFormatting sqref="AO52">
    <cfRule type="cellIs" dxfId="7" priority="1" operator="greaterThan">
      <formula>0.5</formula>
    </cfRule>
    <cfRule type="cellIs" dxfId="6" priority="2" operator="between">
      <formula>0</formula>
      <formula>0.5</formula>
    </cfRule>
    <cfRule type="cellIs" dxfId="5" priority="3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workbookViewId="0">
      <selection activeCell="AB2" sqref="AB2"/>
    </sheetView>
  </sheetViews>
  <sheetFormatPr defaultRowHeight="14.4"/>
  <sheetData>
    <row r="1" spans="1:38">
      <c r="A1" s="46"/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  <c r="G1" s="46" t="s">
        <v>8</v>
      </c>
      <c r="H1" s="46" t="s">
        <v>9</v>
      </c>
      <c r="I1" s="46" t="s">
        <v>10</v>
      </c>
      <c r="J1" s="46" t="s">
        <v>11</v>
      </c>
      <c r="K1" s="46" t="s">
        <v>12</v>
      </c>
      <c r="L1" s="46" t="s">
        <v>13</v>
      </c>
      <c r="M1" s="46" t="s">
        <v>14</v>
      </c>
      <c r="N1" s="46" t="s">
        <v>15</v>
      </c>
      <c r="O1" s="46" t="s">
        <v>16</v>
      </c>
      <c r="P1" s="46" t="s">
        <v>17</v>
      </c>
      <c r="Q1" s="46" t="s">
        <v>18</v>
      </c>
      <c r="R1" s="46" t="s">
        <v>19</v>
      </c>
      <c r="S1" s="46" t="s">
        <v>20</v>
      </c>
      <c r="T1" s="46" t="s">
        <v>21</v>
      </c>
      <c r="U1" s="46" t="s">
        <v>22</v>
      </c>
      <c r="V1" s="46" t="s">
        <v>23</v>
      </c>
      <c r="W1" s="46" t="s">
        <v>24</v>
      </c>
      <c r="X1" s="46" t="s">
        <v>25</v>
      </c>
      <c r="Y1" s="46" t="s">
        <v>26</v>
      </c>
      <c r="Z1" s="46" t="s">
        <v>27</v>
      </c>
      <c r="AA1" s="46" t="s">
        <v>28</v>
      </c>
      <c r="AB1" s="46" t="s">
        <v>345</v>
      </c>
      <c r="AC1" s="46" t="s">
        <v>30</v>
      </c>
      <c r="AD1" s="46" t="s">
        <v>31</v>
      </c>
      <c r="AE1" s="46" t="s">
        <v>32</v>
      </c>
      <c r="AF1" s="46" t="s">
        <v>33</v>
      </c>
      <c r="AG1" s="46" t="s">
        <v>34</v>
      </c>
      <c r="AH1" s="46" t="s">
        <v>35</v>
      </c>
      <c r="AI1" s="46" t="s">
        <v>36</v>
      </c>
      <c r="AJ1" s="46" t="s">
        <v>37</v>
      </c>
      <c r="AK1" s="46" t="s">
        <v>249</v>
      </c>
      <c r="AL1" s="46" t="s">
        <v>250</v>
      </c>
    </row>
    <row r="2" spans="1:38">
      <c r="A2" s="44" t="s">
        <v>3</v>
      </c>
      <c r="B2" s="55">
        <f>VARP(Valorização!$B$2:$B$247)</f>
        <v>9.5018915720820711E-4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</row>
    <row r="3" spans="1:38">
      <c r="A3" s="44" t="s">
        <v>4</v>
      </c>
      <c r="B3" s="55">
        <v>7.1496019914137865E-5</v>
      </c>
      <c r="C3" s="55">
        <f>VARP(Valorização!$C$2:$C$247)</f>
        <v>6.6974479787646542E-4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</row>
    <row r="4" spans="1:38">
      <c r="A4" s="44" t="s">
        <v>5</v>
      </c>
      <c r="B4" s="55">
        <v>8.0583871256619067E-5</v>
      </c>
      <c r="C4" s="55">
        <v>8.9053171583115245E-5</v>
      </c>
      <c r="D4" s="55">
        <f>VARP(Valorização!$D$2:$D$247)</f>
        <v>4.73730671568555E-4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</row>
    <row r="5" spans="1:38">
      <c r="A5" s="44" t="s">
        <v>6</v>
      </c>
      <c r="B5" s="55">
        <v>7.7337892644231191E-5</v>
      </c>
      <c r="C5" s="55">
        <v>1.9819347328656848E-5</v>
      </c>
      <c r="D5" s="55">
        <v>5.0349365062378651E-5</v>
      </c>
      <c r="E5" s="55">
        <f>VARP(Valorização!$E$2:$E$247)</f>
        <v>2.0788672329953056E-3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</row>
    <row r="6" spans="1:38">
      <c r="A6" s="44" t="s">
        <v>7</v>
      </c>
      <c r="B6" s="55">
        <v>9.1542171433780351E-5</v>
      </c>
      <c r="C6" s="55">
        <v>9.8399718381067595E-5</v>
      </c>
      <c r="D6" s="55">
        <v>9.6211781477106907E-5</v>
      </c>
      <c r="E6" s="55">
        <v>3.5030862090320885E-5</v>
      </c>
      <c r="F6" s="55">
        <f>VARP(Valorização!$F$2:$F$247)</f>
        <v>6.0363164974211317E-4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</row>
    <row r="7" spans="1:38">
      <c r="A7" s="44" t="s">
        <v>8</v>
      </c>
      <c r="B7" s="55">
        <v>1.4922991694117329E-4</v>
      </c>
      <c r="C7" s="55">
        <v>1.4597880942972052E-4</v>
      </c>
      <c r="D7" s="55">
        <v>1.2679529079823033E-4</v>
      </c>
      <c r="E7" s="55">
        <v>1.1772895929460135E-4</v>
      </c>
      <c r="F7" s="55">
        <v>1.485971735714213E-4</v>
      </c>
      <c r="G7" s="55">
        <f>VARP(Valorização!$G$2:$G$247)</f>
        <v>6.9429877251618295E-4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</row>
    <row r="8" spans="1:38">
      <c r="A8" s="44" t="s">
        <v>9</v>
      </c>
      <c r="B8" s="55">
        <v>1.739215543235569E-4</v>
      </c>
      <c r="C8" s="55">
        <v>7.2432741402573788E-5</v>
      </c>
      <c r="D8" s="55">
        <v>1.3523155929134572E-4</v>
      </c>
      <c r="E8" s="55">
        <v>1.5227636893899661E-4</v>
      </c>
      <c r="F8" s="55">
        <v>7.1607751423939626E-5</v>
      </c>
      <c r="G8" s="55">
        <v>2.5713279410635883E-4</v>
      </c>
      <c r="H8" s="55">
        <f>VARP(Valorização!$H$2:$H$247)</f>
        <v>6.6300279281216378E-4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</row>
    <row r="9" spans="1:38">
      <c r="A9" s="44" t="s">
        <v>10</v>
      </c>
      <c r="B9" s="55">
        <v>4.3583757282008531E-5</v>
      </c>
      <c r="C9" s="55">
        <v>4.8757781793625952E-5</v>
      </c>
      <c r="D9" s="55">
        <v>3.7769155418332965E-5</v>
      </c>
      <c r="E9" s="55">
        <v>6.1714856702948327E-5</v>
      </c>
      <c r="F9" s="55">
        <v>3.8345039254792714E-5</v>
      </c>
      <c r="G9" s="55">
        <v>4.993488911805756E-5</v>
      </c>
      <c r="H9" s="55">
        <v>7.8002289103473328E-5</v>
      </c>
      <c r="I9" s="55">
        <f>VARP(Valorização!$I$2:$I$247)</f>
        <v>8.2437597935752208E-4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</row>
    <row r="10" spans="1:38">
      <c r="A10" s="44" t="s">
        <v>11</v>
      </c>
      <c r="B10" s="55">
        <v>1.4171618726138233E-4</v>
      </c>
      <c r="C10" s="55">
        <v>1.0175515540601918E-4</v>
      </c>
      <c r="D10" s="55">
        <v>1.1460641544382528E-4</v>
      </c>
      <c r="E10" s="55">
        <v>9.2859885050753361E-5</v>
      </c>
      <c r="F10" s="55">
        <v>1.5306963661676666E-4</v>
      </c>
      <c r="G10" s="55">
        <v>2.2411685985433287E-4</v>
      </c>
      <c r="H10" s="55">
        <v>1.5572362927223041E-4</v>
      </c>
      <c r="I10" s="55">
        <v>5.5048817270620827E-5</v>
      </c>
      <c r="J10" s="55">
        <f>VARP(Valorização!$J$2:$J$247)</f>
        <v>1.8366962527805082E-3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</row>
    <row r="11" spans="1:38">
      <c r="A11" s="44" t="s">
        <v>12</v>
      </c>
      <c r="B11" s="55">
        <v>9.1090192816823228E-5</v>
      </c>
      <c r="C11" s="55">
        <v>7.7599819594311269E-5</v>
      </c>
      <c r="D11" s="55">
        <v>8.3389304379099518E-5</v>
      </c>
      <c r="E11" s="55">
        <v>5.2767097774784157E-5</v>
      </c>
      <c r="F11" s="55">
        <v>9.4245960643448581E-5</v>
      </c>
      <c r="G11" s="55">
        <v>1.0086503258168281E-4</v>
      </c>
      <c r="H11" s="55">
        <v>7.2270052865126445E-5</v>
      </c>
      <c r="I11" s="55">
        <v>2.7929570346416996E-5</v>
      </c>
      <c r="J11" s="55">
        <v>1.3463744516778453E-4</v>
      </c>
      <c r="K11" s="55">
        <f>VARP(Valorização!$K$2:$K$247)</f>
        <v>1.1015682868845131E-3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</row>
    <row r="12" spans="1:38">
      <c r="A12" s="44" t="s">
        <v>13</v>
      </c>
      <c r="B12" s="55">
        <v>-2.6281986135421143E-5</v>
      </c>
      <c r="C12" s="55">
        <v>-3.8772832356593139E-6</v>
      </c>
      <c r="D12" s="55">
        <v>-8.6273998890034793E-6</v>
      </c>
      <c r="E12" s="55">
        <v>3.5027568317896058E-6</v>
      </c>
      <c r="F12" s="55">
        <v>-1.5517535063820837E-5</v>
      </c>
      <c r="G12" s="55">
        <v>-3.0531028583220781E-5</v>
      </c>
      <c r="H12" s="55">
        <v>-1.6885979855790959E-5</v>
      </c>
      <c r="I12" s="55">
        <v>6.3017528236247275E-6</v>
      </c>
      <c r="J12" s="55">
        <v>-3.8287926027145872E-6</v>
      </c>
      <c r="K12" s="55">
        <v>-6.8524149435197415E-7</v>
      </c>
      <c r="L12" s="55">
        <f>VARP(Valorização!$L$2:$L$247)</f>
        <v>7.0529787354931309E-4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</row>
    <row r="13" spans="1:38">
      <c r="A13" s="44" t="s">
        <v>14</v>
      </c>
      <c r="B13" s="55">
        <v>7.7622807397237782E-5</v>
      </c>
      <c r="C13" s="55">
        <v>7.6515154363755971E-5</v>
      </c>
      <c r="D13" s="55">
        <v>7.8241143953612064E-5</v>
      </c>
      <c r="E13" s="55">
        <v>5.6416246276023958E-5</v>
      </c>
      <c r="F13" s="55">
        <v>9.7546929967493791E-5</v>
      </c>
      <c r="G13" s="55">
        <v>1.2039698723347416E-4</v>
      </c>
      <c r="H13" s="55">
        <v>1.2115835768668884E-4</v>
      </c>
      <c r="I13" s="55">
        <v>2.8076718416495175E-5</v>
      </c>
      <c r="J13" s="55">
        <v>1.1040589380693282E-4</v>
      </c>
      <c r="K13" s="55">
        <v>8.7164140656846638E-5</v>
      </c>
      <c r="L13" s="55">
        <v>-6.8626428252276816E-6</v>
      </c>
      <c r="M13" s="55">
        <f>VARP(Valorização!$M$2:$M$247)</f>
        <v>2.4482430004432216E-4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</row>
    <row r="14" spans="1:38">
      <c r="A14" s="44" t="s">
        <v>15</v>
      </c>
      <c r="B14" s="55">
        <v>5.8064145084250629E-5</v>
      </c>
      <c r="C14" s="55">
        <v>5.269353584604066E-5</v>
      </c>
      <c r="D14" s="55">
        <v>7.7375650499391952E-5</v>
      </c>
      <c r="E14" s="55">
        <v>5.4242098576489772E-5</v>
      </c>
      <c r="F14" s="55">
        <v>8.7290578757006309E-5</v>
      </c>
      <c r="G14" s="55">
        <v>1.0763166087130787E-4</v>
      </c>
      <c r="H14" s="55">
        <v>8.1151682648699907E-5</v>
      </c>
      <c r="I14" s="55">
        <v>2.7720254840831962E-5</v>
      </c>
      <c r="J14" s="55">
        <v>1.003332417881037E-4</v>
      </c>
      <c r="K14" s="55">
        <v>7.0066345305336885E-5</v>
      </c>
      <c r="L14" s="55">
        <v>-2.0166664092148812E-5</v>
      </c>
      <c r="M14" s="55">
        <v>1.1188635910393221E-4</v>
      </c>
      <c r="N14" s="55">
        <f>VARP(Valorização!$N$2:$N$247)</f>
        <v>3.6816421200732146E-4</v>
      </c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</row>
    <row r="15" spans="1:38">
      <c r="A15" s="44" t="s">
        <v>16</v>
      </c>
      <c r="B15" s="55">
        <v>4.0639005346314722E-5</v>
      </c>
      <c r="C15" s="55">
        <v>1.2263609589757698E-5</v>
      </c>
      <c r="D15" s="55">
        <v>4.7558937504198311E-5</v>
      </c>
      <c r="E15" s="55">
        <v>9.8809670947228815E-5</v>
      </c>
      <c r="F15" s="55">
        <v>5.1634243573627204E-5</v>
      </c>
      <c r="G15" s="55">
        <v>6.4631928079278818E-5</v>
      </c>
      <c r="H15" s="55">
        <v>6.2273629615411082E-5</v>
      </c>
      <c r="I15" s="55">
        <v>1.0560911523356962E-4</v>
      </c>
      <c r="J15" s="55">
        <v>6.2947823619348225E-5</v>
      </c>
      <c r="K15" s="55">
        <v>2.5783959114141322E-5</v>
      </c>
      <c r="L15" s="55">
        <v>-2.3380699882012205E-5</v>
      </c>
      <c r="M15" s="55">
        <v>4.8735664642462933E-5</v>
      </c>
      <c r="N15" s="55">
        <v>3.86626101316842E-5</v>
      </c>
      <c r="O15" s="55">
        <f>VARP(Valorização!$O$2:$O$247)</f>
        <v>1.05762325175604E-3</v>
      </c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</row>
    <row r="16" spans="1:38">
      <c r="A16" s="44" t="s">
        <v>17</v>
      </c>
      <c r="B16" s="55">
        <v>7.3031702079080649E-5</v>
      </c>
      <c r="C16" s="55">
        <v>8.0598670723887797E-5</v>
      </c>
      <c r="D16" s="55">
        <v>8.7968386020502031E-5</v>
      </c>
      <c r="E16" s="55">
        <v>1.9157702226749014E-4</v>
      </c>
      <c r="F16" s="55">
        <v>5.5697168370531979E-5</v>
      </c>
      <c r="G16" s="55">
        <v>7.3330142195478094E-5</v>
      </c>
      <c r="H16" s="55">
        <v>1.169019507234835E-4</v>
      </c>
      <c r="I16" s="55">
        <v>8.1724288092915239E-5</v>
      </c>
      <c r="J16" s="55">
        <v>9.7024556105722084E-5</v>
      </c>
      <c r="K16" s="55">
        <v>5.7027103072377654E-5</v>
      </c>
      <c r="L16" s="55">
        <v>-4.3018646215186304E-6</v>
      </c>
      <c r="M16" s="55">
        <v>7.3069160102087527E-5</v>
      </c>
      <c r="N16" s="55">
        <v>4.4227520869614125E-5</v>
      </c>
      <c r="O16" s="55">
        <v>9.7339472328274065E-5</v>
      </c>
      <c r="P16" s="55">
        <f>VARP(Valorização!$P$2:$P$247)</f>
        <v>1.806116893219481E-3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</row>
    <row r="17" spans="1:38">
      <c r="A17" s="44" t="s">
        <v>18</v>
      </c>
      <c r="B17" s="55">
        <v>4.4260041746479869E-5</v>
      </c>
      <c r="C17" s="55">
        <v>4.45578973783755E-5</v>
      </c>
      <c r="D17" s="55">
        <v>3.3601332131610909E-5</v>
      </c>
      <c r="E17" s="55">
        <v>1.4609775644772077E-4</v>
      </c>
      <c r="F17" s="55">
        <v>5.8732988977171661E-5</v>
      </c>
      <c r="G17" s="55">
        <v>6.8154066355429979E-5</v>
      </c>
      <c r="H17" s="55">
        <v>6.2550684997418192E-5</v>
      </c>
      <c r="I17" s="55">
        <v>5.0518635640082148E-5</v>
      </c>
      <c r="J17" s="55">
        <v>5.9720934978905243E-5</v>
      </c>
      <c r="K17" s="55">
        <v>7.4299404241305389E-5</v>
      </c>
      <c r="L17" s="55">
        <v>-5.4266128149701729E-6</v>
      </c>
      <c r="M17" s="55">
        <v>5.2890350907516949E-5</v>
      </c>
      <c r="N17" s="55">
        <v>4.3193738386115283E-5</v>
      </c>
      <c r="O17" s="55">
        <v>8.3235826490541125E-5</v>
      </c>
      <c r="P17" s="55">
        <v>1.0259422567862017E-4</v>
      </c>
      <c r="Q17" s="55">
        <f>VARP(Valorização!$Q$2:$Q$247)</f>
        <v>1.1476240603225309E-3</v>
      </c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</row>
    <row r="18" spans="1:38">
      <c r="A18" s="44" t="s">
        <v>19</v>
      </c>
      <c r="B18" s="55">
        <v>-1.1582933973994299E-6</v>
      </c>
      <c r="C18" s="55">
        <v>2.8325182739135683E-6</v>
      </c>
      <c r="D18" s="55">
        <v>-2.5521297115219527E-6</v>
      </c>
      <c r="E18" s="55">
        <v>2.1981083188635947E-5</v>
      </c>
      <c r="F18" s="55">
        <v>-2.4054643092179678E-5</v>
      </c>
      <c r="G18" s="55">
        <v>-4.6976760670225671E-6</v>
      </c>
      <c r="H18" s="55">
        <v>-2.2155005734820524E-5</v>
      </c>
      <c r="I18" s="55">
        <v>-7.6934399267798657E-7</v>
      </c>
      <c r="J18" s="55">
        <v>-1.8427616651633271E-5</v>
      </c>
      <c r="K18" s="55">
        <v>5.0532933845727994E-6</v>
      </c>
      <c r="L18" s="55">
        <v>-1.3291289879439398E-6</v>
      </c>
      <c r="M18" s="55">
        <v>-1.5031454625095149E-5</v>
      </c>
      <c r="N18" s="55">
        <v>2.0399941830841367E-5</v>
      </c>
      <c r="O18" s="55">
        <v>-2.4542999282589377E-5</v>
      </c>
      <c r="P18" s="55">
        <v>9.8783826748298896E-6</v>
      </c>
      <c r="Q18" s="55">
        <v>-1.4766881671786195E-5</v>
      </c>
      <c r="R18" s="55">
        <f>VARP(Valorização!$R$2:$R$247)</f>
        <v>6.8971379068653198E-4</v>
      </c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</row>
    <row r="19" spans="1:38">
      <c r="A19" s="44" t="s">
        <v>20</v>
      </c>
      <c r="B19" s="55">
        <v>1.0439728769365389E-4</v>
      </c>
      <c r="C19" s="55">
        <v>9.88802253595591E-5</v>
      </c>
      <c r="D19" s="55">
        <v>9.1044296914466556E-5</v>
      </c>
      <c r="E19" s="55">
        <v>1.4010056948155638E-4</v>
      </c>
      <c r="F19" s="55">
        <v>1.1710115513891982E-4</v>
      </c>
      <c r="G19" s="55">
        <v>1.6505390710973357E-4</v>
      </c>
      <c r="H19" s="55">
        <v>1.2028481841746916E-4</v>
      </c>
      <c r="I19" s="55">
        <v>7.6339450090699929E-5</v>
      </c>
      <c r="J19" s="55">
        <v>1.785188247169604E-4</v>
      </c>
      <c r="K19" s="55">
        <v>1.0406403438865096E-4</v>
      </c>
      <c r="L19" s="55">
        <v>1.9119472903579837E-6</v>
      </c>
      <c r="M19" s="55">
        <v>9.8021632890997018E-5</v>
      </c>
      <c r="N19" s="55">
        <v>9.2448363770450089E-5</v>
      </c>
      <c r="O19" s="55">
        <v>6.6081282280917872E-5</v>
      </c>
      <c r="P19" s="55">
        <v>1.2881901205254195E-4</v>
      </c>
      <c r="Q19" s="55">
        <v>1.1061899373634575E-4</v>
      </c>
      <c r="R19" s="55">
        <v>-7.7912512459279037E-6</v>
      </c>
      <c r="S19" s="55">
        <f>VARP(Valorização!$S$2:$S$247)</f>
        <v>1.3112656150256168E-3</v>
      </c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</row>
    <row r="20" spans="1:38">
      <c r="A20" s="44" t="s">
        <v>21</v>
      </c>
      <c r="B20" s="55">
        <v>-1.9125541878867207E-6</v>
      </c>
      <c r="C20" s="55">
        <v>1.5414457365527333E-5</v>
      </c>
      <c r="D20" s="55">
        <v>1.7406500810489862E-6</v>
      </c>
      <c r="E20" s="55">
        <v>1.3877344984538858E-5</v>
      </c>
      <c r="F20" s="55">
        <v>1.1340383065802777E-5</v>
      </c>
      <c r="G20" s="55">
        <v>-1.0758476986124878E-5</v>
      </c>
      <c r="H20" s="55">
        <v>-1.9200100053795814E-5</v>
      </c>
      <c r="I20" s="55">
        <v>1.2984497950803691E-5</v>
      </c>
      <c r="J20" s="55">
        <v>-3.4806672472911225E-6</v>
      </c>
      <c r="K20" s="55">
        <v>1.8071587931924767E-5</v>
      </c>
      <c r="L20" s="55">
        <v>1.0851938561594359E-5</v>
      </c>
      <c r="M20" s="55">
        <v>7.0918490535598248E-6</v>
      </c>
      <c r="N20" s="55">
        <v>1.2337677881459332E-5</v>
      </c>
      <c r="O20" s="55">
        <v>1.1024428901267797E-5</v>
      </c>
      <c r="P20" s="55">
        <v>1.0541678030460708E-6</v>
      </c>
      <c r="Q20" s="55">
        <v>2.2349303107435251E-5</v>
      </c>
      <c r="R20" s="55">
        <v>-1.8618625602450848E-6</v>
      </c>
      <c r="S20" s="55">
        <v>1.4946696932011807E-5</v>
      </c>
      <c r="T20" s="55">
        <f>VARP(Valorização!$T$2:$T$247)</f>
        <v>4.9990309731700146E-4</v>
      </c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</row>
    <row r="21" spans="1:38">
      <c r="A21" s="44" t="s">
        <v>22</v>
      </c>
      <c r="B21" s="55">
        <v>-2.0798736918156935E-5</v>
      </c>
      <c r="C21" s="55">
        <v>1.1663081882281705E-5</v>
      </c>
      <c r="D21" s="55">
        <v>4.6809330886120178E-5</v>
      </c>
      <c r="E21" s="55">
        <v>-1.2630041731997465E-6</v>
      </c>
      <c r="F21" s="55">
        <v>5.2517473583586747E-5</v>
      </c>
      <c r="G21" s="55">
        <v>8.5795983992570314E-5</v>
      </c>
      <c r="H21" s="55">
        <v>7.5479556632538605E-5</v>
      </c>
      <c r="I21" s="55">
        <v>7.1949599395116289E-5</v>
      </c>
      <c r="J21" s="55">
        <v>1.672083108284962E-7</v>
      </c>
      <c r="K21" s="55">
        <v>2.1974798942027279E-5</v>
      </c>
      <c r="L21" s="55">
        <v>-7.4978508231445995E-5</v>
      </c>
      <c r="M21" s="55">
        <v>7.3879179998095586E-5</v>
      </c>
      <c r="N21" s="55">
        <v>1.1254034090443081E-4</v>
      </c>
      <c r="O21" s="55">
        <v>-1.7703581420392707E-5</v>
      </c>
      <c r="P21" s="55">
        <v>1.9834425344023986E-5</v>
      </c>
      <c r="Q21" s="55">
        <v>9.0642695101295022E-5</v>
      </c>
      <c r="R21" s="55">
        <v>1.3876746327189473E-4</v>
      </c>
      <c r="S21" s="55">
        <v>1.856423086364041E-5</v>
      </c>
      <c r="T21" s="55">
        <v>-1.5998260223744213E-5</v>
      </c>
      <c r="U21" s="55">
        <f>VARP(Valorização!$U$2:$U$247)</f>
        <v>2.2154054744187473E-4</v>
      </c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</row>
    <row r="22" spans="1:38">
      <c r="A22" s="44" t="s">
        <v>23</v>
      </c>
      <c r="B22" s="55">
        <v>9.5586420502572093E-6</v>
      </c>
      <c r="C22" s="55">
        <v>4.4956686449008782E-6</v>
      </c>
      <c r="D22" s="55">
        <v>8.5458063540917171E-6</v>
      </c>
      <c r="E22" s="55">
        <v>1.1081657143686924E-5</v>
      </c>
      <c r="F22" s="55">
        <v>4.5158594374862888E-6</v>
      </c>
      <c r="G22" s="55">
        <v>8.7799089396579217E-6</v>
      </c>
      <c r="H22" s="55">
        <v>3.1074607855706129E-6</v>
      </c>
      <c r="I22" s="55">
        <v>1.2190784610715734E-5</v>
      </c>
      <c r="J22" s="55">
        <v>1.1223415477237838E-5</v>
      </c>
      <c r="K22" s="55">
        <v>4.7910709321078855E-6</v>
      </c>
      <c r="L22" s="55">
        <v>-7.9193937164882311E-6</v>
      </c>
      <c r="M22" s="55">
        <v>1.0710163468667821E-5</v>
      </c>
      <c r="N22" s="55">
        <v>7.579080730851818E-6</v>
      </c>
      <c r="O22" s="55">
        <v>1.3850885789098613E-5</v>
      </c>
      <c r="P22" s="55">
        <v>1.2956116068041096E-5</v>
      </c>
      <c r="Q22" s="55">
        <v>2.4796020723665254E-5</v>
      </c>
      <c r="R22" s="55">
        <v>3.1364683420887594E-6</v>
      </c>
      <c r="S22" s="55">
        <v>1.9092768870192733E-5</v>
      </c>
      <c r="T22" s="55">
        <v>4.4587215942940546E-6</v>
      </c>
      <c r="U22" s="55">
        <v>2.7716649270575031E-5</v>
      </c>
      <c r="V22" s="55">
        <f>VARP(Valorização!$V$2:$V$247)</f>
        <v>2.5762084286455426E-4</v>
      </c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spans="1:38">
      <c r="A23" s="44" t="s">
        <v>24</v>
      </c>
      <c r="B23" s="55">
        <v>-7.8838641463857915E-6</v>
      </c>
      <c r="C23" s="55">
        <v>-5.1825387811701341E-6</v>
      </c>
      <c r="D23" s="55">
        <v>3.2267133108719185E-6</v>
      </c>
      <c r="E23" s="55">
        <v>-1.826167069760119E-5</v>
      </c>
      <c r="F23" s="55">
        <v>-6.613590887261276E-6</v>
      </c>
      <c r="G23" s="55">
        <v>4.3152063214651517E-6</v>
      </c>
      <c r="H23" s="55">
        <v>-7.4164206824879868E-6</v>
      </c>
      <c r="I23" s="55">
        <v>-1.2717929908102662E-5</v>
      </c>
      <c r="J23" s="55">
        <v>6.4079438385101443E-6</v>
      </c>
      <c r="K23" s="55">
        <v>3.6161542394396164E-6</v>
      </c>
      <c r="L23" s="55">
        <v>-2.4700705506068826E-6</v>
      </c>
      <c r="M23" s="55">
        <v>9.6083784682276439E-6</v>
      </c>
      <c r="N23" s="55">
        <v>-2.9137168379657367E-6</v>
      </c>
      <c r="O23" s="55">
        <v>8.2806482685316785E-6</v>
      </c>
      <c r="P23" s="55">
        <v>-3.3509779635503462E-5</v>
      </c>
      <c r="Q23" s="55">
        <v>-5.7605773395893177E-6</v>
      </c>
      <c r="R23" s="55">
        <v>-7.732363740273612E-6</v>
      </c>
      <c r="S23" s="55">
        <v>-2.5440916510165059E-6</v>
      </c>
      <c r="T23" s="55">
        <v>3.1197004022906292E-6</v>
      </c>
      <c r="U23" s="55">
        <v>1.9630384925564642E-6</v>
      </c>
      <c r="V23" s="55">
        <v>1.8411289931919146E-7</v>
      </c>
      <c r="W23" s="55">
        <f>VARP(Valorização!$W$2:$W$247)</f>
        <v>3.1455528726640294E-4</v>
      </c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</row>
    <row r="24" spans="1:38">
      <c r="A24" s="44" t="s">
        <v>25</v>
      </c>
      <c r="B24" s="55">
        <v>7.2418001320352255E-6</v>
      </c>
      <c r="C24" s="55">
        <v>1.3225238954752743E-5</v>
      </c>
      <c r="D24" s="55">
        <v>6.8562868144508279E-7</v>
      </c>
      <c r="E24" s="55">
        <v>1.0229121444073786E-5</v>
      </c>
      <c r="F24" s="55">
        <v>2.6595286798517284E-7</v>
      </c>
      <c r="G24" s="55">
        <v>1.5036367101135206E-5</v>
      </c>
      <c r="H24" s="55">
        <v>1.6641048449298442E-5</v>
      </c>
      <c r="I24" s="55">
        <v>2.4595521870089582E-6</v>
      </c>
      <c r="J24" s="55">
        <v>1.2066619183356242E-5</v>
      </c>
      <c r="K24" s="55">
        <v>6.4650709485266684E-6</v>
      </c>
      <c r="L24" s="55">
        <v>1.0499842520193017E-5</v>
      </c>
      <c r="M24" s="55">
        <v>1.8181794793489192E-5</v>
      </c>
      <c r="N24" s="55">
        <v>1.7608926500099905E-5</v>
      </c>
      <c r="O24" s="55">
        <v>4.329705940542053E-6</v>
      </c>
      <c r="P24" s="55">
        <v>-7.8731908214748601E-6</v>
      </c>
      <c r="Q24" s="55">
        <v>7.5552484910563505E-6</v>
      </c>
      <c r="R24" s="55">
        <v>-1.3482294408365328E-6</v>
      </c>
      <c r="S24" s="55">
        <v>1.0565783414388824E-5</v>
      </c>
      <c r="T24" s="55">
        <v>7.1672909851398178E-6</v>
      </c>
      <c r="U24" s="55">
        <v>5.6952184301101976E-6</v>
      </c>
      <c r="V24" s="55">
        <v>1.593593192228342E-6</v>
      </c>
      <c r="W24" s="55">
        <v>1.1720529907954659E-5</v>
      </c>
      <c r="X24" s="55">
        <f>VARP(Valorização!$X$2:$X$247)</f>
        <v>3.1678860817496468E-4</v>
      </c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</row>
    <row r="25" spans="1:38">
      <c r="A25" s="44" t="s">
        <v>26</v>
      </c>
      <c r="B25" s="55">
        <v>-1.5497911324805734E-5</v>
      </c>
      <c r="C25" s="55">
        <v>1.8934367814250348E-6</v>
      </c>
      <c r="D25" s="55">
        <v>2.1257115211875688E-5</v>
      </c>
      <c r="E25" s="55">
        <v>-1.0046377796917775E-5</v>
      </c>
      <c r="F25" s="55">
        <v>3.9654649564538961E-6</v>
      </c>
      <c r="G25" s="55">
        <v>-1.685469708574062E-5</v>
      </c>
      <c r="H25" s="55">
        <v>2.1732908517715538E-6</v>
      </c>
      <c r="I25" s="55">
        <v>8.8699526736675614E-6</v>
      </c>
      <c r="J25" s="55">
        <v>-3.800023512720104E-6</v>
      </c>
      <c r="K25" s="55">
        <v>-7.2757237788521424E-6</v>
      </c>
      <c r="L25" s="55">
        <v>-8.6700078636574232E-6</v>
      </c>
      <c r="M25" s="55">
        <v>1.570001403781996E-6</v>
      </c>
      <c r="N25" s="55">
        <v>3.8058397559356715E-6</v>
      </c>
      <c r="O25" s="55">
        <v>2.2167231541387148E-5</v>
      </c>
      <c r="P25" s="55">
        <v>2.7176474275594253E-5</v>
      </c>
      <c r="Q25" s="55">
        <v>-1.956064027705683E-5</v>
      </c>
      <c r="R25" s="55">
        <v>3.8547191096518303E-6</v>
      </c>
      <c r="S25" s="55">
        <v>-6.6046878453682102E-7</v>
      </c>
      <c r="T25" s="55">
        <v>-6.0472843629500325E-6</v>
      </c>
      <c r="U25" s="55">
        <v>-1.4100185123218638E-5</v>
      </c>
      <c r="V25" s="55">
        <v>4.389337718553981E-6</v>
      </c>
      <c r="W25" s="55">
        <v>-3.2555668412290912E-6</v>
      </c>
      <c r="X25" s="55">
        <v>6.4131633419572783E-6</v>
      </c>
      <c r="Y25" s="55">
        <f>VARP(Valorização!$Y$2:$Y$247)</f>
        <v>2.5710188948087782E-4</v>
      </c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</row>
    <row r="26" spans="1:38">
      <c r="A26" s="44" t="s">
        <v>27</v>
      </c>
      <c r="B26" s="55">
        <v>5.1153436878577121E-6</v>
      </c>
      <c r="C26" s="55">
        <v>1.9854990164008508E-6</v>
      </c>
      <c r="D26" s="55">
        <v>8.715733158328695E-6</v>
      </c>
      <c r="E26" s="55">
        <v>1.6484006913756453E-5</v>
      </c>
      <c r="F26" s="55">
        <v>2.1326822675680927E-5</v>
      </c>
      <c r="G26" s="55">
        <v>2.2978337613290212E-5</v>
      </c>
      <c r="H26" s="55">
        <v>1.6925526590336913E-5</v>
      </c>
      <c r="I26" s="55">
        <v>3.958127097271174E-6</v>
      </c>
      <c r="J26" s="55">
        <v>1.3327991939185277E-5</v>
      </c>
      <c r="K26" s="55">
        <v>6.5740330992491081E-6</v>
      </c>
      <c r="L26" s="55">
        <v>1.6347263950779912E-7</v>
      </c>
      <c r="M26" s="55">
        <v>2.4423311266298872E-5</v>
      </c>
      <c r="N26" s="55">
        <v>3.2795690340113728E-5</v>
      </c>
      <c r="O26" s="55">
        <v>2.2612606018519329E-5</v>
      </c>
      <c r="P26" s="55">
        <v>-1.9506293071351485E-5</v>
      </c>
      <c r="Q26" s="55">
        <v>2.3336193870909122E-5</v>
      </c>
      <c r="R26" s="55">
        <v>-1.0023701267200566E-5</v>
      </c>
      <c r="S26" s="55">
        <v>1.0787982650076957E-5</v>
      </c>
      <c r="T26" s="55">
        <v>1.9018644411814773E-5</v>
      </c>
      <c r="U26" s="55">
        <v>-4.2291722586960656E-5</v>
      </c>
      <c r="V26" s="55">
        <v>7.4015082958354425E-6</v>
      </c>
      <c r="W26" s="55">
        <v>2.0882493874863695E-5</v>
      </c>
      <c r="X26" s="55">
        <v>1.8529531422789754E-5</v>
      </c>
      <c r="Y26" s="55">
        <v>3.5908432999921556E-6</v>
      </c>
      <c r="Z26" s="55">
        <f>VARP(Valorização!$Z$2:$Z$247)</f>
        <v>8.5216669548766758E-4</v>
      </c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</row>
    <row r="27" spans="1:38">
      <c r="A27" s="44" t="s">
        <v>28</v>
      </c>
      <c r="B27" s="55">
        <v>-4.0668526588569588E-5</v>
      </c>
      <c r="C27" s="55">
        <v>-5.8097372253019226E-6</v>
      </c>
      <c r="D27" s="55">
        <v>-3.5074252915445643E-5</v>
      </c>
      <c r="E27" s="55">
        <v>1.323754776037621E-4</v>
      </c>
      <c r="F27" s="55">
        <v>-1.6290543324761126E-4</v>
      </c>
      <c r="G27" s="55">
        <v>-7.5327801277665657E-5</v>
      </c>
      <c r="H27" s="55">
        <v>-1.0790997099473568E-4</v>
      </c>
      <c r="I27" s="55">
        <v>-1.0464688128871413E-5</v>
      </c>
      <c r="J27" s="55">
        <v>3.0122392190469175E-5</v>
      </c>
      <c r="K27" s="55">
        <v>-1.1371943835042731E-5</v>
      </c>
      <c r="L27" s="55">
        <v>3.1676428759773834E-6</v>
      </c>
      <c r="M27" s="55">
        <v>-6.4824510021297034E-5</v>
      </c>
      <c r="N27" s="55">
        <v>-6.7988618301267946E-5</v>
      </c>
      <c r="O27" s="55">
        <v>-5.0876198852508155E-5</v>
      </c>
      <c r="P27" s="55">
        <v>1.0736779566627475E-5</v>
      </c>
      <c r="Q27" s="55">
        <v>-1.2893257918088305E-4</v>
      </c>
      <c r="R27" s="55">
        <v>-2.1016253202798684E-5</v>
      </c>
      <c r="S27" s="55">
        <v>3.18045258249745E-5</v>
      </c>
      <c r="T27" s="55">
        <v>3.0494949631491447E-5</v>
      </c>
      <c r="U27" s="55">
        <v>1.3935829732450442E-5</v>
      </c>
      <c r="V27" s="55">
        <v>-1.1927727021194231E-5</v>
      </c>
      <c r="W27" s="55">
        <v>2.7892034503401404E-6</v>
      </c>
      <c r="X27" s="55">
        <v>4.1124407505926753E-6</v>
      </c>
      <c r="Y27" s="55">
        <v>1.705508520307511E-5</v>
      </c>
      <c r="Z27" s="55">
        <v>-2.1702468126177287E-5</v>
      </c>
      <c r="AA27" s="55">
        <f>VARP(Valorização!$AA$2:$AA$247)</f>
        <v>4.9713894295684363E-4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</row>
    <row r="28" spans="1:38">
      <c r="A28" s="44" t="s">
        <v>29</v>
      </c>
      <c r="B28" s="55">
        <v>9.5747314699275919E-5</v>
      </c>
      <c r="C28" s="55">
        <v>1.119515505595261E-4</v>
      </c>
      <c r="D28" s="55">
        <v>9.0798152407962763E-5</v>
      </c>
      <c r="E28" s="55">
        <v>8.6624065335374117E-5</v>
      </c>
      <c r="F28" s="55">
        <v>1.0003710703529182E-4</v>
      </c>
      <c r="G28" s="55">
        <v>1.4170013023988913E-4</v>
      </c>
      <c r="H28" s="55">
        <v>1.3693016953600828E-4</v>
      </c>
      <c r="I28" s="55">
        <v>5.9097012618312652E-5</v>
      </c>
      <c r="J28" s="55">
        <v>1.0895757478116946E-4</v>
      </c>
      <c r="K28" s="55">
        <v>8.6219896326157226E-5</v>
      </c>
      <c r="L28" s="55">
        <v>-1.6367200437510855E-5</v>
      </c>
      <c r="M28" s="55">
        <v>8.7679245675177493E-5</v>
      </c>
      <c r="N28" s="55">
        <v>9.7582219707062617E-5</v>
      </c>
      <c r="O28" s="55">
        <v>4.6987998419218933E-5</v>
      </c>
      <c r="P28" s="55">
        <v>4.9574519480279488E-5</v>
      </c>
      <c r="Q28" s="55">
        <v>9.3136335677791536E-5</v>
      </c>
      <c r="R28" s="55">
        <v>-1.0915816672465425E-5</v>
      </c>
      <c r="S28" s="55">
        <v>1.3843795958559104E-4</v>
      </c>
      <c r="T28" s="55">
        <v>4.9489975733914884E-6</v>
      </c>
      <c r="U28" s="55">
        <v>1.5165235503816368E-5</v>
      </c>
      <c r="V28" s="55">
        <v>6.2096625091867372E-6</v>
      </c>
      <c r="W28" s="55">
        <v>5.1931521773634891E-6</v>
      </c>
      <c r="X28" s="55">
        <v>4.1223704400841096E-6</v>
      </c>
      <c r="Y28" s="55">
        <v>-3.9776457411139594E-6</v>
      </c>
      <c r="Z28" s="55">
        <v>1.5924385524930832E-5</v>
      </c>
      <c r="AA28" s="55">
        <v>-2.165644197172236E-5</v>
      </c>
      <c r="AB28" s="55">
        <f>VARP(Valorização!$AB$2:$AB$247)</f>
        <v>2.4866057936794406E-3</v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</row>
    <row r="29" spans="1:38">
      <c r="A29" s="44" t="s">
        <v>30</v>
      </c>
      <c r="B29" s="55">
        <v>1.5134610909911554E-5</v>
      </c>
      <c r="C29" s="55">
        <v>2.0959674349746166E-5</v>
      </c>
      <c r="D29" s="55">
        <v>2.8282145787552448E-5</v>
      </c>
      <c r="E29" s="55">
        <v>4.6824881431002545E-5</v>
      </c>
      <c r="F29" s="55">
        <v>1.9298993730598975E-5</v>
      </c>
      <c r="G29" s="55">
        <v>1.3652861803520454E-5</v>
      </c>
      <c r="H29" s="55">
        <v>-2.6191755620819814E-5</v>
      </c>
      <c r="I29" s="55">
        <v>9.4392364598011928E-6</v>
      </c>
      <c r="J29" s="55">
        <v>2.0800224127268215E-5</v>
      </c>
      <c r="K29" s="55">
        <v>4.0138836693042521E-5</v>
      </c>
      <c r="L29" s="55">
        <v>1.1791061813666928E-5</v>
      </c>
      <c r="M29" s="55">
        <v>1.9916636274106703E-5</v>
      </c>
      <c r="N29" s="55">
        <v>2.4950402828391131E-5</v>
      </c>
      <c r="O29" s="55">
        <v>2.1461040683791846E-5</v>
      </c>
      <c r="P29" s="55">
        <v>4.6476995205242414E-5</v>
      </c>
      <c r="Q29" s="55">
        <v>6.9652454311455473E-6</v>
      </c>
      <c r="R29" s="55">
        <v>2.6725950447094409E-5</v>
      </c>
      <c r="S29" s="55">
        <v>5.6929368617118915E-5</v>
      </c>
      <c r="T29" s="55">
        <v>9.4132760651661083E-6</v>
      </c>
      <c r="U29" s="55">
        <v>-6.1764596614490505E-5</v>
      </c>
      <c r="V29" s="55">
        <v>5.4241314020725692E-6</v>
      </c>
      <c r="W29" s="55">
        <v>-1.21098455894429E-5</v>
      </c>
      <c r="X29" s="55">
        <v>-2.4217000170063519E-6</v>
      </c>
      <c r="Y29" s="55">
        <v>2.8159127537871874E-5</v>
      </c>
      <c r="Z29" s="55">
        <v>4.8546528754882837E-6</v>
      </c>
      <c r="AA29" s="55">
        <v>3.2999627656544266E-5</v>
      </c>
      <c r="AB29" s="55">
        <v>6.1481478042238528E-5</v>
      </c>
      <c r="AC29" s="55">
        <f>VARP(Valorização!$AC$2:$AC$247)</f>
        <v>1.8017711551932723E-3</v>
      </c>
      <c r="AD29" s="55"/>
      <c r="AE29" s="55"/>
      <c r="AF29" s="55"/>
      <c r="AG29" s="55"/>
      <c r="AH29" s="55"/>
      <c r="AI29" s="55"/>
      <c r="AJ29" s="55"/>
      <c r="AK29" s="55"/>
      <c r="AL29" s="55"/>
    </row>
    <row r="30" spans="1:38">
      <c r="A30" s="44" t="s">
        <v>31</v>
      </c>
      <c r="B30" s="55">
        <v>9.2328415131181764E-5</v>
      </c>
      <c r="C30" s="55">
        <v>8.3859008128729662E-5</v>
      </c>
      <c r="D30" s="55">
        <v>5.4047836958824599E-5</v>
      </c>
      <c r="E30" s="55">
        <v>6.5306342705300581E-5</v>
      </c>
      <c r="F30" s="55">
        <v>8.1952620570594861E-5</v>
      </c>
      <c r="G30" s="55">
        <v>1.2096073473945388E-4</v>
      </c>
      <c r="H30" s="55">
        <v>1.3479050352203833E-4</v>
      </c>
      <c r="I30" s="55">
        <v>3.6693778767977022E-5</v>
      </c>
      <c r="J30" s="55">
        <v>1.1197627589256127E-4</v>
      </c>
      <c r="K30" s="55">
        <v>9.660410096671715E-5</v>
      </c>
      <c r="L30" s="55">
        <v>-1.4834591729779514E-5</v>
      </c>
      <c r="M30" s="55">
        <v>6.5429823985653987E-5</v>
      </c>
      <c r="N30" s="55">
        <v>5.357149389535401E-5</v>
      </c>
      <c r="O30" s="55">
        <v>4.205535536026395E-5</v>
      </c>
      <c r="P30" s="55">
        <v>9.8052700279862895E-5</v>
      </c>
      <c r="Q30" s="55">
        <v>6.5836208950616979E-5</v>
      </c>
      <c r="R30" s="55">
        <v>-1.5899986378173684E-5</v>
      </c>
      <c r="S30" s="55">
        <v>1.1704079658830703E-4</v>
      </c>
      <c r="T30" s="55">
        <v>-7.7791847672740458E-7</v>
      </c>
      <c r="U30" s="55">
        <v>-1.2733194266178334E-5</v>
      </c>
      <c r="V30" s="55">
        <v>2.4405521988299703E-6</v>
      </c>
      <c r="W30" s="55">
        <v>8.5290318324045093E-6</v>
      </c>
      <c r="X30" s="55">
        <v>1.5232481872021242E-5</v>
      </c>
      <c r="Y30" s="55">
        <v>-3.9348409535359885E-5</v>
      </c>
      <c r="Z30" s="55">
        <v>1.8532639594417323E-5</v>
      </c>
      <c r="AA30" s="55">
        <v>-7.9610474514286417E-5</v>
      </c>
      <c r="AB30" s="55">
        <v>1.0391464081213947E-4</v>
      </c>
      <c r="AC30" s="55">
        <v>4.4397044590163014E-6</v>
      </c>
      <c r="AD30" s="55">
        <f>VARP(Valorização!$AD$2:$AD$247)</f>
        <v>1.0714989665259759E-3</v>
      </c>
      <c r="AE30" s="55"/>
      <c r="AF30" s="55"/>
      <c r="AG30" s="55"/>
      <c r="AH30" s="55"/>
      <c r="AI30" s="55"/>
      <c r="AJ30" s="55"/>
      <c r="AK30" s="55"/>
      <c r="AL30" s="55"/>
    </row>
    <row r="31" spans="1:38">
      <c r="A31" s="44" t="s">
        <v>32</v>
      </c>
      <c r="B31" s="55">
        <v>1.9174825428986077E-5</v>
      </c>
      <c r="C31" s="55">
        <v>6.9769579115267873E-6</v>
      </c>
      <c r="D31" s="55">
        <v>1.0829052991593312E-5</v>
      </c>
      <c r="E31" s="55">
        <v>8.695547411420408E-6</v>
      </c>
      <c r="F31" s="55">
        <v>2.4161637929849017E-6</v>
      </c>
      <c r="G31" s="55">
        <v>2.3255134270607135E-5</v>
      </c>
      <c r="H31" s="55">
        <v>5.6900940179877914E-5</v>
      </c>
      <c r="I31" s="55">
        <v>1.4605235626262217E-5</v>
      </c>
      <c r="J31" s="55">
        <v>1.9137705984051069E-5</v>
      </c>
      <c r="K31" s="55">
        <v>1.0593807711637823E-5</v>
      </c>
      <c r="L31" s="55">
        <v>-8.1951435927334241E-6</v>
      </c>
      <c r="M31" s="55">
        <v>6.160137430978723E-6</v>
      </c>
      <c r="N31" s="55">
        <v>1.1336577175612354E-5</v>
      </c>
      <c r="O31" s="55">
        <v>-4.4571524453666878E-6</v>
      </c>
      <c r="P31" s="55">
        <v>1.1839359418068834E-6</v>
      </c>
      <c r="Q31" s="55">
        <v>-2.0818605567411076E-5</v>
      </c>
      <c r="R31" s="55">
        <v>5.3511973304298768E-6</v>
      </c>
      <c r="S31" s="55">
        <v>-9.0118839255828871E-8</v>
      </c>
      <c r="T31" s="55">
        <v>-2.4800847892070212E-6</v>
      </c>
      <c r="U31" s="55">
        <v>5.4098280374454267E-5</v>
      </c>
      <c r="V31" s="55">
        <v>4.5737817672350175E-6</v>
      </c>
      <c r="W31" s="55">
        <v>3.9714901791030442E-6</v>
      </c>
      <c r="X31" s="55">
        <v>6.8813862532629486E-6</v>
      </c>
      <c r="Y31" s="55">
        <v>-4.332455368136249E-6</v>
      </c>
      <c r="Z31" s="55">
        <v>8.6177879647733714E-6</v>
      </c>
      <c r="AA31" s="55">
        <v>1.2496758054567906E-5</v>
      </c>
      <c r="AB31" s="55">
        <v>5.4824684080776028E-6</v>
      </c>
      <c r="AC31" s="55">
        <v>-8.6194077555581086E-6</v>
      </c>
      <c r="AD31" s="55">
        <v>2.1652571574767167E-5</v>
      </c>
      <c r="AE31" s="55">
        <f>VARP(Valorização!$AE$2:$AE$247)</f>
        <v>2.7145380541981684E-4</v>
      </c>
      <c r="AF31" s="55"/>
      <c r="AG31" s="55"/>
      <c r="AH31" s="55"/>
      <c r="AI31" s="55"/>
      <c r="AJ31" s="55"/>
      <c r="AK31" s="55"/>
      <c r="AL31" s="55"/>
    </row>
    <row r="32" spans="1:38">
      <c r="A32" s="44" t="s">
        <v>33</v>
      </c>
      <c r="B32" s="55">
        <v>8.8046027532680336E-5</v>
      </c>
      <c r="C32" s="55">
        <v>9.7080295657181624E-5</v>
      </c>
      <c r="D32" s="55">
        <v>9.5315909821759562E-5</v>
      </c>
      <c r="E32" s="55">
        <v>6.941762317336075E-5</v>
      </c>
      <c r="F32" s="55">
        <v>1.0112601110257073E-4</v>
      </c>
      <c r="G32" s="55">
        <v>1.44161538267742E-4</v>
      </c>
      <c r="H32" s="55">
        <v>9.7086623238196252E-5</v>
      </c>
      <c r="I32" s="55">
        <v>5.240427933739559E-5</v>
      </c>
      <c r="J32" s="55">
        <v>1.2958268013998857E-4</v>
      </c>
      <c r="K32" s="55">
        <v>7.5857352665361421E-5</v>
      </c>
      <c r="L32" s="55">
        <v>-1.039413621414544E-6</v>
      </c>
      <c r="M32" s="55">
        <v>7.4006809774839776E-5</v>
      </c>
      <c r="N32" s="55">
        <v>4.5893290460360214E-5</v>
      </c>
      <c r="O32" s="55">
        <v>6.3742340569179033E-5</v>
      </c>
      <c r="P32" s="55">
        <v>8.9985825867929477E-5</v>
      </c>
      <c r="Q32" s="55">
        <v>8.6452790882496475E-5</v>
      </c>
      <c r="R32" s="55">
        <v>-1.8936939908226864E-5</v>
      </c>
      <c r="S32" s="55">
        <v>9.753232862957543E-5</v>
      </c>
      <c r="T32" s="55">
        <v>-9.3803994905540032E-6</v>
      </c>
      <c r="U32" s="55">
        <v>4.9854313284742748E-6</v>
      </c>
      <c r="V32" s="55">
        <v>1.1205748741713153E-5</v>
      </c>
      <c r="W32" s="55">
        <v>-2.5793500025364636E-6</v>
      </c>
      <c r="X32" s="55">
        <v>1.3608750714655137E-5</v>
      </c>
      <c r="Y32" s="55">
        <v>-2.0962466350931786E-5</v>
      </c>
      <c r="Z32" s="55">
        <v>1.2878776419950811E-5</v>
      </c>
      <c r="AA32" s="55">
        <v>-1.2437724301352095E-5</v>
      </c>
      <c r="AB32" s="55">
        <v>8.3681982604503474E-5</v>
      </c>
      <c r="AC32" s="55">
        <v>2.8392167220915925E-5</v>
      </c>
      <c r="AD32" s="55">
        <v>9.7950369761498569E-5</v>
      </c>
      <c r="AE32" s="55">
        <v>2.3131379203592358E-6</v>
      </c>
      <c r="AF32" s="55">
        <f>VARP(Valorização!$AF$2:$AF$247)</f>
        <v>1.1627058228438579E-3</v>
      </c>
      <c r="AG32" s="55"/>
      <c r="AH32" s="55"/>
      <c r="AI32" s="55"/>
      <c r="AJ32" s="55"/>
      <c r="AK32" s="55"/>
      <c r="AL32" s="55"/>
    </row>
    <row r="33" spans="1:38">
      <c r="A33" s="44" t="s">
        <v>34</v>
      </c>
      <c r="B33" s="55">
        <v>1.5777785502984492E-4</v>
      </c>
      <c r="C33" s="55">
        <v>1.6245001537675851E-4</v>
      </c>
      <c r="D33" s="55">
        <v>1.4297379470754775E-4</v>
      </c>
      <c r="E33" s="55">
        <v>1.2339023335704701E-4</v>
      </c>
      <c r="F33" s="55">
        <v>1.3636567462345551E-4</v>
      </c>
      <c r="G33" s="55">
        <v>2.3356535078699166E-4</v>
      </c>
      <c r="H33" s="55">
        <v>1.5295569611680447E-4</v>
      </c>
      <c r="I33" s="55">
        <v>6.0539447432461657E-5</v>
      </c>
      <c r="J33" s="55">
        <v>2.1406274052136506E-4</v>
      </c>
      <c r="K33" s="55">
        <v>1.1647020683738469E-4</v>
      </c>
      <c r="L33" s="55">
        <v>-1.3870197917696339E-5</v>
      </c>
      <c r="M33" s="55">
        <v>1.3110030778305465E-4</v>
      </c>
      <c r="N33" s="55">
        <v>1.2608969864116629E-4</v>
      </c>
      <c r="O33" s="55">
        <v>8.4140487468637115E-5</v>
      </c>
      <c r="P33" s="55">
        <v>1.3970850820061006E-4</v>
      </c>
      <c r="Q33" s="55">
        <v>8.7612000263651501E-5</v>
      </c>
      <c r="R33" s="55">
        <v>-6.8876774927300181E-6</v>
      </c>
      <c r="S33" s="55">
        <v>1.9494091844041801E-4</v>
      </c>
      <c r="T33" s="55">
        <v>8.7687646888613228E-6</v>
      </c>
      <c r="U33" s="55">
        <v>3.0765040875791373E-5</v>
      </c>
      <c r="V33" s="55">
        <v>2.2560662543830682E-5</v>
      </c>
      <c r="W33" s="55">
        <v>1.868689372094549E-6</v>
      </c>
      <c r="X33" s="55">
        <v>1.9412614128352931E-5</v>
      </c>
      <c r="Y33" s="55">
        <v>5.7968428849991273E-6</v>
      </c>
      <c r="Z33" s="55">
        <v>3.1193220158037401E-5</v>
      </c>
      <c r="AA33" s="55">
        <v>-4.1126770715192064E-5</v>
      </c>
      <c r="AB33" s="55">
        <v>1.8314179794780904E-4</v>
      </c>
      <c r="AC33" s="55">
        <v>4.8847845879835565E-5</v>
      </c>
      <c r="AD33" s="55">
        <v>1.349737391675721E-4</v>
      </c>
      <c r="AE33" s="55">
        <v>2.1008302482037379E-5</v>
      </c>
      <c r="AF33" s="55">
        <v>1.4403050224013074E-4</v>
      </c>
      <c r="AG33" s="55">
        <f>VARP(Valorização!$AG$2:$AG$247)</f>
        <v>1.1903734414328165E-3</v>
      </c>
      <c r="AH33" s="55"/>
      <c r="AI33" s="55"/>
      <c r="AJ33" s="55"/>
      <c r="AK33" s="55"/>
      <c r="AL33" s="55"/>
    </row>
    <row r="34" spans="1:38">
      <c r="A34" s="44" t="s">
        <v>35</v>
      </c>
      <c r="B34" s="55">
        <v>7.7738125705254227E-6</v>
      </c>
      <c r="C34" s="55">
        <v>1.7138675518847491E-5</v>
      </c>
      <c r="D34" s="55">
        <v>-1.8070653422724197E-5</v>
      </c>
      <c r="E34" s="55">
        <v>-6.0565587643558028E-5</v>
      </c>
      <c r="F34" s="55">
        <v>1.3865272337699555E-5</v>
      </c>
      <c r="G34" s="55">
        <v>-4.1086404303717959E-5</v>
      </c>
      <c r="H34" s="55">
        <v>-2.4711422810656344E-5</v>
      </c>
      <c r="I34" s="55">
        <v>2.0772600199971694E-5</v>
      </c>
      <c r="J34" s="55">
        <v>-1.5974253835025455E-6</v>
      </c>
      <c r="K34" s="55">
        <v>2.0109249937876473E-5</v>
      </c>
      <c r="L34" s="55">
        <v>2.329143868621663E-5</v>
      </c>
      <c r="M34" s="55">
        <v>-1.3989523771817566E-6</v>
      </c>
      <c r="N34" s="55">
        <v>3.6699485580381638E-5</v>
      </c>
      <c r="O34" s="55">
        <v>2.1705092950379439E-5</v>
      </c>
      <c r="P34" s="55">
        <v>-1.6907566400025303E-5</v>
      </c>
      <c r="Q34" s="55">
        <v>-1.6504373308565212E-5</v>
      </c>
      <c r="R34" s="55">
        <v>1.0740106706770154E-4</v>
      </c>
      <c r="S34" s="55">
        <v>1.3202844446896674E-5</v>
      </c>
      <c r="T34" s="55">
        <v>3.0278073474350523E-5</v>
      </c>
      <c r="U34" s="55">
        <v>-8.0676775483356524E-5</v>
      </c>
      <c r="V34" s="55">
        <v>1.4177549397527162E-5</v>
      </c>
      <c r="W34" s="55">
        <v>3.053929762447722E-6</v>
      </c>
      <c r="X34" s="55">
        <v>2.5725099714871378E-5</v>
      </c>
      <c r="Y34" s="55">
        <v>6.3251746040251685E-6</v>
      </c>
      <c r="Z34" s="55">
        <v>6.5427724698419874E-6</v>
      </c>
      <c r="AA34" s="55">
        <v>-1.3449638035063546E-4</v>
      </c>
      <c r="AB34" s="55">
        <v>1.6388087170055875E-5</v>
      </c>
      <c r="AC34" s="55">
        <v>1.2131188313323971E-4</v>
      </c>
      <c r="AD34" s="55">
        <v>1.2585173428985049E-5</v>
      </c>
      <c r="AE34" s="55">
        <v>-1.4379717017259311E-5</v>
      </c>
      <c r="AF34" s="55">
        <v>6.381791004638028E-6</v>
      </c>
      <c r="AG34" s="55">
        <v>1.5067732530286392E-5</v>
      </c>
      <c r="AH34" s="55">
        <f>VARP(Valorização!$AH$2:$AH$247)</f>
        <v>1.8569704661684204E-3</v>
      </c>
      <c r="AI34" s="55"/>
      <c r="AJ34" s="55"/>
      <c r="AK34" s="55"/>
      <c r="AL34" s="55"/>
    </row>
    <row r="35" spans="1:38">
      <c r="A35" s="44" t="s">
        <v>36</v>
      </c>
      <c r="B35" s="55">
        <v>5.5872337935232304E-5</v>
      </c>
      <c r="C35" s="55">
        <v>3.032848154323478E-5</v>
      </c>
      <c r="D35" s="55">
        <v>3.9514191754294323E-5</v>
      </c>
      <c r="E35" s="55">
        <v>2.6488051334267924E-4</v>
      </c>
      <c r="F35" s="55">
        <v>5.3232596318179793E-5</v>
      </c>
      <c r="G35" s="55">
        <v>6.216020327282689E-5</v>
      </c>
      <c r="H35" s="55">
        <v>1.9224354180540874E-5</v>
      </c>
      <c r="I35" s="55">
        <v>5.2933240552941881E-5</v>
      </c>
      <c r="J35" s="55">
        <v>1.1146332887844573E-4</v>
      </c>
      <c r="K35" s="55">
        <v>8.4530729862901052E-5</v>
      </c>
      <c r="L35" s="55">
        <v>-1.0285227418568885E-5</v>
      </c>
      <c r="M35" s="55">
        <v>7.8278811785336094E-5</v>
      </c>
      <c r="N35" s="55">
        <v>4.9279186139473369E-5</v>
      </c>
      <c r="O35" s="55">
        <v>5.762032272786759E-5</v>
      </c>
      <c r="P35" s="55">
        <v>9.0168057753159007E-5</v>
      </c>
      <c r="Q35" s="55">
        <v>1.6509680904747446E-4</v>
      </c>
      <c r="R35" s="55">
        <v>1.4790818948385474E-5</v>
      </c>
      <c r="S35" s="55">
        <v>1.2832361136640283E-4</v>
      </c>
      <c r="T35" s="55">
        <v>1.7234616033648848E-5</v>
      </c>
      <c r="U35" s="55">
        <v>-1.0258734794562255E-4</v>
      </c>
      <c r="V35" s="55">
        <v>1.8918071954770237E-5</v>
      </c>
      <c r="W35" s="55">
        <v>-4.6176715069459914E-6</v>
      </c>
      <c r="X35" s="55">
        <v>2.2365752360394E-5</v>
      </c>
      <c r="Y35" s="55">
        <v>-6.4435549854527629E-6</v>
      </c>
      <c r="Z35" s="55">
        <v>-2.8146493051486324E-6</v>
      </c>
      <c r="AA35" s="55">
        <v>-2.6754584662433551E-5</v>
      </c>
      <c r="AB35" s="55">
        <v>7.1107937022801333E-5</v>
      </c>
      <c r="AC35" s="55">
        <v>1.7703863639828801E-5</v>
      </c>
      <c r="AD35" s="55">
        <v>6.4183206423215007E-5</v>
      </c>
      <c r="AE35" s="55">
        <v>3.2591410724748896E-6</v>
      </c>
      <c r="AF35" s="55">
        <v>4.6674229744720231E-5</v>
      </c>
      <c r="AG35" s="55">
        <v>1.2220552405423139E-4</v>
      </c>
      <c r="AH35" s="55">
        <v>-2.6812949914333524E-6</v>
      </c>
      <c r="AI35" s="55">
        <f>VARP(Valorização!$AI$2:$AI$247)</f>
        <v>4.6020770134625327E-3</v>
      </c>
      <c r="AJ35" s="55"/>
      <c r="AK35" s="55"/>
      <c r="AL35" s="55"/>
    </row>
    <row r="36" spans="1:38">
      <c r="A36" s="44" t="s">
        <v>37</v>
      </c>
      <c r="B36" s="55">
        <v>6.632418533694723E-5</v>
      </c>
      <c r="C36" s="55">
        <v>6.2941887778176893E-5</v>
      </c>
      <c r="D36" s="55">
        <v>7.6483964974992497E-5</v>
      </c>
      <c r="E36" s="55">
        <v>8.0891697323921962E-5</v>
      </c>
      <c r="F36" s="55">
        <v>6.9334745194015392E-5</v>
      </c>
      <c r="G36" s="55">
        <v>1.0281618008489024E-4</v>
      </c>
      <c r="H36" s="55">
        <v>8.6999340878597049E-5</v>
      </c>
      <c r="I36" s="55">
        <v>3.7673529736880484E-5</v>
      </c>
      <c r="J36" s="55">
        <v>1.1196308022385951E-4</v>
      </c>
      <c r="K36" s="55">
        <v>8.880658447706503E-5</v>
      </c>
      <c r="L36" s="55">
        <v>-9.3041469613740235E-6</v>
      </c>
      <c r="M36" s="55">
        <v>7.2120611957336592E-5</v>
      </c>
      <c r="N36" s="55">
        <v>6.9460900647394842E-5</v>
      </c>
      <c r="O36" s="55">
        <v>4.446911914286613E-5</v>
      </c>
      <c r="P36" s="55">
        <v>7.2694249399874713E-5</v>
      </c>
      <c r="Q36" s="55">
        <v>4.6118923399459755E-5</v>
      </c>
      <c r="R36" s="55">
        <v>-6.9399274517254761E-6</v>
      </c>
      <c r="S36" s="55">
        <v>1.0918187360764092E-4</v>
      </c>
      <c r="T36" s="55">
        <v>6.2692538914190052E-6</v>
      </c>
      <c r="U36" s="55">
        <v>-5.0461608618873698E-6</v>
      </c>
      <c r="V36" s="55">
        <v>1.3287089307315742E-5</v>
      </c>
      <c r="W36" s="55">
        <v>-1.354658739678721E-5</v>
      </c>
      <c r="X36" s="55">
        <v>6.8954172971009837E-6</v>
      </c>
      <c r="Y36" s="55">
        <v>-1.0905809407070827E-6</v>
      </c>
      <c r="Z36" s="55">
        <v>7.7934594579330252E-6</v>
      </c>
      <c r="AA36" s="55">
        <v>-6.5328033192099672E-5</v>
      </c>
      <c r="AB36" s="55">
        <v>8.6757612730430707E-5</v>
      </c>
      <c r="AC36" s="55">
        <v>4.050084808751138E-5</v>
      </c>
      <c r="AD36" s="55">
        <v>7.2015952077236054E-5</v>
      </c>
      <c r="AE36" s="55">
        <v>7.9579062159782179E-6</v>
      </c>
      <c r="AF36" s="55">
        <v>5.7364140860629247E-5</v>
      </c>
      <c r="AG36" s="55">
        <v>1.1578871921230196E-4</v>
      </c>
      <c r="AH36" s="55">
        <v>3.1189992018504195E-6</v>
      </c>
      <c r="AI36" s="55">
        <v>6.4392167111761769E-5</v>
      </c>
      <c r="AJ36" s="55">
        <f>VARP(Valorização!$AJ$2:$AJ$247)</f>
        <v>8.6297779941043576E-4</v>
      </c>
      <c r="AK36" s="55"/>
      <c r="AL36" s="55"/>
    </row>
    <row r="37" spans="1:38">
      <c r="A37" s="44" t="s">
        <v>249</v>
      </c>
      <c r="B37" s="55">
        <v>1.1266716184551482E-4</v>
      </c>
      <c r="C37" s="55">
        <v>1.1081562469629067E-4</v>
      </c>
      <c r="D37" s="55">
        <v>1.007529040002797E-4</v>
      </c>
      <c r="E37" s="55">
        <v>1.2190659733796625E-4</v>
      </c>
      <c r="F37" s="55">
        <v>1.0840101487840438E-4</v>
      </c>
      <c r="G37" s="55">
        <v>1.9564734709857042E-4</v>
      </c>
      <c r="H37" s="55">
        <v>1.628091187288822E-4</v>
      </c>
      <c r="I37" s="55">
        <v>5.5693219556547249E-5</v>
      </c>
      <c r="J37" s="55">
        <v>1.6219307465538033E-4</v>
      </c>
      <c r="K37" s="55">
        <v>9.8925405965768495E-5</v>
      </c>
      <c r="L37" s="55">
        <v>-6.1223604181527736E-6</v>
      </c>
      <c r="M37" s="55">
        <v>9.4134520217125064E-5</v>
      </c>
      <c r="N37" s="55">
        <v>8.3155884913927046E-5</v>
      </c>
      <c r="O37" s="55">
        <v>6.3443060039998508E-5</v>
      </c>
      <c r="P37" s="55">
        <v>1.015237201033379E-4</v>
      </c>
      <c r="Q37" s="55">
        <v>1.4230761054917181E-4</v>
      </c>
      <c r="R37" s="55">
        <v>-7.7094837947063432E-6</v>
      </c>
      <c r="S37" s="55">
        <v>1.5139505332558025E-4</v>
      </c>
      <c r="T37" s="55">
        <v>4.4641139653540749E-6</v>
      </c>
      <c r="U37" s="55">
        <v>2.6629797289322161E-5</v>
      </c>
      <c r="V37" s="55">
        <v>1.5663486422218502E-5</v>
      </c>
      <c r="W37" s="55">
        <v>-3.2566315195471589E-7</v>
      </c>
      <c r="X37" s="55">
        <v>1.8753889222157372E-5</v>
      </c>
      <c r="Y37" s="55">
        <v>-1.3993830056360219E-5</v>
      </c>
      <c r="Z37" s="55">
        <v>1.9708264351264137E-5</v>
      </c>
      <c r="AA37" s="55">
        <v>-6.0465027105424856E-5</v>
      </c>
      <c r="AB37" s="55">
        <v>1.2996855594911246E-4</v>
      </c>
      <c r="AC37" s="55">
        <v>2.2094567201898038E-5</v>
      </c>
      <c r="AD37" s="55">
        <v>1.0937608630413946E-4</v>
      </c>
      <c r="AE37" s="55">
        <v>1.3019279727895571E-5</v>
      </c>
      <c r="AF37" s="55">
        <v>1.1953754640192562E-4</v>
      </c>
      <c r="AG37" s="55">
        <v>2.0480869640387644E-4</v>
      </c>
      <c r="AH37" s="55">
        <v>8.8438230097547308E-6</v>
      </c>
      <c r="AI37" s="55">
        <v>1.0201907011554899E-4</v>
      </c>
      <c r="AJ37" s="55">
        <v>8.394267469665124E-5</v>
      </c>
      <c r="AK37" s="55">
        <f>VARP(Valorização!$AK$2:$AK$247)</f>
        <v>7.8510427631306228E-4</v>
      </c>
      <c r="AL37" s="55"/>
    </row>
    <row r="38" spans="1:38" ht="15" thickBot="1">
      <c r="A38" s="45" t="s">
        <v>250</v>
      </c>
      <c r="B38" s="56">
        <v>5.7216447655681691E-5</v>
      </c>
      <c r="C38" s="56">
        <v>6.1653158932254348E-5</v>
      </c>
      <c r="D38" s="56">
        <v>7.8034375050389649E-5</v>
      </c>
      <c r="E38" s="56">
        <v>5.3332471007511785E-5</v>
      </c>
      <c r="F38" s="56">
        <v>7.7975064406010376E-5</v>
      </c>
      <c r="G38" s="56">
        <v>8.7330853242985874E-5</v>
      </c>
      <c r="H38" s="56">
        <v>3.1811197015304154E-5</v>
      </c>
      <c r="I38" s="56">
        <v>4.6688285589386474E-5</v>
      </c>
      <c r="J38" s="56">
        <v>8.8675587642593536E-5</v>
      </c>
      <c r="K38" s="56">
        <v>5.9729356838563936E-5</v>
      </c>
      <c r="L38" s="56">
        <v>-1.4665556951722315E-5</v>
      </c>
      <c r="M38" s="56">
        <v>3.8274093457904874E-5</v>
      </c>
      <c r="N38" s="56">
        <v>3.7194959444653713E-5</v>
      </c>
      <c r="O38" s="56">
        <v>2.1317702590420765E-5</v>
      </c>
      <c r="P38" s="56">
        <v>6.8880288585864032E-5</v>
      </c>
      <c r="Q38" s="56">
        <v>5.5266182376204263E-5</v>
      </c>
      <c r="R38" s="56">
        <v>9.025006760541693E-7</v>
      </c>
      <c r="S38" s="56">
        <v>9.5894596903183348E-5</v>
      </c>
      <c r="T38" s="56">
        <v>-3.2679206286776412E-7</v>
      </c>
      <c r="U38" s="56">
        <v>4.0638023869595949E-5</v>
      </c>
      <c r="V38" s="56">
        <v>2.2590741930185378E-5</v>
      </c>
      <c r="W38" s="56">
        <v>-1.240910364306921E-5</v>
      </c>
      <c r="X38" s="56">
        <v>1.0252268936561974E-5</v>
      </c>
      <c r="Y38" s="56">
        <v>-6.1136222723106998E-6</v>
      </c>
      <c r="Z38" s="56">
        <v>-4.1866895239451561E-6</v>
      </c>
      <c r="AA38" s="56">
        <v>-1.0949496160309746E-4</v>
      </c>
      <c r="AB38" s="56">
        <v>5.7965884051925311E-5</v>
      </c>
      <c r="AC38" s="56">
        <v>3.9411923457136767E-5</v>
      </c>
      <c r="AD38" s="56">
        <v>6.4451973429892678E-5</v>
      </c>
      <c r="AE38" s="56">
        <v>1.2718799380047188E-5</v>
      </c>
      <c r="AF38" s="56">
        <v>6.7389521044571206E-5</v>
      </c>
      <c r="AG38" s="56">
        <v>1.056742133989345E-4</v>
      </c>
      <c r="AH38" s="56">
        <v>-5.0136284412671158E-5</v>
      </c>
      <c r="AI38" s="56">
        <v>1.006891563516279E-4</v>
      </c>
      <c r="AJ38" s="56">
        <v>7.6140778357764797E-5</v>
      </c>
      <c r="AK38" s="56">
        <v>8.2247418131458101E-5</v>
      </c>
      <c r="AL38" s="56">
        <f>VARP(Valorização!$AL$2:$AL$247)</f>
        <v>7.2379794963803551E-4</v>
      </c>
    </row>
  </sheetData>
  <conditionalFormatting sqref="B2:AL38">
    <cfRule type="cellIs" dxfId="4" priority="1" operator="greaterThan">
      <formula>0.0002</formula>
    </cfRule>
    <cfRule type="cellIs" dxfId="3" priority="2" operator="greaterThan">
      <formula>0.00008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opLeftCell="D1" zoomScale="70" zoomScaleNormal="70" workbookViewId="0">
      <selection activeCell="J37" sqref="J37"/>
    </sheetView>
  </sheetViews>
  <sheetFormatPr defaultRowHeight="14.4"/>
  <sheetData>
    <row r="1" spans="1:36">
      <c r="A1" s="46"/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  <c r="G1" s="46" t="s">
        <v>8</v>
      </c>
      <c r="H1" s="46" t="s">
        <v>9</v>
      </c>
      <c r="I1" s="46" t="s">
        <v>10</v>
      </c>
      <c r="J1" s="46" t="s">
        <v>11</v>
      </c>
      <c r="K1" s="46" t="s">
        <v>12</v>
      </c>
      <c r="L1" s="46" t="s">
        <v>13</v>
      </c>
      <c r="M1" s="46" t="s">
        <v>14</v>
      </c>
      <c r="N1" s="46" t="s">
        <v>15</v>
      </c>
      <c r="O1" s="46" t="s">
        <v>16</v>
      </c>
      <c r="P1" s="46" t="s">
        <v>17</v>
      </c>
      <c r="Q1" s="46" t="s">
        <v>18</v>
      </c>
      <c r="R1" s="46" t="s">
        <v>19</v>
      </c>
      <c r="S1" s="46" t="s">
        <v>20</v>
      </c>
      <c r="T1" s="46" t="s">
        <v>21</v>
      </c>
      <c r="U1" s="46" t="s">
        <v>22</v>
      </c>
      <c r="V1" s="46" t="s">
        <v>23</v>
      </c>
      <c r="W1" s="46" t="s">
        <v>24</v>
      </c>
      <c r="X1" s="46" t="s">
        <v>25</v>
      </c>
      <c r="Y1" s="46" t="s">
        <v>26</v>
      </c>
      <c r="Z1" s="46" t="s">
        <v>27</v>
      </c>
      <c r="AA1" s="46" t="s">
        <v>28</v>
      </c>
      <c r="AB1" s="46" t="s">
        <v>345</v>
      </c>
      <c r="AC1" s="46" t="s">
        <v>30</v>
      </c>
      <c r="AD1" s="46" t="s">
        <v>31</v>
      </c>
      <c r="AE1" s="46" t="s">
        <v>32</v>
      </c>
      <c r="AF1" s="46" t="s">
        <v>33</v>
      </c>
      <c r="AG1" s="46" t="s">
        <v>34</v>
      </c>
      <c r="AH1" s="46" t="s">
        <v>35</v>
      </c>
      <c r="AI1" s="46" t="s">
        <v>36</v>
      </c>
      <c r="AJ1" s="46" t="s">
        <v>37</v>
      </c>
    </row>
    <row r="2" spans="1:36">
      <c r="A2" s="44" t="s">
        <v>3</v>
      </c>
      <c r="B2" s="44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>
      <c r="A3" s="44" t="s">
        <v>4</v>
      </c>
      <c r="B3" s="44">
        <v>0.53284112382970117</v>
      </c>
      <c r="C3" s="44">
        <v>1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</row>
    <row r="4" spans="1:36">
      <c r="A4" s="44" t="s">
        <v>5</v>
      </c>
      <c r="B4" s="44">
        <v>0.58647017105417643</v>
      </c>
      <c r="C4" s="44">
        <v>0.53690320098717592</v>
      </c>
      <c r="D4" s="44">
        <v>1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</row>
    <row r="5" spans="1:36">
      <c r="A5" s="44" t="s">
        <v>6</v>
      </c>
      <c r="B5" s="44">
        <v>0.49841317536240692</v>
      </c>
      <c r="C5" s="44">
        <v>0.21563168319148737</v>
      </c>
      <c r="D5" s="44">
        <v>0.35862598930382844</v>
      </c>
      <c r="E5" s="44">
        <v>1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</row>
    <row r="6" spans="1:36">
      <c r="A6" s="44" t="s">
        <v>7</v>
      </c>
      <c r="B6" s="44">
        <v>0.69672182644793834</v>
      </c>
      <c r="C6" s="44">
        <v>0.54374491528338031</v>
      </c>
      <c r="D6" s="44">
        <v>0.74877236697435046</v>
      </c>
      <c r="E6" s="44">
        <v>0.37964962885908771</v>
      </c>
      <c r="F6" s="44">
        <v>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>
      <c r="A7" s="44" t="s">
        <v>8</v>
      </c>
      <c r="B7" s="44">
        <v>0.68609957334216043</v>
      </c>
      <c r="C7" s="44">
        <v>0.72210941316488264</v>
      </c>
      <c r="D7" s="44">
        <v>0.66132909118286487</v>
      </c>
      <c r="E7" s="44">
        <v>0.41136696419616325</v>
      </c>
      <c r="F7" s="44">
        <v>0.68994112298777233</v>
      </c>
      <c r="G7" s="44">
        <v>1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</row>
    <row r="8" spans="1:36">
      <c r="A8" s="44" t="s">
        <v>9</v>
      </c>
      <c r="B8" s="44">
        <v>0.70411648526861137</v>
      </c>
      <c r="C8" s="44">
        <v>0.62686141986044286</v>
      </c>
      <c r="D8" s="44">
        <v>0.60050705954935713</v>
      </c>
      <c r="E8" s="44">
        <v>0.44578094715811462</v>
      </c>
      <c r="F8" s="44">
        <v>0.6550750907070616</v>
      </c>
      <c r="G8" s="44">
        <v>0.91880828181574303</v>
      </c>
      <c r="H8" s="44">
        <v>1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</row>
    <row r="9" spans="1:36">
      <c r="A9" s="44" t="s">
        <v>10</v>
      </c>
      <c r="B9" s="44">
        <v>0.71926885005160635</v>
      </c>
      <c r="C9" s="44">
        <v>0.55613517330859652</v>
      </c>
      <c r="D9" s="44">
        <v>0.63939985899742058</v>
      </c>
      <c r="E9" s="44">
        <v>0.38889219634265237</v>
      </c>
      <c r="F9" s="44">
        <v>0.67721267304366739</v>
      </c>
      <c r="G9" s="44">
        <v>0.67030736787288958</v>
      </c>
      <c r="H9" s="44">
        <v>0.6238521842245871</v>
      </c>
      <c r="I9" s="44">
        <v>1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</row>
    <row r="10" spans="1:36">
      <c r="A10" s="44" t="s">
        <v>11</v>
      </c>
      <c r="B10" s="44">
        <v>0.65877006186719922</v>
      </c>
      <c r="C10" s="44">
        <v>0.5153885254474686</v>
      </c>
      <c r="D10" s="44">
        <v>0.52076209817071251</v>
      </c>
      <c r="E10" s="44">
        <v>0.5196258678089537</v>
      </c>
      <c r="F10" s="44">
        <v>0.62043039506752273</v>
      </c>
      <c r="G10" s="44">
        <v>0.58993417708411089</v>
      </c>
      <c r="H10" s="44">
        <v>0.60788149640817013</v>
      </c>
      <c r="I10" s="44">
        <v>0.57182970216161588</v>
      </c>
      <c r="J10" s="44">
        <v>1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</row>
    <row r="11" spans="1:36">
      <c r="A11" s="44" t="s">
        <v>12</v>
      </c>
      <c r="B11" s="44">
        <v>0.65158664648138709</v>
      </c>
      <c r="C11" s="44">
        <v>0.40699192946379065</v>
      </c>
      <c r="D11" s="44">
        <v>0.64841140301768496</v>
      </c>
      <c r="E11" s="44">
        <v>0.42858030885527032</v>
      </c>
      <c r="F11" s="44">
        <v>0.68929715931055469</v>
      </c>
      <c r="G11" s="44">
        <v>0.58651912767749115</v>
      </c>
      <c r="H11" s="44">
        <v>0.60789594388117096</v>
      </c>
      <c r="I11" s="44">
        <v>0.6444959167400437</v>
      </c>
      <c r="J11" s="44">
        <v>0.60553878843164077</v>
      </c>
      <c r="K11" s="44">
        <v>1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</row>
    <row r="12" spans="1:36">
      <c r="A12" s="44" t="s">
        <v>13</v>
      </c>
      <c r="B12" s="44">
        <v>0.46484098858883677</v>
      </c>
      <c r="C12" s="44">
        <v>0.19667308119085453</v>
      </c>
      <c r="D12" s="44">
        <v>0.29385347428049297</v>
      </c>
      <c r="E12" s="44">
        <v>0.4192342339475687</v>
      </c>
      <c r="F12" s="44">
        <v>0.39149113014428766</v>
      </c>
      <c r="G12" s="44">
        <v>0.31226872273572981</v>
      </c>
      <c r="H12" s="44">
        <v>0.36151449047997231</v>
      </c>
      <c r="I12" s="44">
        <v>0.3419289982734508</v>
      </c>
      <c r="J12" s="44">
        <v>0.52273392963499121</v>
      </c>
      <c r="K12" s="44">
        <v>0.46530278267929465</v>
      </c>
      <c r="L12" s="44">
        <v>1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</row>
    <row r="13" spans="1:36">
      <c r="A13" s="44" t="s">
        <v>14</v>
      </c>
      <c r="B13" s="44">
        <v>0.56131617139820522</v>
      </c>
      <c r="C13" s="44">
        <v>0.49507705803118651</v>
      </c>
      <c r="D13" s="44">
        <v>0.7216903340613009</v>
      </c>
      <c r="E13" s="44">
        <v>0.37249486206442872</v>
      </c>
      <c r="F13" s="44">
        <v>0.71307377808709749</v>
      </c>
      <c r="G13" s="44">
        <v>0.60841497757814256</v>
      </c>
      <c r="H13" s="44">
        <v>0.52114857152033933</v>
      </c>
      <c r="I13" s="44">
        <v>0.54964169477560121</v>
      </c>
      <c r="J13" s="44">
        <v>0.60694355965520652</v>
      </c>
      <c r="K13" s="44">
        <v>0.60074764409698511</v>
      </c>
      <c r="L13" s="44">
        <v>0.37010530927903662</v>
      </c>
      <c r="M13" s="44">
        <v>1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</row>
    <row r="14" spans="1:36">
      <c r="A14" s="44" t="s">
        <v>15</v>
      </c>
      <c r="B14" s="44">
        <v>-5.0752005921299935E-2</v>
      </c>
      <c r="C14" s="44">
        <v>-0.10161752649369785</v>
      </c>
      <c r="D14" s="44">
        <v>-9.2798299508291285E-2</v>
      </c>
      <c r="E14" s="44">
        <v>-3.7852669058057627E-3</v>
      </c>
      <c r="F14" s="44">
        <v>-9.1086764193529582E-2</v>
      </c>
      <c r="G14" s="44">
        <v>-9.0833683770584123E-2</v>
      </c>
      <c r="H14" s="44">
        <v>-0.12671810742913212</v>
      </c>
      <c r="I14" s="44">
        <v>-7.2402054837596291E-2</v>
      </c>
      <c r="J14" s="44">
        <v>-3.9422178008890731E-2</v>
      </c>
      <c r="K14" s="44">
        <v>-3.2507257193975306E-2</v>
      </c>
      <c r="L14" s="44">
        <v>-4.6755934515867653E-2</v>
      </c>
      <c r="M14" s="44">
        <v>-3.7781059014666352E-3</v>
      </c>
      <c r="N14" s="44">
        <v>1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>
      <c r="A15" s="44" t="s">
        <v>16</v>
      </c>
      <c r="B15" s="44">
        <v>0.56778740422108098</v>
      </c>
      <c r="C15" s="44">
        <v>0.31676627056762491</v>
      </c>
      <c r="D15" s="44">
        <v>0.43235253488312331</v>
      </c>
      <c r="E15" s="44">
        <v>0.50006341673757848</v>
      </c>
      <c r="F15" s="44">
        <v>0.57056231669467139</v>
      </c>
      <c r="G15" s="44">
        <v>0.48094061684634171</v>
      </c>
      <c r="H15" s="44">
        <v>0.48519086323492022</v>
      </c>
      <c r="I15" s="44">
        <v>0.63861545678376441</v>
      </c>
      <c r="J15" s="44">
        <v>0.40858631095467135</v>
      </c>
      <c r="K15" s="44">
        <v>0.44638427693295996</v>
      </c>
      <c r="L15" s="44">
        <v>0.34828575059712191</v>
      </c>
      <c r="M15" s="44">
        <v>0.35372380523911257</v>
      </c>
      <c r="N15" s="44">
        <v>-3.5986133955558633E-3</v>
      </c>
      <c r="O15" s="44">
        <v>1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</row>
    <row r="16" spans="1:36">
      <c r="A16" s="44" t="s">
        <v>17</v>
      </c>
      <c r="B16" s="44">
        <v>0.64988800015648451</v>
      </c>
      <c r="C16" s="44">
        <v>0.46796719618461508</v>
      </c>
      <c r="D16" s="44">
        <v>0.54205472177611491</v>
      </c>
      <c r="E16" s="44">
        <v>0.48536845124199585</v>
      </c>
      <c r="F16" s="44">
        <v>0.57491288663100082</v>
      </c>
      <c r="G16" s="44">
        <v>0.53920798808778336</v>
      </c>
      <c r="H16" s="44">
        <v>0.54201453564445845</v>
      </c>
      <c r="I16" s="44">
        <v>0.5658553293730304</v>
      </c>
      <c r="J16" s="44">
        <v>0.56297572773717208</v>
      </c>
      <c r="K16" s="44">
        <v>0.60126088950674828</v>
      </c>
      <c r="L16" s="44">
        <v>0.43015800419458233</v>
      </c>
      <c r="M16" s="44">
        <v>0.58235246648251404</v>
      </c>
      <c r="N16" s="44">
        <v>-4.785671185765869E-2</v>
      </c>
      <c r="O16" s="44">
        <v>0.50587705123316884</v>
      </c>
      <c r="P16" s="44">
        <v>1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</row>
    <row r="17" spans="1:36">
      <c r="A17" s="44" t="s">
        <v>18</v>
      </c>
      <c r="B17" s="44">
        <v>0.60792636400336464</v>
      </c>
      <c r="C17" s="44">
        <v>0.52482637558496359</v>
      </c>
      <c r="D17" s="44">
        <v>0.58212887515541689</v>
      </c>
      <c r="E17" s="44">
        <v>0.47952278085477046</v>
      </c>
      <c r="F17" s="44">
        <v>0.56503651368490027</v>
      </c>
      <c r="G17" s="44">
        <v>0.64485283878445898</v>
      </c>
      <c r="H17" s="44">
        <v>0.59705364603217759</v>
      </c>
      <c r="I17" s="44">
        <v>0.63104124692061214</v>
      </c>
      <c r="J17" s="44">
        <v>0.53733958416155858</v>
      </c>
      <c r="K17" s="44">
        <v>0.50461854839502818</v>
      </c>
      <c r="L17" s="44">
        <v>0.2929197131036349</v>
      </c>
      <c r="M17" s="44">
        <v>0.53100323451152409</v>
      </c>
      <c r="N17" s="44">
        <v>-8.6542436695047603E-2</v>
      </c>
      <c r="O17" s="44">
        <v>0.55903977820516793</v>
      </c>
      <c r="P17" s="44">
        <v>0.58760608811250958</v>
      </c>
      <c r="Q17" s="44">
        <v>1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spans="1:36">
      <c r="A18" s="44" t="s">
        <v>19</v>
      </c>
      <c r="B18" s="44">
        <v>0.42097715823185561</v>
      </c>
      <c r="C18" s="44">
        <v>0.35970278525511062</v>
      </c>
      <c r="D18" s="44">
        <v>0.55000661949110918</v>
      </c>
      <c r="E18" s="44">
        <v>0.28415471326485175</v>
      </c>
      <c r="F18" s="44">
        <v>0.52777582960639635</v>
      </c>
      <c r="G18" s="44">
        <v>0.49321338877872889</v>
      </c>
      <c r="H18" s="44">
        <v>0.43391285687957476</v>
      </c>
      <c r="I18" s="44">
        <v>0.4235783003028612</v>
      </c>
      <c r="J18" s="44">
        <v>0.33223014338175977</v>
      </c>
      <c r="K18" s="44">
        <v>0.51904485118657218</v>
      </c>
      <c r="L18" s="44">
        <v>0.13488688737182114</v>
      </c>
      <c r="M18" s="44">
        <v>0.4725591512413464</v>
      </c>
      <c r="N18" s="44">
        <v>-0.20162626142835102</v>
      </c>
      <c r="O18" s="44">
        <v>0.31397158682458692</v>
      </c>
      <c r="P18" s="44">
        <v>0.39126105553555984</v>
      </c>
      <c r="Q18" s="44">
        <v>0.43842233002596792</v>
      </c>
      <c r="R18" s="44">
        <v>1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spans="1:36">
      <c r="A19" s="44" t="s">
        <v>20</v>
      </c>
      <c r="B19" s="44">
        <v>0.69462207995918301</v>
      </c>
      <c r="C19" s="44">
        <v>0.48592641324749403</v>
      </c>
      <c r="D19" s="44">
        <v>0.51872484702661836</v>
      </c>
      <c r="E19" s="44">
        <v>0.46326909270310179</v>
      </c>
      <c r="F19" s="44">
        <v>0.63030658726123068</v>
      </c>
      <c r="G19" s="44">
        <v>0.62920049812738565</v>
      </c>
      <c r="H19" s="44">
        <v>0.63442843962791029</v>
      </c>
      <c r="I19" s="44">
        <v>0.61211877363943201</v>
      </c>
      <c r="J19" s="44">
        <v>0.61715613892654542</v>
      </c>
      <c r="K19" s="44">
        <v>0.70404247236460127</v>
      </c>
      <c r="L19" s="44">
        <v>0.31915273916007214</v>
      </c>
      <c r="M19" s="44">
        <v>0.5422836364103959</v>
      </c>
      <c r="N19" s="44">
        <v>-3.8159590484843617E-2</v>
      </c>
      <c r="O19" s="44">
        <v>0.53223099950922359</v>
      </c>
      <c r="P19" s="44">
        <v>0.62971119163009492</v>
      </c>
      <c r="Q19" s="44">
        <v>0.53867636917181239</v>
      </c>
      <c r="R19" s="44">
        <v>0.50720542136532432</v>
      </c>
      <c r="S19" s="44">
        <v>1</v>
      </c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</row>
    <row r="20" spans="1:36">
      <c r="A20" s="44" t="s">
        <v>21</v>
      </c>
      <c r="B20" s="44">
        <v>0.54479771788953135</v>
      </c>
      <c r="C20" s="44">
        <v>0.3000903875183204</v>
      </c>
      <c r="D20" s="44">
        <v>0.41978548271852378</v>
      </c>
      <c r="E20" s="44">
        <v>0.52231639467185687</v>
      </c>
      <c r="F20" s="44">
        <v>0.48868911918172175</v>
      </c>
      <c r="G20" s="44">
        <v>0.44060214513823476</v>
      </c>
      <c r="H20" s="44">
        <v>0.46355201982031152</v>
      </c>
      <c r="I20" s="44">
        <v>0.42554706025200972</v>
      </c>
      <c r="J20" s="44">
        <v>0.58289121679633105</v>
      </c>
      <c r="K20" s="44">
        <v>0.529300858189792</v>
      </c>
      <c r="L20" s="44">
        <v>0.70155017657885166</v>
      </c>
      <c r="M20" s="44">
        <v>0.41121912325376031</v>
      </c>
      <c r="N20" s="44">
        <v>-7.468919333913844E-2</v>
      </c>
      <c r="O20" s="44">
        <v>0.41035678463545211</v>
      </c>
      <c r="P20" s="44">
        <v>0.47241762812629901</v>
      </c>
      <c r="Q20" s="44">
        <v>0.41994011105195239</v>
      </c>
      <c r="R20" s="44">
        <v>0.20497566887704635</v>
      </c>
      <c r="S20" s="44">
        <v>0.41597876132051298</v>
      </c>
      <c r="T20" s="44">
        <v>1</v>
      </c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</row>
    <row r="21" spans="1:36">
      <c r="A21" s="44" t="s">
        <v>22</v>
      </c>
      <c r="B21" s="44">
        <v>0.44073972011138696</v>
      </c>
      <c r="C21" s="44">
        <v>0.34218885782018738</v>
      </c>
      <c r="D21" s="44">
        <v>0.38149720464608294</v>
      </c>
      <c r="E21" s="44">
        <v>0.40771408098786538</v>
      </c>
      <c r="F21" s="44">
        <v>0.43145372806014515</v>
      </c>
      <c r="G21" s="44">
        <v>0.37887508197451636</v>
      </c>
      <c r="H21" s="44">
        <v>0.39856396465813271</v>
      </c>
      <c r="I21" s="44">
        <v>0.35600116171460888</v>
      </c>
      <c r="J21" s="44">
        <v>0.51127288737342291</v>
      </c>
      <c r="K21" s="44">
        <v>0.46027774113199749</v>
      </c>
      <c r="L21" s="44">
        <v>0.57774516842041479</v>
      </c>
      <c r="M21" s="44">
        <v>0.40285513792821259</v>
      </c>
      <c r="N21" s="44">
        <v>-9.1779781480235897E-2</v>
      </c>
      <c r="O21" s="44">
        <v>0.37843327324052728</v>
      </c>
      <c r="P21" s="44">
        <v>0.45554287857164633</v>
      </c>
      <c r="Q21" s="44">
        <v>0.39628342389551147</v>
      </c>
      <c r="R21" s="44">
        <v>0.17708065731681655</v>
      </c>
      <c r="S21" s="44">
        <v>0.37865921205321662</v>
      </c>
      <c r="T21" s="44">
        <v>0.54856909318136504</v>
      </c>
      <c r="U21" s="44">
        <v>1</v>
      </c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spans="1:36">
      <c r="A22" s="44" t="s">
        <v>23</v>
      </c>
      <c r="B22" s="44">
        <v>0.46209687172288777</v>
      </c>
      <c r="C22" s="44">
        <v>0.39881616462820568</v>
      </c>
      <c r="D22" s="44">
        <v>0.42760284308673596</v>
      </c>
      <c r="E22" s="44">
        <v>0.30648566865209004</v>
      </c>
      <c r="F22" s="44">
        <v>0.50489454759603614</v>
      </c>
      <c r="G22" s="44">
        <v>0.47311659430845338</v>
      </c>
      <c r="H22" s="44">
        <v>0.46212125779492613</v>
      </c>
      <c r="I22" s="44">
        <v>0.50139810103583493</v>
      </c>
      <c r="J22" s="44">
        <v>0.44477798045912026</v>
      </c>
      <c r="K22" s="44">
        <v>0.49048578528968501</v>
      </c>
      <c r="L22" s="44">
        <v>0.55768621761862947</v>
      </c>
      <c r="M22" s="44">
        <v>0.38319082858416875</v>
      </c>
      <c r="N22" s="44">
        <v>-9.0501932080677042E-2</v>
      </c>
      <c r="O22" s="44">
        <v>0.42342336143304171</v>
      </c>
      <c r="P22" s="44">
        <v>0.43433958096572378</v>
      </c>
      <c r="Q22" s="44">
        <v>0.4388384272959126</v>
      </c>
      <c r="R22" s="44">
        <v>0.24273378931214179</v>
      </c>
      <c r="S22" s="44">
        <v>0.36493498462436597</v>
      </c>
      <c r="T22" s="44">
        <v>0.48291705892518366</v>
      </c>
      <c r="U22" s="44">
        <v>0.57049225868761921</v>
      </c>
      <c r="V22" s="44">
        <v>1</v>
      </c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spans="1:36">
      <c r="A23" s="44" t="s">
        <v>24</v>
      </c>
      <c r="B23" s="44">
        <v>0.45896380794345648</v>
      </c>
      <c r="C23" s="44">
        <v>0.38556047802270632</v>
      </c>
      <c r="D23" s="44">
        <v>0.36435163657504238</v>
      </c>
      <c r="E23" s="44">
        <v>0.3666236634033988</v>
      </c>
      <c r="F23" s="44">
        <v>0.45006972966022718</v>
      </c>
      <c r="G23" s="44">
        <v>0.40738484072052489</v>
      </c>
      <c r="H23" s="44">
        <v>0.3997045283972519</v>
      </c>
      <c r="I23" s="44">
        <v>0.436302349958548</v>
      </c>
      <c r="J23" s="44">
        <v>0.5513454078637392</v>
      </c>
      <c r="K23" s="44">
        <v>0.43061739290277723</v>
      </c>
      <c r="L23" s="44">
        <v>0.6228788474151985</v>
      </c>
      <c r="M23" s="44">
        <v>0.40174416963185344</v>
      </c>
      <c r="N23" s="44">
        <v>-0.11074777725825739</v>
      </c>
      <c r="O23" s="44">
        <v>0.3002786053974888</v>
      </c>
      <c r="P23" s="44">
        <v>0.4613394612594609</v>
      </c>
      <c r="Q23" s="44">
        <v>0.40602321779188788</v>
      </c>
      <c r="R23" s="44">
        <v>0.20348676517935388</v>
      </c>
      <c r="S23" s="44">
        <v>0.36524532665048215</v>
      </c>
      <c r="T23" s="44">
        <v>0.56977598356841874</v>
      </c>
      <c r="U23" s="44">
        <v>0.57534328490912778</v>
      </c>
      <c r="V23" s="44">
        <v>0.57788387561016707</v>
      </c>
      <c r="W23" s="44">
        <v>1</v>
      </c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</row>
    <row r="24" spans="1:36">
      <c r="A24" s="44" t="s">
        <v>25</v>
      </c>
      <c r="B24" s="44">
        <v>0.51225099197523438</v>
      </c>
      <c r="C24" s="44">
        <v>0.29312755383421901</v>
      </c>
      <c r="D24" s="44">
        <v>0.38563513751166073</v>
      </c>
      <c r="E24" s="44">
        <v>0.48130518460593785</v>
      </c>
      <c r="F24" s="44">
        <v>0.52250333196207555</v>
      </c>
      <c r="G24" s="44">
        <v>0.42704523924404642</v>
      </c>
      <c r="H24" s="44">
        <v>0.43436171823313208</v>
      </c>
      <c r="I24" s="44">
        <v>0.39570510581166268</v>
      </c>
      <c r="J24" s="44">
        <v>0.53139889275567198</v>
      </c>
      <c r="K24" s="44">
        <v>0.50203604240393862</v>
      </c>
      <c r="L24" s="44">
        <v>0.68475323875839211</v>
      </c>
      <c r="M24" s="44">
        <v>0.44102862680148214</v>
      </c>
      <c r="N24" s="44">
        <v>-3.3732627623728854E-2</v>
      </c>
      <c r="O24" s="44">
        <v>0.4018325743765877</v>
      </c>
      <c r="P24" s="44">
        <v>0.54935202647475079</v>
      </c>
      <c r="Q24" s="44">
        <v>0.42236114567530741</v>
      </c>
      <c r="R24" s="44">
        <v>0.12646785648739184</v>
      </c>
      <c r="S24" s="44">
        <v>0.39092398652352328</v>
      </c>
      <c r="T24" s="44">
        <v>0.64533657787058818</v>
      </c>
      <c r="U24" s="44">
        <v>0.59230922368013228</v>
      </c>
      <c r="V24" s="44">
        <v>0.52961607382416087</v>
      </c>
      <c r="W24" s="44">
        <v>0.60161781626150268</v>
      </c>
      <c r="X24" s="44">
        <v>1</v>
      </c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</row>
    <row r="25" spans="1:36">
      <c r="A25" s="44" t="s">
        <v>26</v>
      </c>
      <c r="B25" s="44">
        <v>0.51553498518055041</v>
      </c>
      <c r="C25" s="44">
        <v>0.41046537557599705</v>
      </c>
      <c r="D25" s="44">
        <v>0.41757432609526163</v>
      </c>
      <c r="E25" s="44">
        <v>0.34406119439992278</v>
      </c>
      <c r="F25" s="44">
        <v>0.47547732348732202</v>
      </c>
      <c r="G25" s="44">
        <v>0.4456572518558346</v>
      </c>
      <c r="H25" s="44">
        <v>0.40102445757914373</v>
      </c>
      <c r="I25" s="44">
        <v>0.46967676902747652</v>
      </c>
      <c r="J25" s="44">
        <v>0.5172651777621633</v>
      </c>
      <c r="K25" s="44">
        <v>0.45564417480424746</v>
      </c>
      <c r="L25" s="44">
        <v>0.6515117804057089</v>
      </c>
      <c r="M25" s="44">
        <v>0.45843773440285079</v>
      </c>
      <c r="N25" s="44">
        <v>-6.1268326080507002E-2</v>
      </c>
      <c r="O25" s="44">
        <v>0.34200927498878003</v>
      </c>
      <c r="P25" s="44">
        <v>0.44097500322524752</v>
      </c>
      <c r="Q25" s="44">
        <v>0.43165860736259754</v>
      </c>
      <c r="R25" s="44">
        <v>0.11313068452030182</v>
      </c>
      <c r="S25" s="44">
        <v>0.35430035540164417</v>
      </c>
      <c r="T25" s="44">
        <v>0.60415482015290811</v>
      </c>
      <c r="U25" s="44">
        <v>0.62800533704833539</v>
      </c>
      <c r="V25" s="44">
        <v>0.58600043389094014</v>
      </c>
      <c r="W25" s="44">
        <v>0.60412855072817961</v>
      </c>
      <c r="X25" s="44">
        <v>0.68956717141406965</v>
      </c>
      <c r="Y25" s="44">
        <v>1</v>
      </c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spans="1:36">
      <c r="A26" s="44" t="s">
        <v>27</v>
      </c>
      <c r="B26" s="44">
        <v>0.4213422233940981</v>
      </c>
      <c r="C26" s="44">
        <v>0.26692864910864011</v>
      </c>
      <c r="D26" s="44">
        <v>0.33410924024562205</v>
      </c>
      <c r="E26" s="44">
        <v>0.39748145833149479</v>
      </c>
      <c r="F26" s="44">
        <v>0.45900163379048237</v>
      </c>
      <c r="G26" s="44">
        <v>0.40433078636712511</v>
      </c>
      <c r="H26" s="44">
        <v>0.41462843205503752</v>
      </c>
      <c r="I26" s="44">
        <v>0.40074609438788866</v>
      </c>
      <c r="J26" s="44">
        <v>0.46047777287469033</v>
      </c>
      <c r="K26" s="44">
        <v>0.39625681633069104</v>
      </c>
      <c r="L26" s="44">
        <v>0.39855128795720574</v>
      </c>
      <c r="M26" s="44">
        <v>0.37281572545725117</v>
      </c>
      <c r="N26" s="44">
        <v>-0.12902115508151474</v>
      </c>
      <c r="O26" s="44">
        <v>0.35356114861080734</v>
      </c>
      <c r="P26" s="44">
        <v>0.36811223586500436</v>
      </c>
      <c r="Q26" s="44">
        <v>0.4446053958619976</v>
      </c>
      <c r="R26" s="44">
        <v>0.22928075848870197</v>
      </c>
      <c r="S26" s="44">
        <v>0.37950156206439511</v>
      </c>
      <c r="T26" s="44">
        <v>0.45283223833992814</v>
      </c>
      <c r="U26" s="44">
        <v>0.40597878243515451</v>
      </c>
      <c r="V26" s="44">
        <v>0.36407816937074033</v>
      </c>
      <c r="W26" s="44">
        <v>0.47342881738276615</v>
      </c>
      <c r="X26" s="44">
        <v>0.50024101723046355</v>
      </c>
      <c r="Y26" s="44">
        <v>0.39570660087696513</v>
      </c>
      <c r="Z26" s="44">
        <v>1</v>
      </c>
      <c r="AA26" s="44"/>
      <c r="AB26" s="44"/>
      <c r="AC26" s="44"/>
      <c r="AD26" s="44"/>
      <c r="AE26" s="44"/>
      <c r="AF26" s="44"/>
      <c r="AG26" s="44"/>
      <c r="AH26" s="44"/>
      <c r="AI26" s="44"/>
      <c r="AJ26" s="44"/>
    </row>
    <row r="27" spans="1:36">
      <c r="A27" s="44" t="s">
        <v>28</v>
      </c>
      <c r="B27" s="44">
        <v>0.5860852499328526</v>
      </c>
      <c r="C27" s="44">
        <v>0.19344883161221968</v>
      </c>
      <c r="D27" s="44">
        <v>0.31773829119767838</v>
      </c>
      <c r="E27" s="44">
        <v>0.55014972621731606</v>
      </c>
      <c r="F27" s="44">
        <v>0.40878911408019253</v>
      </c>
      <c r="G27" s="44">
        <v>0.36123859392144991</v>
      </c>
      <c r="H27" s="44">
        <v>0.46521946940538755</v>
      </c>
      <c r="I27" s="44">
        <v>0.34487750308911058</v>
      </c>
      <c r="J27" s="44">
        <v>0.5694702694682271</v>
      </c>
      <c r="K27" s="44">
        <v>0.46056414196315254</v>
      </c>
      <c r="L27" s="44">
        <v>0.6855177118423802</v>
      </c>
      <c r="M27" s="44">
        <v>0.32442331545290132</v>
      </c>
      <c r="N27" s="44">
        <v>-8.8002687099146062E-2</v>
      </c>
      <c r="O27" s="44">
        <v>0.40757960074924532</v>
      </c>
      <c r="P27" s="44">
        <v>0.51483232091441478</v>
      </c>
      <c r="Q27" s="44">
        <v>0.33825817154803089</v>
      </c>
      <c r="R27" s="44">
        <v>0.19116923669342703</v>
      </c>
      <c r="S27" s="44">
        <v>0.46466318576200388</v>
      </c>
      <c r="T27" s="44">
        <v>0.62760583662022895</v>
      </c>
      <c r="U27" s="44">
        <v>0.53965539569513343</v>
      </c>
      <c r="V27" s="44">
        <v>0.41795826500669903</v>
      </c>
      <c r="W27" s="44">
        <v>0.53646667528912506</v>
      </c>
      <c r="X27" s="44">
        <v>0.63057902870926241</v>
      </c>
      <c r="Y27" s="44">
        <v>0.49154996924024896</v>
      </c>
      <c r="Z27" s="44">
        <v>0.39631676442875219</v>
      </c>
      <c r="AA27" s="44">
        <v>1</v>
      </c>
      <c r="AB27" s="44"/>
      <c r="AC27" s="44"/>
      <c r="AD27" s="44"/>
      <c r="AE27" s="44"/>
      <c r="AF27" s="44"/>
      <c r="AG27" s="44"/>
      <c r="AH27" s="44"/>
      <c r="AI27" s="44"/>
      <c r="AJ27" s="44"/>
    </row>
    <row r="28" spans="1:36">
      <c r="A28" s="44" t="s">
        <v>345</v>
      </c>
      <c r="B28" s="44">
        <v>0.74027320753640768</v>
      </c>
      <c r="C28" s="44">
        <v>0.42403319697642372</v>
      </c>
      <c r="D28" s="44">
        <v>0.54853204795017396</v>
      </c>
      <c r="E28" s="44">
        <v>0.56816606915042145</v>
      </c>
      <c r="F28" s="44">
        <v>0.65132915305265815</v>
      </c>
      <c r="G28" s="44">
        <v>0.57694922514518554</v>
      </c>
      <c r="H28" s="44">
        <v>0.61942055592134315</v>
      </c>
      <c r="I28" s="44">
        <v>0.61039284585491982</v>
      </c>
      <c r="J28" s="44">
        <v>0.76030712359047647</v>
      </c>
      <c r="K28" s="44">
        <v>0.68245715311785493</v>
      </c>
      <c r="L28" s="44">
        <v>0.59744001168033989</v>
      </c>
      <c r="M28" s="44">
        <v>0.59442831446542677</v>
      </c>
      <c r="N28" s="44">
        <v>3.4994051916673749E-2</v>
      </c>
      <c r="O28" s="44">
        <v>0.46938390556924431</v>
      </c>
      <c r="P28" s="44">
        <v>0.64188783988415632</v>
      </c>
      <c r="Q28" s="44">
        <v>0.50300666616650835</v>
      </c>
      <c r="R28" s="44">
        <v>0.33697036462931101</v>
      </c>
      <c r="S28" s="44">
        <v>0.68488248853531652</v>
      </c>
      <c r="T28" s="44">
        <v>0.60921768515220698</v>
      </c>
      <c r="U28" s="44">
        <v>0.52821633710491422</v>
      </c>
      <c r="V28" s="44">
        <v>0.47002323422455761</v>
      </c>
      <c r="W28" s="44">
        <v>0.58223435659425848</v>
      </c>
      <c r="X28" s="44">
        <v>0.61375929886812453</v>
      </c>
      <c r="Y28" s="44">
        <v>0.55344227893001452</v>
      </c>
      <c r="Z28" s="44">
        <v>0.50175484828732198</v>
      </c>
      <c r="AA28" s="44">
        <v>0.66011328913109413</v>
      </c>
      <c r="AB28" s="44">
        <v>1</v>
      </c>
      <c r="AC28" s="44"/>
      <c r="AD28" s="44"/>
      <c r="AE28" s="44"/>
      <c r="AF28" s="44"/>
      <c r="AG28" s="44"/>
      <c r="AH28" s="44"/>
      <c r="AI28" s="44"/>
      <c r="AJ28" s="44"/>
    </row>
    <row r="29" spans="1:36">
      <c r="A29" s="44" t="s">
        <v>30</v>
      </c>
      <c r="B29" s="44">
        <v>0.56933862737316032</v>
      </c>
      <c r="C29" s="44">
        <v>0.38053257177860872</v>
      </c>
      <c r="D29" s="44">
        <v>0.41854836143064467</v>
      </c>
      <c r="E29" s="44">
        <v>0.42133198559088392</v>
      </c>
      <c r="F29" s="44">
        <v>0.52518721579764549</v>
      </c>
      <c r="G29" s="44">
        <v>0.4432268344496218</v>
      </c>
      <c r="H29" s="44">
        <v>0.43839119419696126</v>
      </c>
      <c r="I29" s="44">
        <v>0.48945813579288272</v>
      </c>
      <c r="J29" s="44">
        <v>0.52250392506004506</v>
      </c>
      <c r="K29" s="44">
        <v>0.45234280577512009</v>
      </c>
      <c r="L29" s="44">
        <v>0.38240107285432356</v>
      </c>
      <c r="M29" s="44">
        <v>0.40070349331674449</v>
      </c>
      <c r="N29" s="44">
        <v>5.5091167452079037E-2</v>
      </c>
      <c r="O29" s="44">
        <v>0.40993010368123489</v>
      </c>
      <c r="P29" s="44">
        <v>0.55072608101509124</v>
      </c>
      <c r="Q29" s="44">
        <v>0.49810607819457819</v>
      </c>
      <c r="R29" s="44">
        <v>0.37386217360456109</v>
      </c>
      <c r="S29" s="44">
        <v>0.52868353323215045</v>
      </c>
      <c r="T29" s="44">
        <v>0.44040273036424543</v>
      </c>
      <c r="U29" s="44">
        <v>0.33640526947747978</v>
      </c>
      <c r="V29" s="44">
        <v>0.31597196535607075</v>
      </c>
      <c r="W29" s="44">
        <v>0.40086323330002116</v>
      </c>
      <c r="X29" s="44">
        <v>0.41606966810842644</v>
      </c>
      <c r="Y29" s="44">
        <v>0.36371126923338687</v>
      </c>
      <c r="Z29" s="44">
        <v>0.30237766573073505</v>
      </c>
      <c r="AA29" s="44">
        <v>0.39299423969749481</v>
      </c>
      <c r="AB29" s="44">
        <v>0.57190862506746198</v>
      </c>
      <c r="AC29" s="44">
        <v>1</v>
      </c>
      <c r="AD29" s="44"/>
      <c r="AE29" s="44"/>
      <c r="AF29" s="44"/>
      <c r="AG29" s="44"/>
      <c r="AH29" s="44"/>
      <c r="AI29" s="44"/>
      <c r="AJ29" s="44"/>
    </row>
    <row r="30" spans="1:36">
      <c r="A30" s="44" t="s">
        <v>31</v>
      </c>
      <c r="B30" s="44">
        <v>0.48815808629234886</v>
      </c>
      <c r="C30" s="44">
        <v>0.38732401824756119</v>
      </c>
      <c r="D30" s="44">
        <v>0.48098268652119758</v>
      </c>
      <c r="E30" s="44">
        <v>0.42879689630988688</v>
      </c>
      <c r="F30" s="44">
        <v>0.55123603124092502</v>
      </c>
      <c r="G30" s="44">
        <v>0.50195427290592043</v>
      </c>
      <c r="H30" s="44">
        <v>0.5267380277343815</v>
      </c>
      <c r="I30" s="44">
        <v>0.52348774745130922</v>
      </c>
      <c r="J30" s="44">
        <v>0.56802186503828933</v>
      </c>
      <c r="K30" s="44">
        <v>0.46118448803778911</v>
      </c>
      <c r="L30" s="44">
        <v>0.33293735389219831</v>
      </c>
      <c r="M30" s="44">
        <v>0.47231311314810231</v>
      </c>
      <c r="N30" s="44">
        <v>-0.12193949219409823</v>
      </c>
      <c r="O30" s="44">
        <v>0.43499292357074387</v>
      </c>
      <c r="P30" s="44">
        <v>0.53437593428379815</v>
      </c>
      <c r="Q30" s="44">
        <v>0.47824598649705269</v>
      </c>
      <c r="R30" s="44">
        <v>0.2426949639336729</v>
      </c>
      <c r="S30" s="44">
        <v>0.4675684395122815</v>
      </c>
      <c r="T30" s="44">
        <v>0.33284561995891576</v>
      </c>
      <c r="U30" s="44">
        <v>0.43823614627749263</v>
      </c>
      <c r="V30" s="44">
        <v>0.38362754503360713</v>
      </c>
      <c r="W30" s="44">
        <v>0.43423280388850716</v>
      </c>
      <c r="X30" s="44">
        <v>0.45225117599343539</v>
      </c>
      <c r="Y30" s="44">
        <v>0.36440600114093996</v>
      </c>
      <c r="Z30" s="44">
        <v>0.53182939842075849</v>
      </c>
      <c r="AA30" s="44">
        <v>0.4333688240506956</v>
      </c>
      <c r="AB30" s="44">
        <v>0.6041613055181454</v>
      </c>
      <c r="AC30" s="44">
        <v>0.3451953420160484</v>
      </c>
      <c r="AD30" s="44">
        <v>1</v>
      </c>
      <c r="AE30" s="44"/>
      <c r="AF30" s="44"/>
      <c r="AG30" s="44"/>
      <c r="AH30" s="44"/>
      <c r="AI30" s="44"/>
      <c r="AJ30" s="44"/>
    </row>
    <row r="31" spans="1:36">
      <c r="A31" s="44" t="s">
        <v>32</v>
      </c>
      <c r="B31" s="44">
        <v>0.57423052683985143</v>
      </c>
      <c r="C31" s="44">
        <v>0.29896173729172604</v>
      </c>
      <c r="D31" s="44">
        <v>0.31277406302122968</v>
      </c>
      <c r="E31" s="44">
        <v>0.51660901039663143</v>
      </c>
      <c r="F31" s="44">
        <v>0.41146537270219052</v>
      </c>
      <c r="G31" s="44">
        <v>0.42672269196534707</v>
      </c>
      <c r="H31" s="44">
        <v>0.48044386139912226</v>
      </c>
      <c r="I31" s="44">
        <v>0.40960646910902643</v>
      </c>
      <c r="J31" s="44">
        <v>0.55864685345975262</v>
      </c>
      <c r="K31" s="44">
        <v>0.53514334938363806</v>
      </c>
      <c r="L31" s="44">
        <v>0.62274051311911616</v>
      </c>
      <c r="M31" s="44">
        <v>0.33898583697806417</v>
      </c>
      <c r="N31" s="44">
        <v>-0.1248057221799489</v>
      </c>
      <c r="O31" s="44">
        <v>0.35908710938654043</v>
      </c>
      <c r="P31" s="44">
        <v>0.46615779260802748</v>
      </c>
      <c r="Q31" s="44">
        <v>0.41085448239807337</v>
      </c>
      <c r="R31" s="44">
        <v>0.23146964196365341</v>
      </c>
      <c r="S31" s="44">
        <v>0.48488980374721219</v>
      </c>
      <c r="T31" s="44">
        <v>0.60324821946230245</v>
      </c>
      <c r="U31" s="44">
        <v>0.54855953863074824</v>
      </c>
      <c r="V31" s="44">
        <v>0.52059658897973649</v>
      </c>
      <c r="W31" s="44">
        <v>0.54930123294453792</v>
      </c>
      <c r="X31" s="44">
        <v>0.61571136865370268</v>
      </c>
      <c r="Y31" s="44">
        <v>0.56216042060242222</v>
      </c>
      <c r="Z31" s="44">
        <v>0.45198420626392177</v>
      </c>
      <c r="AA31" s="44">
        <v>0.71495794404753599</v>
      </c>
      <c r="AB31" s="44">
        <v>0.59321104927967649</v>
      </c>
      <c r="AC31" s="44">
        <v>0.38878091919638885</v>
      </c>
      <c r="AD31" s="44">
        <v>0.3838684968294096</v>
      </c>
      <c r="AE31" s="44">
        <v>1</v>
      </c>
      <c r="AF31" s="44"/>
      <c r="AG31" s="44"/>
      <c r="AH31" s="44"/>
      <c r="AI31" s="44"/>
      <c r="AJ31" s="44"/>
    </row>
    <row r="32" spans="1:36">
      <c r="A32" s="44" t="s">
        <v>33</v>
      </c>
      <c r="B32" s="44">
        <v>0.55356134380563327</v>
      </c>
      <c r="C32" s="44">
        <v>0.44257672218163613</v>
      </c>
      <c r="D32" s="44">
        <v>0.43430912958429446</v>
      </c>
      <c r="E32" s="44">
        <v>0.44998759333472366</v>
      </c>
      <c r="F32" s="44">
        <v>0.49889564600481062</v>
      </c>
      <c r="G32" s="44">
        <v>0.50248514552085188</v>
      </c>
      <c r="H32" s="44">
        <v>0.52770145967082815</v>
      </c>
      <c r="I32" s="44">
        <v>0.49327923905318893</v>
      </c>
      <c r="J32" s="44">
        <v>0.52817286488148929</v>
      </c>
      <c r="K32" s="44">
        <v>0.43445702408723741</v>
      </c>
      <c r="L32" s="44">
        <v>0.26830691563763409</v>
      </c>
      <c r="M32" s="44">
        <v>0.49941287216520558</v>
      </c>
      <c r="N32" s="44">
        <v>-6.1824557157181784E-2</v>
      </c>
      <c r="O32" s="44">
        <v>0.44578595678471328</v>
      </c>
      <c r="P32" s="44">
        <v>0.61054008090195078</v>
      </c>
      <c r="Q32" s="44">
        <v>0.46231489820981347</v>
      </c>
      <c r="R32" s="44">
        <v>0.31202527264213842</v>
      </c>
      <c r="S32" s="44">
        <v>0.51016316357484315</v>
      </c>
      <c r="T32" s="44">
        <v>0.368469434517392</v>
      </c>
      <c r="U32" s="44">
        <v>0.37406193215360828</v>
      </c>
      <c r="V32" s="44">
        <v>0.25427935103622051</v>
      </c>
      <c r="W32" s="44">
        <v>0.40041148473176991</v>
      </c>
      <c r="X32" s="44">
        <v>0.39544528654112843</v>
      </c>
      <c r="Y32" s="44">
        <v>0.2895065813237237</v>
      </c>
      <c r="Z32" s="44">
        <v>0.38694095103188053</v>
      </c>
      <c r="AA32" s="44">
        <v>0.44703820749168799</v>
      </c>
      <c r="AB32" s="44">
        <v>0.59009430457938283</v>
      </c>
      <c r="AC32" s="44">
        <v>0.46770064586976434</v>
      </c>
      <c r="AD32" s="44">
        <v>0.62683355164197951</v>
      </c>
      <c r="AE32" s="44">
        <v>0.35037423574328785</v>
      </c>
      <c r="AF32" s="44">
        <v>1</v>
      </c>
      <c r="AG32" s="44"/>
      <c r="AH32" s="44"/>
      <c r="AI32" s="44"/>
      <c r="AJ32" s="44"/>
    </row>
    <row r="33" spans="1:36">
      <c r="A33" s="44" t="s">
        <v>34</v>
      </c>
      <c r="B33" s="44">
        <v>0.65356640150945411</v>
      </c>
      <c r="C33" s="44">
        <v>0.61276519054941903</v>
      </c>
      <c r="D33" s="44">
        <v>0.62002956050078384</v>
      </c>
      <c r="E33" s="44">
        <v>0.46952778630159064</v>
      </c>
      <c r="F33" s="44">
        <v>0.60964965649665226</v>
      </c>
      <c r="G33" s="44">
        <v>0.68435915540650161</v>
      </c>
      <c r="H33" s="44">
        <v>0.62182983521729707</v>
      </c>
      <c r="I33" s="44">
        <v>0.61726483896566375</v>
      </c>
      <c r="J33" s="44">
        <v>0.65400407484152323</v>
      </c>
      <c r="K33" s="44">
        <v>0.54623617942542535</v>
      </c>
      <c r="L33" s="44">
        <v>0.30768973624058193</v>
      </c>
      <c r="M33" s="44">
        <v>0.63169134545800576</v>
      </c>
      <c r="N33" s="44">
        <v>5.4280486724516498E-2</v>
      </c>
      <c r="O33" s="44">
        <v>0.42895950206374572</v>
      </c>
      <c r="P33" s="44">
        <v>0.58070364977638056</v>
      </c>
      <c r="Q33" s="44">
        <v>0.64412222289450571</v>
      </c>
      <c r="R33" s="44">
        <v>0.45022476460482741</v>
      </c>
      <c r="S33" s="44">
        <v>0.54674469427787198</v>
      </c>
      <c r="T33" s="44">
        <v>0.41997848436163099</v>
      </c>
      <c r="U33" s="44">
        <v>0.40820748968522191</v>
      </c>
      <c r="V33" s="44">
        <v>0.39485259637871084</v>
      </c>
      <c r="W33" s="44">
        <v>0.4414345685915525</v>
      </c>
      <c r="X33" s="44">
        <v>0.43902550956493924</v>
      </c>
      <c r="Y33" s="44">
        <v>0.40960376241963986</v>
      </c>
      <c r="Z33" s="44">
        <v>0.44274104634704464</v>
      </c>
      <c r="AA33" s="44">
        <v>0.38106206426605038</v>
      </c>
      <c r="AB33" s="44">
        <v>0.65777932044534815</v>
      </c>
      <c r="AC33" s="44">
        <v>0.48859590979170586</v>
      </c>
      <c r="AD33" s="44">
        <v>0.58502731392898044</v>
      </c>
      <c r="AE33" s="44">
        <v>0.4025423798816139</v>
      </c>
      <c r="AF33" s="44">
        <v>0.60921606566767261</v>
      </c>
      <c r="AG33" s="44">
        <v>1</v>
      </c>
      <c r="AH33" s="44"/>
      <c r="AI33" s="44"/>
      <c r="AJ33" s="44"/>
    </row>
    <row r="34" spans="1:36">
      <c r="A34" s="44" t="s">
        <v>35</v>
      </c>
      <c r="B34" s="44">
        <v>0.661473085277406</v>
      </c>
      <c r="C34" s="44">
        <v>0.51984760261891183</v>
      </c>
      <c r="D34" s="44">
        <v>0.53661508165665872</v>
      </c>
      <c r="E34" s="44">
        <v>0.64230859457045697</v>
      </c>
      <c r="F34" s="44">
        <v>0.57114092068797306</v>
      </c>
      <c r="G34" s="44">
        <v>0.66411033420958432</v>
      </c>
      <c r="H34" s="44">
        <v>0.63367452928608758</v>
      </c>
      <c r="I34" s="44">
        <v>0.57451062317806456</v>
      </c>
      <c r="J34" s="44">
        <v>0.62751848479297023</v>
      </c>
      <c r="K34" s="44">
        <v>0.53925456250970216</v>
      </c>
      <c r="L34" s="44">
        <v>0.39299956652693863</v>
      </c>
      <c r="M34" s="44">
        <v>0.5410756977229394</v>
      </c>
      <c r="N34" s="44">
        <v>-3.0017938647327658E-2</v>
      </c>
      <c r="O34" s="44">
        <v>0.53197367377878746</v>
      </c>
      <c r="P34" s="44">
        <v>0.61923321986768753</v>
      </c>
      <c r="Q34" s="44">
        <v>0.74789640630062937</v>
      </c>
      <c r="R34" s="44">
        <v>0.4472485954505222</v>
      </c>
      <c r="S34" s="44">
        <v>0.62180603077586605</v>
      </c>
      <c r="T34" s="44">
        <v>0.48145226729285517</v>
      </c>
      <c r="U34" s="44">
        <v>0.46493086698146202</v>
      </c>
      <c r="V34" s="44">
        <v>0.39873382509089678</v>
      </c>
      <c r="W34" s="44">
        <v>0.45832415142799937</v>
      </c>
      <c r="X34" s="44">
        <v>0.46001226919323313</v>
      </c>
      <c r="Y34" s="44">
        <v>0.39969442267995103</v>
      </c>
      <c r="Z34" s="44">
        <v>0.46416604990605581</v>
      </c>
      <c r="AA34" s="44">
        <v>0.49085688116842707</v>
      </c>
      <c r="AB34" s="44">
        <v>0.64587796107314177</v>
      </c>
      <c r="AC34" s="44">
        <v>0.5632852618164873</v>
      </c>
      <c r="AD34" s="44">
        <v>0.56941663261446496</v>
      </c>
      <c r="AE34" s="44">
        <v>0.50011582076180705</v>
      </c>
      <c r="AF34" s="44">
        <v>0.61170459850492853</v>
      </c>
      <c r="AG34" s="44">
        <v>0.70486464946909211</v>
      </c>
      <c r="AH34" s="44">
        <v>1</v>
      </c>
      <c r="AI34" s="44"/>
      <c r="AJ34" s="44"/>
    </row>
    <row r="35" spans="1:36">
      <c r="A35" s="44" t="s">
        <v>36</v>
      </c>
      <c r="B35" s="44">
        <v>0.66139214188287676</v>
      </c>
      <c r="C35" s="44">
        <v>0.3607698329551034</v>
      </c>
      <c r="D35" s="44">
        <v>0.46972688949363034</v>
      </c>
      <c r="E35" s="44">
        <v>0.70180447686494696</v>
      </c>
      <c r="F35" s="44">
        <v>0.54047674805974533</v>
      </c>
      <c r="G35" s="44">
        <v>0.57804385608571407</v>
      </c>
      <c r="H35" s="44">
        <v>0.59340896405705046</v>
      </c>
      <c r="I35" s="44">
        <v>0.54684140532301784</v>
      </c>
      <c r="J35" s="44">
        <v>0.63942917321457904</v>
      </c>
      <c r="K35" s="44">
        <v>0.5210317636132662</v>
      </c>
      <c r="L35" s="44">
        <v>0.52363775459944661</v>
      </c>
      <c r="M35" s="44">
        <v>0.50142721331918072</v>
      </c>
      <c r="N35" s="44">
        <v>-1.8474093532257339E-2</v>
      </c>
      <c r="O35" s="44">
        <v>0.53298583699150337</v>
      </c>
      <c r="P35" s="44">
        <v>0.59911228601284228</v>
      </c>
      <c r="Q35" s="44">
        <v>0.596902629503827</v>
      </c>
      <c r="R35" s="44">
        <v>0.35440562239727613</v>
      </c>
      <c r="S35" s="44">
        <v>0.60028672311028719</v>
      </c>
      <c r="T35" s="44">
        <v>0.57771950485715806</v>
      </c>
      <c r="U35" s="44">
        <v>0.46234316119160646</v>
      </c>
      <c r="V35" s="44">
        <v>0.39364146198577699</v>
      </c>
      <c r="W35" s="44">
        <v>0.48032499225778313</v>
      </c>
      <c r="X35" s="44">
        <v>0.55555906943881139</v>
      </c>
      <c r="Y35" s="44">
        <v>0.47538282928008035</v>
      </c>
      <c r="Z35" s="44">
        <v>0.46171484910460175</v>
      </c>
      <c r="AA35" s="44">
        <v>0.62067279487447258</v>
      </c>
      <c r="AB35" s="44">
        <v>0.72905403308435357</v>
      </c>
      <c r="AC35" s="44">
        <v>0.56796756356633993</v>
      </c>
      <c r="AD35" s="44">
        <v>0.51915818981427264</v>
      </c>
      <c r="AE35" s="44">
        <v>0.58684370415331799</v>
      </c>
      <c r="AF35" s="44">
        <v>0.57015999857224919</v>
      </c>
      <c r="AG35" s="44">
        <v>0.58275531492612176</v>
      </c>
      <c r="AH35" s="44">
        <v>0.79351764926825019</v>
      </c>
      <c r="AI35" s="44">
        <v>1</v>
      </c>
      <c r="AJ35" s="44"/>
    </row>
    <row r="36" spans="1:36" ht="15" thickBot="1">
      <c r="A36" s="45" t="s">
        <v>37</v>
      </c>
      <c r="B36" s="45">
        <v>0.53789404448581779</v>
      </c>
      <c r="C36" s="45">
        <v>0.38283774068187054</v>
      </c>
      <c r="D36" s="45">
        <v>0.57697244225140276</v>
      </c>
      <c r="E36" s="45">
        <v>0.44613291664434662</v>
      </c>
      <c r="F36" s="45">
        <v>0.62421318398446202</v>
      </c>
      <c r="G36" s="45">
        <v>0.56420297674073627</v>
      </c>
      <c r="H36" s="45">
        <v>0.54735671318467383</v>
      </c>
      <c r="I36" s="45">
        <v>0.55941240317116459</v>
      </c>
      <c r="J36" s="45">
        <v>0.55780281922797303</v>
      </c>
      <c r="K36" s="45">
        <v>0.60269961095202851</v>
      </c>
      <c r="L36" s="45">
        <v>0.44840868342712475</v>
      </c>
      <c r="M36" s="45">
        <v>0.56361440347634373</v>
      </c>
      <c r="N36" s="45">
        <v>-4.3033646110032346E-3</v>
      </c>
      <c r="O36" s="45">
        <v>0.48080876285277591</v>
      </c>
      <c r="P36" s="45">
        <v>0.62227863872875033</v>
      </c>
      <c r="Q36" s="45">
        <v>0.53008066619394301</v>
      </c>
      <c r="R36" s="45">
        <v>0.38720864741847466</v>
      </c>
      <c r="S36" s="45">
        <v>0.55066948934325755</v>
      </c>
      <c r="T36" s="45">
        <v>0.53629509218686799</v>
      </c>
      <c r="U36" s="45">
        <v>0.42089012939742548</v>
      </c>
      <c r="V36" s="45">
        <v>0.48574255068362515</v>
      </c>
      <c r="W36" s="45">
        <v>0.44829664328788571</v>
      </c>
      <c r="X36" s="45">
        <v>0.51212372475204215</v>
      </c>
      <c r="Y36" s="45">
        <v>0.40950680551692303</v>
      </c>
      <c r="Z36" s="45">
        <v>0.45620141843291978</v>
      </c>
      <c r="AA36" s="45">
        <v>0.43555899252901997</v>
      </c>
      <c r="AB36" s="45">
        <v>0.61048673887459903</v>
      </c>
      <c r="AC36" s="45">
        <v>0.49793616319130879</v>
      </c>
      <c r="AD36" s="45">
        <v>0.55845136447993371</v>
      </c>
      <c r="AE36" s="45">
        <v>0.42136879669072747</v>
      </c>
      <c r="AF36" s="45">
        <v>0.50824042975620209</v>
      </c>
      <c r="AG36" s="45">
        <v>0.53337001865032962</v>
      </c>
      <c r="AH36" s="45">
        <v>0.58669365584914546</v>
      </c>
      <c r="AI36" s="45">
        <v>0.59193028639304424</v>
      </c>
      <c r="AJ36" s="45">
        <v>1</v>
      </c>
    </row>
  </sheetData>
  <conditionalFormatting sqref="B2:AJ36">
    <cfRule type="cellIs" dxfId="2" priority="1" operator="lessThan">
      <formula>0.5</formula>
    </cfRule>
    <cfRule type="cellIs" dxfId="1" priority="2" operator="between">
      <formula>0.5</formula>
      <formula>0.65</formula>
    </cfRule>
    <cfRule type="cellIs" dxfId="0" priority="3" operator="greaterThan">
      <formula>0.65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BC67C-57FA-49EF-B258-D79CDA8C3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Cotacao</vt:lpstr>
      <vt:lpstr>Profit</vt:lpstr>
      <vt:lpstr>Valorização</vt:lpstr>
      <vt:lpstr>Covariancia</vt:lpstr>
      <vt:lpstr>Correlação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Andrade da Costa</dc:creator>
  <cp:lastModifiedBy>Tiago Andrade da Costa</cp:lastModifiedBy>
  <dcterms:created xsi:type="dcterms:W3CDTF">2019-08-24T19:55:35Z</dcterms:created>
  <dcterms:modified xsi:type="dcterms:W3CDTF">2020-06-28T03:32:24Z</dcterms:modified>
</cp:coreProperties>
</file>